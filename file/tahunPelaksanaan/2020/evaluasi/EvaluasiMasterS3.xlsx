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4355" windowHeight="5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3" i="1" l="1"/>
  <c r="F35" i="1"/>
  <c r="C34" i="1"/>
  <c r="D34" i="1"/>
  <c r="E34" i="1"/>
  <c r="F34" i="1"/>
  <c r="B34" i="1"/>
  <c r="C33" i="1"/>
  <c r="B32" i="1"/>
  <c r="F32" i="1"/>
  <c r="E32" i="1"/>
  <c r="D32" i="1"/>
  <c r="C32" i="1"/>
  <c r="D30" i="1"/>
  <c r="F30" i="1"/>
  <c r="F28" i="1"/>
  <c r="E28" i="1"/>
  <c r="F27" i="1"/>
  <c r="E27" i="1"/>
  <c r="D26" i="1"/>
  <c r="E26" i="1"/>
  <c r="F26" i="1"/>
  <c r="F25" i="1"/>
  <c r="E25" i="1"/>
  <c r="E24" i="1"/>
  <c r="F24" i="1"/>
  <c r="F23" i="1"/>
  <c r="F21" i="1"/>
  <c r="F19" i="1"/>
  <c r="D18" i="1"/>
  <c r="F18" i="1"/>
  <c r="C11" i="1"/>
  <c r="F11" i="1"/>
  <c r="D11" i="1"/>
  <c r="C10" i="1"/>
  <c r="F10" i="1"/>
  <c r="D10" i="1"/>
  <c r="E10" i="1"/>
  <c r="E8" i="1"/>
  <c r="D8" i="1"/>
  <c r="F8" i="1"/>
  <c r="C7" i="1"/>
  <c r="E7" i="1"/>
  <c r="F7" i="1"/>
  <c r="C4" i="1"/>
  <c r="E6" i="1"/>
  <c r="F6" i="1"/>
  <c r="D6" i="1"/>
  <c r="E5" i="1"/>
  <c r="C5" i="1"/>
  <c r="F5" i="1"/>
  <c r="E4" i="1"/>
  <c r="F4" i="1"/>
</calcChain>
</file>

<file path=xl/sharedStrings.xml><?xml version="1.0" encoding="utf-8"?>
<sst xmlns="http://schemas.openxmlformats.org/spreadsheetml/2006/main" count="10" uniqueCount="8">
  <si>
    <t>two</t>
  </si>
  <si>
    <t>ang</t>
  </si>
  <si>
    <t>hdx</t>
  </si>
  <si>
    <t>kpx</t>
  </si>
  <si>
    <t>gt</t>
  </si>
  <si>
    <t>potongan</t>
  </si>
  <si>
    <t>bersih</t>
  </si>
  <si>
    <t>dapat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</si>
</sst>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topLeftCell="A10" workbookViewId="0">
      <selection activeCell="M27" sqref="M27:N29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>
        <v>5</v>
      </c>
      <c r="C2">
        <v>10</v>
      </c>
      <c r="D2">
        <v>120</v>
      </c>
      <c r="E2">
        <v>5</v>
      </c>
      <c r="F2">
        <v>10</v>
      </c>
    </row>
    <row r="3" spans="1:6" x14ac:dyDescent="0.25">
      <c r="A3">
        <v>2</v>
      </c>
      <c r="B3">
        <v>20</v>
      </c>
      <c r="C3">
        <v>25</v>
      </c>
      <c r="D3">
        <v>0</v>
      </c>
      <c r="E3">
        <v>35</v>
      </c>
      <c r="F3">
        <v>15</v>
      </c>
    </row>
    <row r="4" spans="1:6" x14ac:dyDescent="0.25">
      <c r="A4">
        <v>3</v>
      </c>
      <c r="B4">
        <v>25</v>
      </c>
      <c r="C4">
        <f>40+840</f>
        <v>880</v>
      </c>
      <c r="D4">
        <v>0</v>
      </c>
      <c r="E4">
        <f>5+5+10</f>
        <v>20</v>
      </c>
      <c r="F4">
        <f>5+5+10+5+5+5</f>
        <v>35</v>
      </c>
    </row>
    <row r="5" spans="1:6" x14ac:dyDescent="0.25">
      <c r="A5">
        <v>4</v>
      </c>
      <c r="B5">
        <v>35</v>
      </c>
      <c r="C5">
        <f>5+5+5+10</f>
        <v>25</v>
      </c>
      <c r="D5">
        <v>0</v>
      </c>
      <c r="E5">
        <f>10</f>
        <v>10</v>
      </c>
      <c r="F5">
        <f>15+5+10+5+5+5</f>
        <v>45</v>
      </c>
    </row>
    <row r="6" spans="1:6" x14ac:dyDescent="0.25">
      <c r="A6">
        <v>5</v>
      </c>
      <c r="B6">
        <v>10</v>
      </c>
      <c r="C6">
        <v>10</v>
      </c>
      <c r="D6">
        <f>5+10</f>
        <v>15</v>
      </c>
      <c r="E6">
        <f>10+10+5+5</f>
        <v>30</v>
      </c>
      <c r="F6">
        <f>10+5+10+5</f>
        <v>30</v>
      </c>
    </row>
    <row r="7" spans="1:6" x14ac:dyDescent="0.25">
      <c r="A7">
        <v>6</v>
      </c>
      <c r="B7">
        <v>15</v>
      </c>
      <c r="C7">
        <f>5</f>
        <v>5</v>
      </c>
      <c r="D7">
        <v>5</v>
      </c>
      <c r="E7">
        <f>5+5+20+5</f>
        <v>35</v>
      </c>
      <c r="F7">
        <f>5+30+5+5</f>
        <v>45</v>
      </c>
    </row>
    <row r="8" spans="1:6" x14ac:dyDescent="0.25">
      <c r="A8">
        <v>7</v>
      </c>
      <c r="B8">
        <v>5</v>
      </c>
      <c r="C8">
        <v>35</v>
      </c>
      <c r="D8">
        <f>10+15+35</f>
        <v>60</v>
      </c>
      <c r="E8">
        <f>60</f>
        <v>60</v>
      </c>
      <c r="F8">
        <f>5+5+5+10+10</f>
        <v>35</v>
      </c>
    </row>
    <row r="9" spans="1:6" x14ac:dyDescent="0.25">
      <c r="A9">
        <v>8</v>
      </c>
      <c r="B9">
        <v>15</v>
      </c>
      <c r="C9">
        <v>25</v>
      </c>
      <c r="D9">
        <v>0</v>
      </c>
      <c r="E9">
        <v>0</v>
      </c>
      <c r="F9">
        <v>25</v>
      </c>
    </row>
    <row r="10" spans="1:6" x14ac:dyDescent="0.25">
      <c r="A10">
        <v>9</v>
      </c>
      <c r="B10">
        <v>25</v>
      </c>
      <c r="C10">
        <f>5+20</f>
        <v>25</v>
      </c>
      <c r="D10">
        <f>35</f>
        <v>35</v>
      </c>
      <c r="E10">
        <f>5+5+25</f>
        <v>35</v>
      </c>
      <c r="F10">
        <f>5+5+10+10+5+10+5+10</f>
        <v>60</v>
      </c>
    </row>
    <row r="11" spans="1:6" x14ac:dyDescent="0.25">
      <c r="A11">
        <v>10</v>
      </c>
      <c r="B11">
        <v>30</v>
      </c>
      <c r="C11">
        <f>10</f>
        <v>10</v>
      </c>
      <c r="D11">
        <f>5+10+5+5+5+10+35</f>
        <v>75</v>
      </c>
      <c r="E11">
        <v>45</v>
      </c>
      <c r="F11">
        <f>10+5+5+5+5+5+5+5</f>
        <v>45</v>
      </c>
    </row>
    <row r="12" spans="1:6" x14ac:dyDescent="0.25">
      <c r="A12">
        <v>11</v>
      </c>
      <c r="B12">
        <v>20</v>
      </c>
      <c r="C12">
        <v>10</v>
      </c>
      <c r="D12">
        <v>0</v>
      </c>
      <c r="E12">
        <v>10</v>
      </c>
      <c r="F12">
        <v>20</v>
      </c>
    </row>
    <row r="13" spans="1:6" x14ac:dyDescent="0.25">
      <c r="A13">
        <v>12</v>
      </c>
      <c r="B13">
        <v>0</v>
      </c>
      <c r="C13">
        <v>5</v>
      </c>
      <c r="D13">
        <v>30</v>
      </c>
      <c r="E13">
        <v>20</v>
      </c>
      <c r="F13">
        <v>25</v>
      </c>
    </row>
    <row r="14" spans="1:6" x14ac:dyDescent="0.25">
      <c r="A14">
        <v>13</v>
      </c>
      <c r="B14">
        <v>0</v>
      </c>
      <c r="C14">
        <v>15</v>
      </c>
      <c r="D14">
        <v>35</v>
      </c>
      <c r="E14">
        <v>35</v>
      </c>
      <c r="F14">
        <v>100</v>
      </c>
    </row>
    <row r="15" spans="1:6" x14ac:dyDescent="0.25">
      <c r="A15">
        <v>14</v>
      </c>
      <c r="B15">
        <v>30</v>
      </c>
      <c r="C15">
        <v>30</v>
      </c>
      <c r="D15">
        <v>45</v>
      </c>
      <c r="E15">
        <v>100</v>
      </c>
      <c r="F15">
        <v>70</v>
      </c>
    </row>
    <row r="16" spans="1:6" x14ac:dyDescent="0.25">
      <c r="A16">
        <v>15</v>
      </c>
      <c r="B16">
        <v>10</v>
      </c>
      <c r="C16">
        <v>15</v>
      </c>
      <c r="D16">
        <v>35</v>
      </c>
      <c r="E16">
        <v>0</v>
      </c>
      <c r="F16">
        <v>5</v>
      </c>
    </row>
    <row r="17" spans="1:14" x14ac:dyDescent="0.25">
      <c r="A17">
        <v>16</v>
      </c>
      <c r="B17">
        <v>5</v>
      </c>
      <c r="C17">
        <v>5</v>
      </c>
      <c r="D17">
        <v>35</v>
      </c>
      <c r="E17">
        <v>0</v>
      </c>
      <c r="F17">
        <v>35</v>
      </c>
    </row>
    <row r="18" spans="1:14" x14ac:dyDescent="0.25">
      <c r="A18">
        <v>17</v>
      </c>
      <c r="B18">
        <v>35</v>
      </c>
      <c r="C18">
        <v>25</v>
      </c>
      <c r="D18">
        <f>85</f>
        <v>85</v>
      </c>
      <c r="E18">
        <v>0</v>
      </c>
      <c r="F18">
        <f>25+15+10+5+5+5</f>
        <v>65</v>
      </c>
    </row>
    <row r="19" spans="1:14" x14ac:dyDescent="0.25">
      <c r="A19">
        <v>18</v>
      </c>
      <c r="B19">
        <v>0</v>
      </c>
      <c r="C19">
        <v>15</v>
      </c>
      <c r="D19">
        <v>0</v>
      </c>
      <c r="E19">
        <v>135</v>
      </c>
      <c r="F19">
        <f>5+5+10+10+10+875</f>
        <v>915</v>
      </c>
    </row>
    <row r="20" spans="1:14" x14ac:dyDescent="0.25">
      <c r="A20">
        <v>19</v>
      </c>
      <c r="B20">
        <v>0</v>
      </c>
      <c r="C20">
        <v>35</v>
      </c>
      <c r="D20">
        <v>20</v>
      </c>
      <c r="E20">
        <v>0</v>
      </c>
      <c r="F20">
        <v>70</v>
      </c>
    </row>
    <row r="21" spans="1:14" x14ac:dyDescent="0.25">
      <c r="A21">
        <v>20</v>
      </c>
      <c r="B21">
        <v>0</v>
      </c>
      <c r="C21">
        <v>15</v>
      </c>
      <c r="D21">
        <v>35</v>
      </c>
      <c r="E21">
        <v>0</v>
      </c>
      <c r="F21">
        <f>15+10+10+5+10+20+10+10</f>
        <v>90</v>
      </c>
    </row>
    <row r="22" spans="1:14" x14ac:dyDescent="0.25">
      <c r="A22">
        <v>21</v>
      </c>
      <c r="B22">
        <v>0</v>
      </c>
      <c r="C22">
        <v>15</v>
      </c>
      <c r="D22">
        <v>15</v>
      </c>
      <c r="E22">
        <v>0</v>
      </c>
      <c r="F22">
        <v>60</v>
      </c>
    </row>
    <row r="23" spans="1:14" x14ac:dyDescent="0.25">
      <c r="A23">
        <v>22</v>
      </c>
      <c r="B23">
        <v>0</v>
      </c>
      <c r="C23">
        <v>0</v>
      </c>
      <c r="D23">
        <v>50</v>
      </c>
      <c r="E23">
        <v>30</v>
      </c>
      <c r="F23">
        <f>5+5+10+15+5+10+10+5</f>
        <v>65</v>
      </c>
    </row>
    <row r="24" spans="1:14" x14ac:dyDescent="0.25">
      <c r="A24">
        <v>23</v>
      </c>
      <c r="B24">
        <v>15</v>
      </c>
      <c r="C24">
        <v>0</v>
      </c>
      <c r="D24">
        <v>35</v>
      </c>
      <c r="E24">
        <f>10+10+10</f>
        <v>30</v>
      </c>
      <c r="F24">
        <f>10+5+15+10+20+20+5+10+5</f>
        <v>100</v>
      </c>
    </row>
    <row r="25" spans="1:14" x14ac:dyDescent="0.25">
      <c r="A25">
        <v>24</v>
      </c>
      <c r="B25">
        <v>10</v>
      </c>
      <c r="C25">
        <v>0</v>
      </c>
      <c r="D25">
        <v>35</v>
      </c>
      <c r="E25">
        <f>5+5+5+10</f>
        <v>25</v>
      </c>
      <c r="F25">
        <f>15+135+15+35+5</f>
        <v>205</v>
      </c>
    </row>
    <row r="26" spans="1:14" x14ac:dyDescent="0.25">
      <c r="A26">
        <v>25</v>
      </c>
      <c r="B26">
        <v>5</v>
      </c>
      <c r="C26">
        <v>10</v>
      </c>
      <c r="D26">
        <f>5+5+70</f>
        <v>80</v>
      </c>
      <c r="E26">
        <f>5+5+10+5</f>
        <v>25</v>
      </c>
      <c r="F26">
        <f>15+10+10+5+5+10</f>
        <v>55</v>
      </c>
    </row>
    <row r="27" spans="1:14" x14ac:dyDescent="0.25">
      <c r="A27">
        <v>26</v>
      </c>
      <c r="B27">
        <v>15</v>
      </c>
      <c r="C27">
        <v>15</v>
      </c>
      <c r="D27">
        <v>0</v>
      </c>
      <c r="E27">
        <f>5+5+10+10+5</f>
        <v>35</v>
      </c>
      <c r="F27">
        <f>10+15+5+5+15+10+5+5</f>
        <v>70</v>
      </c>
      <c r="M27" t="s">
        <v>7</v>
      </c>
      <c r="N27">
        <v>785</v>
      </c>
    </row>
    <row r="28" spans="1:14" x14ac:dyDescent="0.25">
      <c r="A28">
        <v>27</v>
      </c>
      <c r="B28">
        <v>10</v>
      </c>
      <c r="C28">
        <v>10</v>
      </c>
      <c r="D28">
        <v>10</v>
      </c>
      <c r="E28">
        <f>5+5+10+5+5</f>
        <v>30</v>
      </c>
      <c r="F28">
        <f>10+20+5+5</f>
        <v>40</v>
      </c>
      <c r="M28" t="s">
        <v>5</v>
      </c>
      <c r="N28">
        <v>235</v>
      </c>
    </row>
    <row r="29" spans="1:14" x14ac:dyDescent="0.25">
      <c r="A29">
        <v>28</v>
      </c>
      <c r="B29">
        <v>5</v>
      </c>
      <c r="C29">
        <v>10</v>
      </c>
      <c r="D29">
        <v>5</v>
      </c>
      <c r="E29">
        <v>10</v>
      </c>
      <c r="F29">
        <v>35</v>
      </c>
      <c r="M29" t="s">
        <v>6</v>
      </c>
      <c r="N29">
        <v>550</v>
      </c>
    </row>
    <row r="30" spans="1:14" x14ac:dyDescent="0.25">
      <c r="A30">
        <v>29</v>
      </c>
      <c r="B30">
        <v>10</v>
      </c>
      <c r="C30">
        <v>25</v>
      </c>
      <c r="D30">
        <f>10+10</f>
        <v>20</v>
      </c>
      <c r="E30">
        <v>15</v>
      </c>
      <c r="F30">
        <f>5+10+5+10+5+10+5+5</f>
        <v>55</v>
      </c>
    </row>
    <row r="31" spans="1:14" x14ac:dyDescent="0.25">
      <c r="A31">
        <v>30</v>
      </c>
      <c r="B31">
        <v>30</v>
      </c>
      <c r="C31">
        <v>55</v>
      </c>
      <c r="D31">
        <v>35</v>
      </c>
      <c r="E31">
        <v>10</v>
      </c>
      <c r="F31">
        <v>100</v>
      </c>
    </row>
    <row r="32" spans="1:14" x14ac:dyDescent="0.25">
      <c r="B32">
        <f>SUM(B2:B31)</f>
        <v>385</v>
      </c>
      <c r="C32">
        <f>SUM(C2:C31)</f>
        <v>1360</v>
      </c>
      <c r="D32">
        <f>SUM(D2:D31)</f>
        <v>915</v>
      </c>
      <c r="E32">
        <f>SUM(E2:E31)</f>
        <v>785</v>
      </c>
      <c r="F32">
        <f>SUM(F2:F31)</f>
        <v>2525</v>
      </c>
    </row>
    <row r="33" spans="1:7" x14ac:dyDescent="0.25">
      <c r="A33" t="s">
        <v>5</v>
      </c>
      <c r="B33">
        <v>115</v>
      </c>
      <c r="C33">
        <f t="shared" ref="C33" si="0">C32*30/100</f>
        <v>408</v>
      </c>
      <c r="D33">
        <v>275</v>
      </c>
      <c r="E33">
        <v>235</v>
      </c>
      <c r="F33">
        <v>755</v>
      </c>
      <c r="G33">
        <f>SUM(B33:F33)</f>
        <v>1788</v>
      </c>
    </row>
    <row r="34" spans="1:7" x14ac:dyDescent="0.25">
      <c r="A34" t="s">
        <v>6</v>
      </c>
      <c r="B34">
        <f>B32-B33</f>
        <v>270</v>
      </c>
      <c r="C34">
        <f t="shared" ref="C34:F34" si="1">C32-C33</f>
        <v>952</v>
      </c>
      <c r="D34">
        <f t="shared" si="1"/>
        <v>640</v>
      </c>
      <c r="E34">
        <f t="shared" si="1"/>
        <v>550</v>
      </c>
      <c r="F34">
        <f t="shared" si="1"/>
        <v>1770</v>
      </c>
    </row>
    <row r="35" spans="1:7" x14ac:dyDescent="0.25">
      <c r="F35">
        <f>F34-800</f>
        <v>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Lecy</dc:creator>
  <cp:lastModifiedBy>Lecy</cp:lastModifiedBy>
  <dcterms:created xsi:type="dcterms:W3CDTF">2021-05-03T01:26:24Z</dcterms:created>
  <dcterms:modified xsi:type="dcterms:W3CDTF">2021-05-08T02:01:53Z</dcterms:modified>
</cp:coreProperties>
</file>