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defaultThemeVersion="124226"/>
  <bookViews>
    <workbookView xWindow="-120" yWindow="-120" windowWidth="20730" windowHeight="11760" activeTab="1"/>
  </bookViews>
  <sheets>
    <sheet name="Isian Prodi" sheetId="5" r:id="rId1"/>
    <sheet name="Kertas Kerja" sheetId="1" r:id="rId2"/>
    <sheet name="Lap AK" sheetId="4" r:id="rId3"/>
    <sheet name="Lap ED" sheetId="6" r:id="rId4"/>
    <sheet name="Peta Risiko" sheetId="8" r:id="rId5"/>
  </sheets>
  <externalReferences>
    <externalReference r:id="rId6"/>
  </externalReferences>
  <definedNames>
    <definedName name="diploma" localSheetId="2">#REF!</definedName>
    <definedName name="diploma">#REF!</definedName>
    <definedName name="_xlnm.Print_Area" localSheetId="2">'Lap AK'!$A$1:$F$97</definedName>
    <definedName name="_xlnm.Print_Titles" localSheetId="2">'Lap AK'!$12:$12</definedName>
  </definedName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8" i="1" l="1"/>
  <c r="B13" i="4" l="1"/>
  <c r="B14" i="4" s="1"/>
  <c r="B15" i="4" s="1"/>
  <c r="B16" i="4" s="1"/>
  <c r="B17" i="4" s="1"/>
  <c r="B18" i="4" s="1"/>
  <c r="B19" i="4" s="1"/>
  <c r="B20" i="4" s="1"/>
  <c r="B21" i="4" s="1"/>
  <c r="B22" i="4" s="1"/>
  <c r="B23" i="4" s="1"/>
  <c r="B24" i="4" s="1"/>
  <c r="B25" i="4" s="1"/>
  <c r="B26" i="4" s="1"/>
  <c r="B27" i="4" s="1"/>
  <c r="B28" i="4" s="1"/>
  <c r="B29" i="4" s="1"/>
  <c r="B30" i="4" s="1"/>
  <c r="B31" i="4" l="1"/>
  <c r="B32" i="4"/>
  <c r="B33" i="4"/>
  <c r="B34" i="4" s="1"/>
  <c r="B35" i="4" s="1"/>
  <c r="B36" i="4" s="1"/>
  <c r="K88" i="1"/>
  <c r="B37" i="4" l="1"/>
  <c r="B38" i="4"/>
  <c r="B3" i="4"/>
  <c r="H3" i="4" s="1"/>
  <c r="B39" i="4" l="1"/>
  <c r="B40" i="4" s="1"/>
  <c r="B41" i="4" s="1"/>
  <c r="B42" i="4" s="1"/>
  <c r="B43" i="4" s="1"/>
  <c r="B44" i="4" l="1"/>
  <c r="B45" i="4"/>
  <c r="B46" i="4" s="1"/>
  <c r="B47" i="4" s="1"/>
  <c r="B48" i="4" s="1"/>
  <c r="B49" i="4" s="1"/>
  <c r="B50" i="4" s="1"/>
  <c r="B51" i="4" s="1"/>
  <c r="B52" i="4" s="1"/>
  <c r="B53" i="4" s="1"/>
  <c r="B54" i="4" s="1"/>
  <c r="B55" i="4" s="1"/>
  <c r="B56" i="4" s="1"/>
  <c r="B57" i="4" s="1"/>
  <c r="B58" i="4" s="1"/>
  <c r="B59" i="4" s="1"/>
  <c r="B60" i="4" s="1"/>
  <c r="B61" i="4" s="1"/>
  <c r="B62" i="4" s="1"/>
  <c r="B63" i="4" s="1"/>
  <c r="B64" i="4" s="1"/>
  <c r="A2" i="8"/>
  <c r="B65" i="4" l="1"/>
  <c r="B66" i="4"/>
  <c r="A2" i="6"/>
  <c r="D55" i="6"/>
  <c r="C55" i="6"/>
  <c r="E62" i="4"/>
  <c r="D62" i="4"/>
  <c r="E59" i="4"/>
  <c r="D59" i="4"/>
  <c r="C52" i="6"/>
  <c r="D52" i="6"/>
  <c r="J948" i="1"/>
  <c r="J940" i="1"/>
  <c r="J932" i="1"/>
  <c r="J924" i="1"/>
  <c r="J915" i="1"/>
  <c r="J890" i="1"/>
  <c r="J842" i="1"/>
  <c r="J809" i="1"/>
  <c r="J782" i="1"/>
  <c r="J753" i="1"/>
  <c r="J745" i="1"/>
  <c r="J734" i="1"/>
  <c r="J722" i="1"/>
  <c r="J708" i="1"/>
  <c r="J695" i="1"/>
  <c r="J682" i="1"/>
  <c r="J670" i="1"/>
  <c r="J662" i="1"/>
  <c r="J658" i="1"/>
  <c r="J642" i="1"/>
  <c r="J614" i="1"/>
  <c r="J590" i="1"/>
  <c r="J578" i="1"/>
  <c r="E55" i="6" s="1"/>
  <c r="J570" i="1"/>
  <c r="J566" i="1"/>
  <c r="J546" i="1"/>
  <c r="E52" i="6" s="1"/>
  <c r="J538" i="1"/>
  <c r="J532" i="1"/>
  <c r="J500" i="1"/>
  <c r="J486" i="1"/>
  <c r="J478" i="1"/>
  <c r="J458" i="1"/>
  <c r="J410" i="1"/>
  <c r="J402" i="1"/>
  <c r="J393" i="1"/>
  <c r="J387" i="1"/>
  <c r="J381" i="1"/>
  <c r="J375" i="1"/>
  <c r="J337" i="1"/>
  <c r="J328" i="1"/>
  <c r="J311" i="1"/>
  <c r="J318" i="1"/>
  <c r="J286" i="1"/>
  <c r="J268" i="1"/>
  <c r="J250" i="1"/>
  <c r="J244" i="1"/>
  <c r="J238" i="1"/>
  <c r="J234" i="1"/>
  <c r="J228" i="1"/>
  <c r="J219" i="1"/>
  <c r="J205" i="1"/>
  <c r="J199" i="1"/>
  <c r="J189" i="1"/>
  <c r="J175" i="1"/>
  <c r="J159" i="1"/>
  <c r="J143" i="1"/>
  <c r="J135" i="1"/>
  <c r="J127" i="1"/>
  <c r="J119" i="1"/>
  <c r="J111" i="1"/>
  <c r="J84" i="1"/>
  <c r="J76" i="1"/>
  <c r="J62" i="1"/>
  <c r="J48" i="1"/>
  <c r="J40" i="1"/>
  <c r="J32" i="1"/>
  <c r="J24" i="1"/>
  <c r="J16" i="1"/>
  <c r="B67" i="4" l="1"/>
  <c r="B68" i="4" s="1"/>
  <c r="B69" i="4" s="1"/>
  <c r="B70" i="4" s="1"/>
  <c r="B71" i="4" s="1"/>
  <c r="B72" i="4" s="1"/>
  <c r="B73" i="4" s="1"/>
  <c r="B74" i="4" s="1"/>
  <c r="B75" i="4" s="1"/>
  <c r="B76" i="4" s="1"/>
  <c r="B77" i="4" s="1"/>
  <c r="B78" i="4" s="1"/>
  <c r="B79" i="4" s="1"/>
  <c r="B80" i="4" s="1"/>
  <c r="G6" i="6"/>
  <c r="H6" i="6"/>
  <c r="H7" i="6"/>
  <c r="H8" i="6"/>
  <c r="H9" i="6"/>
  <c r="H10" i="6"/>
  <c r="H11" i="6"/>
  <c r="H12" i="6"/>
  <c r="H13" i="6"/>
  <c r="H14" i="6"/>
  <c r="H15" i="6"/>
  <c r="H16" i="6"/>
  <c r="H17" i="6"/>
  <c r="H18" i="6"/>
  <c r="H19" i="6"/>
  <c r="H20" i="6"/>
  <c r="H21" i="6"/>
  <c r="H22" i="6"/>
  <c r="H23" i="6"/>
  <c r="H25" i="6"/>
  <c r="H26" i="6"/>
  <c r="H27" i="6"/>
  <c r="H28" i="6"/>
  <c r="H29" i="6"/>
  <c r="H31" i="6"/>
  <c r="H32" i="6"/>
  <c r="H33" i="6"/>
  <c r="H34" i="6"/>
  <c r="H35" i="6"/>
  <c r="H37" i="6"/>
  <c r="H38" i="6"/>
  <c r="H39" i="6"/>
  <c r="H40" i="6"/>
  <c r="H41" i="6"/>
  <c r="H42" i="6"/>
  <c r="H43" i="6"/>
  <c r="H44" i="6"/>
  <c r="H45" i="6"/>
  <c r="H46" i="6"/>
  <c r="H47" i="6"/>
  <c r="H48" i="6"/>
  <c r="H49" i="6"/>
  <c r="H50" i="6"/>
  <c r="H51" i="6"/>
  <c r="H52" i="6"/>
  <c r="H53" i="6"/>
  <c r="H54" i="6"/>
  <c r="H55" i="6"/>
  <c r="H56" i="6"/>
  <c r="H57" i="6"/>
  <c r="H59" i="6"/>
  <c r="H60" i="6"/>
  <c r="H61" i="6"/>
  <c r="H62" i="6"/>
  <c r="H63" i="6"/>
  <c r="H64" i="6"/>
  <c r="H65" i="6"/>
  <c r="H66" i="6"/>
  <c r="H67" i="6"/>
  <c r="H68" i="6"/>
  <c r="H69" i="6"/>
  <c r="H70" i="6"/>
  <c r="H71" i="6"/>
  <c r="H72" i="6"/>
  <c r="H73" i="6"/>
  <c r="H76" i="6"/>
  <c r="H77" i="6"/>
  <c r="H78" i="6"/>
  <c r="H79" i="6"/>
  <c r="H80" i="6"/>
  <c r="G80" i="6"/>
  <c r="C83" i="8" s="1"/>
  <c r="G79" i="6"/>
  <c r="G78" i="6"/>
  <c r="G77" i="6"/>
  <c r="G76" i="6"/>
  <c r="C79" i="8" s="1"/>
  <c r="G73" i="6"/>
  <c r="G72" i="6"/>
  <c r="G71" i="6"/>
  <c r="G70" i="6"/>
  <c r="C75" i="8" s="1"/>
  <c r="G69" i="6"/>
  <c r="G68" i="6"/>
  <c r="G67" i="6"/>
  <c r="G66" i="6"/>
  <c r="C71" i="8" s="1"/>
  <c r="G65" i="6"/>
  <c r="G64" i="6"/>
  <c r="G63" i="6"/>
  <c r="G62" i="6"/>
  <c r="C67" i="8" s="1"/>
  <c r="G61" i="6"/>
  <c r="G60" i="6"/>
  <c r="G59" i="6"/>
  <c r="G57" i="6"/>
  <c r="C63" i="8" s="1"/>
  <c r="G56" i="6"/>
  <c r="G55" i="6"/>
  <c r="G54" i="6"/>
  <c r="G53" i="6"/>
  <c r="C59" i="8" s="1"/>
  <c r="G52" i="6"/>
  <c r="G51" i="6"/>
  <c r="G50" i="6"/>
  <c r="G49" i="6"/>
  <c r="G48" i="6"/>
  <c r="G47" i="6"/>
  <c r="G46" i="6"/>
  <c r="G45" i="6"/>
  <c r="C51" i="8" s="1"/>
  <c r="G44" i="6"/>
  <c r="C50" i="8" s="1"/>
  <c r="G43" i="6"/>
  <c r="G42" i="6"/>
  <c r="G41" i="6"/>
  <c r="G40" i="6"/>
  <c r="G39" i="6"/>
  <c r="G38" i="6"/>
  <c r="G37" i="6"/>
  <c r="G35" i="6"/>
  <c r="G34" i="6"/>
  <c r="G33" i="6"/>
  <c r="G32" i="6"/>
  <c r="G31" i="6"/>
  <c r="G29" i="6"/>
  <c r="G28" i="6"/>
  <c r="G27" i="6"/>
  <c r="G26" i="6"/>
  <c r="C34" i="8" s="1"/>
  <c r="G25" i="6"/>
  <c r="G23" i="6"/>
  <c r="G22" i="6"/>
  <c r="G21" i="6"/>
  <c r="G20" i="6"/>
  <c r="G19" i="6"/>
  <c r="G18" i="6"/>
  <c r="G17" i="6"/>
  <c r="G16" i="6"/>
  <c r="G15" i="6"/>
  <c r="G14" i="6"/>
  <c r="G13" i="6"/>
  <c r="G12" i="6"/>
  <c r="G11" i="6"/>
  <c r="G10" i="6"/>
  <c r="G9" i="6"/>
  <c r="G8" i="6"/>
  <c r="G7" i="6"/>
  <c r="E56" i="4"/>
  <c r="D56" i="4"/>
  <c r="E49" i="6"/>
  <c r="D49" i="6"/>
  <c r="C49" i="6"/>
  <c r="D48" i="6"/>
  <c r="C48" i="6"/>
  <c r="E55" i="4"/>
  <c r="D55" i="4"/>
  <c r="B81" i="4" l="1"/>
  <c r="B82" i="4" s="1"/>
  <c r="B83" i="4"/>
  <c r="C36" i="8"/>
  <c r="C60" i="8"/>
  <c r="C80" i="8"/>
  <c r="C55" i="8"/>
  <c r="C47" i="8"/>
  <c r="C32" i="8"/>
  <c r="C40" i="8"/>
  <c r="C52" i="8"/>
  <c r="C68" i="8"/>
  <c r="R64" i="8"/>
  <c r="V64" i="8"/>
  <c r="Z64" i="8"/>
  <c r="S64" i="8"/>
  <c r="W64" i="8"/>
  <c r="AA64" i="8"/>
  <c r="T64" i="8"/>
  <c r="X64" i="8"/>
  <c r="Y64" i="8"/>
  <c r="Q64" i="8"/>
  <c r="N64" i="8"/>
  <c r="U64" i="8"/>
  <c r="O64" i="8"/>
  <c r="I64" i="8"/>
  <c r="G64" i="8"/>
  <c r="D64" i="8"/>
  <c r="L64" i="8"/>
  <c r="P64" i="8"/>
  <c r="J64" i="8"/>
  <c r="E64" i="8"/>
  <c r="H64" i="8"/>
  <c r="K64" i="8"/>
  <c r="F64" i="8"/>
  <c r="T76" i="8"/>
  <c r="X76" i="8"/>
  <c r="Y76" i="8"/>
  <c r="R76" i="8"/>
  <c r="V76" i="8"/>
  <c r="Z76" i="8"/>
  <c r="AA76" i="8"/>
  <c r="M76" i="8"/>
  <c r="Q76" i="8"/>
  <c r="N76" i="8"/>
  <c r="S76" i="8"/>
  <c r="O76" i="8"/>
  <c r="P76" i="8"/>
  <c r="I76" i="8"/>
  <c r="G76" i="8"/>
  <c r="D76" i="8"/>
  <c r="L76" i="8"/>
  <c r="J76" i="8"/>
  <c r="E76" i="8"/>
  <c r="W76" i="8"/>
  <c r="K76" i="8"/>
  <c r="H76" i="8"/>
  <c r="F76" i="8"/>
  <c r="C76" i="8"/>
  <c r="T17" i="8"/>
  <c r="X17" i="8"/>
  <c r="U17" i="8"/>
  <c r="Y17" i="8"/>
  <c r="R17" i="8"/>
  <c r="V17" i="8"/>
  <c r="Z17" i="8"/>
  <c r="AA17" i="8"/>
  <c r="N17" i="8"/>
  <c r="O17" i="8"/>
  <c r="S17" i="8"/>
  <c r="P17" i="8"/>
  <c r="W17" i="8"/>
  <c r="Q17" i="8"/>
  <c r="K17" i="8"/>
  <c r="H17" i="8"/>
  <c r="L17" i="8"/>
  <c r="I17" i="8"/>
  <c r="E17" i="8"/>
  <c r="F17" i="8"/>
  <c r="D17" i="8"/>
  <c r="G17" i="8"/>
  <c r="M17" i="8"/>
  <c r="J17" i="8"/>
  <c r="T21" i="8"/>
  <c r="X21" i="8"/>
  <c r="U21" i="8"/>
  <c r="Y21" i="8"/>
  <c r="R21" i="8"/>
  <c r="V21" i="8"/>
  <c r="Z21" i="8"/>
  <c r="S21" i="8"/>
  <c r="N21" i="8"/>
  <c r="W21" i="8"/>
  <c r="O21" i="8"/>
  <c r="AA21" i="8"/>
  <c r="P21" i="8"/>
  <c r="M21" i="8"/>
  <c r="K21" i="8"/>
  <c r="Q21" i="8"/>
  <c r="H21" i="8"/>
  <c r="L21" i="8"/>
  <c r="I21" i="8"/>
  <c r="J21" i="8"/>
  <c r="E21" i="8"/>
  <c r="F21" i="8"/>
  <c r="D21" i="8"/>
  <c r="G21" i="8"/>
  <c r="D25" i="8"/>
  <c r="R25" i="8"/>
  <c r="V25" i="8"/>
  <c r="Z25" i="8"/>
  <c r="S25" i="8"/>
  <c r="W25" i="8"/>
  <c r="AA25" i="8"/>
  <c r="T25" i="8"/>
  <c r="X25" i="8"/>
  <c r="U25" i="8"/>
  <c r="O25" i="8"/>
  <c r="Y25" i="8"/>
  <c r="P25" i="8"/>
  <c r="M25" i="8"/>
  <c r="Q25" i="8"/>
  <c r="N25" i="8"/>
  <c r="H25" i="8"/>
  <c r="L25" i="8"/>
  <c r="I25" i="8"/>
  <c r="J25" i="8"/>
  <c r="K25" i="8"/>
  <c r="G25" i="8"/>
  <c r="F25" i="8"/>
  <c r="E25" i="8"/>
  <c r="T29" i="8"/>
  <c r="X29" i="8"/>
  <c r="U29" i="8"/>
  <c r="Y29" i="8"/>
  <c r="R29" i="8"/>
  <c r="V29" i="8"/>
  <c r="Z29" i="8"/>
  <c r="AA29" i="8"/>
  <c r="N29" i="8"/>
  <c r="O29" i="8"/>
  <c r="S29" i="8"/>
  <c r="P29" i="8"/>
  <c r="K29" i="8"/>
  <c r="W29" i="8"/>
  <c r="M29" i="8"/>
  <c r="H29" i="8"/>
  <c r="L29" i="8"/>
  <c r="Q29" i="8"/>
  <c r="I29" i="8"/>
  <c r="E29" i="8"/>
  <c r="J29" i="8"/>
  <c r="F29" i="8"/>
  <c r="G29" i="8"/>
  <c r="D29" i="8"/>
  <c r="R33" i="8"/>
  <c r="V33" i="8"/>
  <c r="Z33" i="8"/>
  <c r="S33" i="8"/>
  <c r="AA33" i="8"/>
  <c r="T33" i="8"/>
  <c r="X33" i="8"/>
  <c r="O33" i="8"/>
  <c r="P33" i="8"/>
  <c r="U33" i="8"/>
  <c r="M33" i="8"/>
  <c r="Q33" i="8"/>
  <c r="H33" i="8"/>
  <c r="L33" i="8"/>
  <c r="N33" i="8"/>
  <c r="I33" i="8"/>
  <c r="J33" i="8"/>
  <c r="G33" i="8"/>
  <c r="F33" i="8"/>
  <c r="E33" i="8"/>
  <c r="Y33" i="8"/>
  <c r="K33" i="8"/>
  <c r="D33" i="8"/>
  <c r="T45" i="8"/>
  <c r="X45" i="8"/>
  <c r="U45" i="8"/>
  <c r="Y45" i="8"/>
  <c r="R45" i="8"/>
  <c r="V45" i="8"/>
  <c r="Z45" i="8"/>
  <c r="AA45" i="8"/>
  <c r="O45" i="8"/>
  <c r="S45" i="8"/>
  <c r="P45" i="8"/>
  <c r="K45" i="8"/>
  <c r="H45" i="8"/>
  <c r="L45" i="8"/>
  <c r="W45" i="8"/>
  <c r="N45" i="8"/>
  <c r="I45" i="8"/>
  <c r="E45" i="8"/>
  <c r="J45" i="8"/>
  <c r="Q45" i="8"/>
  <c r="F45" i="8"/>
  <c r="D45" i="8"/>
  <c r="G45" i="8"/>
  <c r="R49" i="8"/>
  <c r="V49" i="8"/>
  <c r="Z49" i="8"/>
  <c r="S49" i="8"/>
  <c r="W49" i="8"/>
  <c r="AA49" i="8"/>
  <c r="T49" i="8"/>
  <c r="X49" i="8"/>
  <c r="U49" i="8"/>
  <c r="Y49" i="8"/>
  <c r="Q49" i="8"/>
  <c r="N49" i="8"/>
  <c r="K49" i="8"/>
  <c r="O49" i="8"/>
  <c r="H49" i="8"/>
  <c r="L49" i="8"/>
  <c r="I49" i="8"/>
  <c r="G49" i="8"/>
  <c r="D49" i="8"/>
  <c r="J49" i="8"/>
  <c r="E49" i="8"/>
  <c r="P49" i="8"/>
  <c r="F49" i="8"/>
  <c r="R53" i="8"/>
  <c r="V53" i="8"/>
  <c r="Z53" i="8"/>
  <c r="S53" i="8"/>
  <c r="W53" i="8"/>
  <c r="AA53" i="8"/>
  <c r="T53" i="8"/>
  <c r="X53" i="8"/>
  <c r="U53" i="8"/>
  <c r="Y53" i="8"/>
  <c r="O53" i="8"/>
  <c r="P53" i="8"/>
  <c r="I53" i="8"/>
  <c r="Q53" i="8"/>
  <c r="J53" i="8"/>
  <c r="N53" i="8"/>
  <c r="G53" i="8"/>
  <c r="F53" i="8"/>
  <c r="H53" i="8"/>
  <c r="L53" i="8"/>
  <c r="E53" i="8"/>
  <c r="K53" i="8"/>
  <c r="D53" i="8"/>
  <c r="R57" i="8"/>
  <c r="V57" i="8"/>
  <c r="Z57" i="8"/>
  <c r="S57" i="8"/>
  <c r="W57" i="8"/>
  <c r="AA57" i="8"/>
  <c r="T57" i="8"/>
  <c r="X57" i="8"/>
  <c r="U57" i="8"/>
  <c r="Y57" i="8"/>
  <c r="O57" i="8"/>
  <c r="P57" i="8"/>
  <c r="Q57" i="8"/>
  <c r="K57" i="8"/>
  <c r="G57" i="8"/>
  <c r="E57" i="8"/>
  <c r="N57" i="8"/>
  <c r="H57" i="8"/>
  <c r="L57" i="8"/>
  <c r="J57" i="8"/>
  <c r="I57" i="8"/>
  <c r="D57" i="8"/>
  <c r="F57" i="8"/>
  <c r="T61" i="8"/>
  <c r="X61" i="8"/>
  <c r="U61" i="8"/>
  <c r="Y61" i="8"/>
  <c r="R61" i="8"/>
  <c r="V61" i="8"/>
  <c r="Z61" i="8"/>
  <c r="W61" i="8"/>
  <c r="AA61" i="8"/>
  <c r="S61" i="8"/>
  <c r="P61" i="8"/>
  <c r="M61" i="8"/>
  <c r="Q61" i="8"/>
  <c r="N61" i="8"/>
  <c r="H61" i="8"/>
  <c r="L61" i="8"/>
  <c r="O61" i="8"/>
  <c r="I61" i="8"/>
  <c r="F61" i="8"/>
  <c r="D61" i="8"/>
  <c r="J61" i="8"/>
  <c r="G61" i="8"/>
  <c r="E61" i="8"/>
  <c r="K61" i="8"/>
  <c r="T65" i="8"/>
  <c r="X65" i="8"/>
  <c r="U65" i="8"/>
  <c r="Y65" i="8"/>
  <c r="R65" i="8"/>
  <c r="V65" i="8"/>
  <c r="Z65" i="8"/>
  <c r="S65" i="8"/>
  <c r="W65" i="8"/>
  <c r="P65" i="8"/>
  <c r="Q65" i="8"/>
  <c r="N65" i="8"/>
  <c r="AA65" i="8"/>
  <c r="H65" i="8"/>
  <c r="L65" i="8"/>
  <c r="I65" i="8"/>
  <c r="F65" i="8"/>
  <c r="D65" i="8"/>
  <c r="O65" i="8"/>
  <c r="J65" i="8"/>
  <c r="G65" i="8"/>
  <c r="E65" i="8"/>
  <c r="K65" i="8"/>
  <c r="R69" i="8"/>
  <c r="V69" i="8"/>
  <c r="Z69" i="8"/>
  <c r="S69" i="8"/>
  <c r="W69" i="8"/>
  <c r="AA69" i="8"/>
  <c r="T69" i="8"/>
  <c r="X69" i="8"/>
  <c r="P69" i="8"/>
  <c r="U69" i="8"/>
  <c r="Q69" i="8"/>
  <c r="Y69" i="8"/>
  <c r="N69" i="8"/>
  <c r="H69" i="8"/>
  <c r="L69" i="8"/>
  <c r="K69" i="8"/>
  <c r="I69" i="8"/>
  <c r="F69" i="8"/>
  <c r="D69" i="8"/>
  <c r="J69" i="8"/>
  <c r="G69" i="8"/>
  <c r="E69" i="8"/>
  <c r="O69" i="8"/>
  <c r="R73" i="8"/>
  <c r="V73" i="8"/>
  <c r="Z73" i="8"/>
  <c r="S73" i="8"/>
  <c r="W73" i="8"/>
  <c r="AA73" i="8"/>
  <c r="T73" i="8"/>
  <c r="X73" i="8"/>
  <c r="Y73" i="8"/>
  <c r="P73" i="8"/>
  <c r="M73" i="8"/>
  <c r="Q73" i="8"/>
  <c r="N73" i="8"/>
  <c r="O73" i="8"/>
  <c r="H73" i="8"/>
  <c r="L73" i="8"/>
  <c r="I73" i="8"/>
  <c r="F73" i="8"/>
  <c r="D73" i="8"/>
  <c r="J73" i="8"/>
  <c r="G73" i="8"/>
  <c r="E73" i="8"/>
  <c r="K73" i="8"/>
  <c r="R77" i="8"/>
  <c r="V77" i="8"/>
  <c r="Z77" i="8"/>
  <c r="S77" i="8"/>
  <c r="W77" i="8"/>
  <c r="AA77" i="8"/>
  <c r="T77" i="8"/>
  <c r="X77" i="8"/>
  <c r="P77" i="8"/>
  <c r="M77" i="8"/>
  <c r="Q77" i="8"/>
  <c r="Y77" i="8"/>
  <c r="N77" i="8"/>
  <c r="H77" i="8"/>
  <c r="L77" i="8"/>
  <c r="O77" i="8"/>
  <c r="I77" i="8"/>
  <c r="F77" i="8"/>
  <c r="D77" i="8"/>
  <c r="J77" i="8"/>
  <c r="G77" i="8"/>
  <c r="E77" i="8"/>
  <c r="K77" i="8"/>
  <c r="R81" i="8"/>
  <c r="V81" i="8"/>
  <c r="Z81" i="8"/>
  <c r="S81" i="8"/>
  <c r="W81" i="8"/>
  <c r="AA81" i="8"/>
  <c r="T81" i="8"/>
  <c r="X81" i="8"/>
  <c r="Y81" i="8"/>
  <c r="P81" i="8"/>
  <c r="M81" i="8"/>
  <c r="Q81" i="8"/>
  <c r="N81" i="8"/>
  <c r="H81" i="8"/>
  <c r="L81" i="8"/>
  <c r="K81" i="8"/>
  <c r="I81" i="8"/>
  <c r="F81" i="8"/>
  <c r="D81" i="8"/>
  <c r="O81" i="8"/>
  <c r="J81" i="8"/>
  <c r="G81" i="8"/>
  <c r="E81" i="8"/>
  <c r="C46" i="8"/>
  <c r="C53" i="8"/>
  <c r="C45" i="8"/>
  <c r="D16" i="8"/>
  <c r="R16" i="8"/>
  <c r="V16" i="8"/>
  <c r="Z16" i="8"/>
  <c r="S16" i="8"/>
  <c r="W16" i="8"/>
  <c r="AA16" i="8"/>
  <c r="T16" i="8"/>
  <c r="X16" i="8"/>
  <c r="U16" i="8"/>
  <c r="O16" i="8"/>
  <c r="Y16" i="8"/>
  <c r="P16" i="8"/>
  <c r="M16" i="8"/>
  <c r="Q16" i="8"/>
  <c r="H16" i="8"/>
  <c r="L16" i="8"/>
  <c r="I16" i="8"/>
  <c r="N16" i="8"/>
  <c r="J16" i="8"/>
  <c r="G16" i="8"/>
  <c r="F16" i="8"/>
  <c r="E16" i="8"/>
  <c r="K16" i="8"/>
  <c r="R20" i="8"/>
  <c r="V20" i="8"/>
  <c r="Z20" i="8"/>
  <c r="S20" i="8"/>
  <c r="W20" i="8"/>
  <c r="AA20" i="8"/>
  <c r="T20" i="8"/>
  <c r="X20" i="8"/>
  <c r="O20" i="8"/>
  <c r="P20" i="8"/>
  <c r="U20" i="8"/>
  <c r="M20" i="8"/>
  <c r="Q20" i="8"/>
  <c r="H20" i="8"/>
  <c r="L20" i="8"/>
  <c r="I20" i="8"/>
  <c r="Y20" i="8"/>
  <c r="J20" i="8"/>
  <c r="N20" i="8"/>
  <c r="G20" i="8"/>
  <c r="D20" i="8"/>
  <c r="K20" i="8"/>
  <c r="F20" i="8"/>
  <c r="E20" i="8"/>
  <c r="R60" i="8"/>
  <c r="V60" i="8"/>
  <c r="Z60" i="8"/>
  <c r="S60" i="8"/>
  <c r="W60" i="8"/>
  <c r="AA60" i="8"/>
  <c r="T60" i="8"/>
  <c r="X60" i="8"/>
  <c r="U60" i="8"/>
  <c r="Y60" i="8"/>
  <c r="Q60" i="8"/>
  <c r="N60" i="8"/>
  <c r="O60" i="8"/>
  <c r="P60" i="8"/>
  <c r="I60" i="8"/>
  <c r="G60" i="8"/>
  <c r="D60" i="8"/>
  <c r="H60" i="8"/>
  <c r="F60" i="8"/>
  <c r="J60" i="8"/>
  <c r="E60" i="8"/>
  <c r="L60" i="8"/>
  <c r="K60" i="8"/>
  <c r="T72" i="8"/>
  <c r="X72" i="8"/>
  <c r="Y72" i="8"/>
  <c r="R72" i="8"/>
  <c r="V72" i="8"/>
  <c r="Z72" i="8"/>
  <c r="S72" i="8"/>
  <c r="M72" i="8"/>
  <c r="Q72" i="8"/>
  <c r="W72" i="8"/>
  <c r="N72" i="8"/>
  <c r="AA72" i="8"/>
  <c r="O72" i="8"/>
  <c r="I72" i="8"/>
  <c r="G72" i="8"/>
  <c r="D72" i="8"/>
  <c r="H72" i="8"/>
  <c r="F72" i="8"/>
  <c r="J72" i="8"/>
  <c r="E72" i="8"/>
  <c r="P72" i="8"/>
  <c r="L72" i="8"/>
  <c r="K72" i="8"/>
  <c r="C72" i="8"/>
  <c r="R18" i="8"/>
  <c r="V18" i="8"/>
  <c r="Z18" i="8"/>
  <c r="S18" i="8"/>
  <c r="W18" i="8"/>
  <c r="AA18" i="8"/>
  <c r="T18" i="8"/>
  <c r="X18" i="8"/>
  <c r="M18" i="8"/>
  <c r="Q18" i="8"/>
  <c r="U18" i="8"/>
  <c r="N18" i="8"/>
  <c r="Y18" i="8"/>
  <c r="O18" i="8"/>
  <c r="J18" i="8"/>
  <c r="P18" i="8"/>
  <c r="K18" i="8"/>
  <c r="H18" i="8"/>
  <c r="L18" i="8"/>
  <c r="I18" i="8"/>
  <c r="G18" i="8"/>
  <c r="E18" i="8"/>
  <c r="D18" i="8"/>
  <c r="F18" i="8"/>
  <c r="R22" i="8"/>
  <c r="V22" i="8"/>
  <c r="Z22" i="8"/>
  <c r="S22" i="8"/>
  <c r="W22" i="8"/>
  <c r="AA22" i="8"/>
  <c r="T22" i="8"/>
  <c r="X22" i="8"/>
  <c r="Y22" i="8"/>
  <c r="M22" i="8"/>
  <c r="Q22" i="8"/>
  <c r="N22" i="8"/>
  <c r="O22" i="8"/>
  <c r="J22" i="8"/>
  <c r="K22" i="8"/>
  <c r="P22" i="8"/>
  <c r="H22" i="8"/>
  <c r="L22" i="8"/>
  <c r="U22" i="8"/>
  <c r="G22" i="8"/>
  <c r="F22" i="8"/>
  <c r="I22" i="8"/>
  <c r="E22" i="8"/>
  <c r="D22" i="8"/>
  <c r="R30" i="8"/>
  <c r="V30" i="8"/>
  <c r="Z30" i="8"/>
  <c r="S30" i="8"/>
  <c r="W30" i="8"/>
  <c r="AA30" i="8"/>
  <c r="T30" i="8"/>
  <c r="X30" i="8"/>
  <c r="M30" i="8"/>
  <c r="Q30" i="8"/>
  <c r="U30" i="8"/>
  <c r="N30" i="8"/>
  <c r="Y30" i="8"/>
  <c r="O30" i="8"/>
  <c r="J30" i="8"/>
  <c r="K30" i="8"/>
  <c r="H30" i="8"/>
  <c r="L30" i="8"/>
  <c r="G30" i="8"/>
  <c r="D30" i="8"/>
  <c r="E30" i="8"/>
  <c r="F30" i="8"/>
  <c r="P30" i="8"/>
  <c r="I30" i="8"/>
  <c r="T34" i="8"/>
  <c r="X34" i="8"/>
  <c r="U34" i="8"/>
  <c r="Y34" i="8"/>
  <c r="R34" i="8"/>
  <c r="V34" i="8"/>
  <c r="Z34" i="8"/>
  <c r="S34" i="8"/>
  <c r="N34" i="8"/>
  <c r="O34" i="8"/>
  <c r="AA34" i="8"/>
  <c r="P34" i="8"/>
  <c r="K34" i="8"/>
  <c r="H34" i="8"/>
  <c r="L34" i="8"/>
  <c r="M34" i="8"/>
  <c r="I34" i="8"/>
  <c r="E34" i="8"/>
  <c r="D34" i="8"/>
  <c r="F34" i="8"/>
  <c r="J34" i="8"/>
  <c r="G34" i="8"/>
  <c r="Q34" i="8"/>
  <c r="R42" i="8"/>
  <c r="V42" i="8"/>
  <c r="Z42" i="8"/>
  <c r="S42" i="8"/>
  <c r="W42" i="8"/>
  <c r="AA42" i="8"/>
  <c r="T42" i="8"/>
  <c r="X42" i="8"/>
  <c r="U42" i="8"/>
  <c r="Y42" i="8"/>
  <c r="P42" i="8"/>
  <c r="Q42" i="8"/>
  <c r="O42" i="8"/>
  <c r="H42" i="8"/>
  <c r="L42" i="8"/>
  <c r="I42" i="8"/>
  <c r="J42" i="8"/>
  <c r="N42" i="8"/>
  <c r="G42" i="8"/>
  <c r="F42" i="8"/>
  <c r="K42" i="8"/>
  <c r="D42" i="8"/>
  <c r="E42" i="8"/>
  <c r="T54" i="8"/>
  <c r="X54" i="8"/>
  <c r="U54" i="8"/>
  <c r="Y54" i="8"/>
  <c r="R54" i="8"/>
  <c r="V54" i="8"/>
  <c r="Z54" i="8"/>
  <c r="S54" i="8"/>
  <c r="W54" i="8"/>
  <c r="AA54" i="8"/>
  <c r="N54" i="8"/>
  <c r="O54" i="8"/>
  <c r="H54" i="8"/>
  <c r="L54" i="8"/>
  <c r="P54" i="8"/>
  <c r="I54" i="8"/>
  <c r="J54" i="8"/>
  <c r="E54" i="8"/>
  <c r="K54" i="8"/>
  <c r="F54" i="8"/>
  <c r="Q54" i="8"/>
  <c r="G54" i="8"/>
  <c r="D54" i="8"/>
  <c r="R62" i="8"/>
  <c r="V62" i="8"/>
  <c r="Z62" i="8"/>
  <c r="S62" i="8"/>
  <c r="W62" i="8"/>
  <c r="AA62" i="8"/>
  <c r="T62" i="8"/>
  <c r="X62" i="8"/>
  <c r="U62" i="8"/>
  <c r="O62" i="8"/>
  <c r="Y62" i="8"/>
  <c r="P62" i="8"/>
  <c r="Q62" i="8"/>
  <c r="K62" i="8"/>
  <c r="G62" i="8"/>
  <c r="J62" i="8"/>
  <c r="H62" i="8"/>
  <c r="L62" i="8"/>
  <c r="F62" i="8"/>
  <c r="N62" i="8"/>
  <c r="I62" i="8"/>
  <c r="D62" i="8"/>
  <c r="E62" i="8"/>
  <c r="R66" i="8"/>
  <c r="V66" i="8"/>
  <c r="Z66" i="8"/>
  <c r="S66" i="8"/>
  <c r="T66" i="8"/>
  <c r="X66" i="8"/>
  <c r="U66" i="8"/>
  <c r="W66" i="8"/>
  <c r="Y66" i="8"/>
  <c r="AA66" i="8"/>
  <c r="O66" i="8"/>
  <c r="P66" i="8"/>
  <c r="Q66" i="8"/>
  <c r="K66" i="8"/>
  <c r="G66" i="8"/>
  <c r="H66" i="8"/>
  <c r="L66" i="8"/>
  <c r="N66" i="8"/>
  <c r="J66" i="8"/>
  <c r="F66" i="8"/>
  <c r="E66" i="8"/>
  <c r="I66" i="8"/>
  <c r="D66" i="8"/>
  <c r="T70" i="8"/>
  <c r="X70" i="8"/>
  <c r="U70" i="8"/>
  <c r="Y70" i="8"/>
  <c r="R70" i="8"/>
  <c r="V70" i="8"/>
  <c r="Z70" i="8"/>
  <c r="W70" i="8"/>
  <c r="O70" i="8"/>
  <c r="AA70" i="8"/>
  <c r="P70" i="8"/>
  <c r="Q70" i="8"/>
  <c r="N70" i="8"/>
  <c r="K70" i="8"/>
  <c r="G70" i="8"/>
  <c r="E70" i="8"/>
  <c r="H70" i="8"/>
  <c r="L70" i="8"/>
  <c r="J70" i="8"/>
  <c r="F70" i="8"/>
  <c r="S70" i="8"/>
  <c r="I70" i="8"/>
  <c r="D70" i="8"/>
  <c r="T74" i="8"/>
  <c r="X74" i="8"/>
  <c r="Y74" i="8"/>
  <c r="R74" i="8"/>
  <c r="V74" i="8"/>
  <c r="Z74" i="8"/>
  <c r="O74" i="8"/>
  <c r="S74" i="8"/>
  <c r="P74" i="8"/>
  <c r="W74" i="8"/>
  <c r="M74" i="8"/>
  <c r="Q74" i="8"/>
  <c r="K74" i="8"/>
  <c r="G74" i="8"/>
  <c r="J74" i="8"/>
  <c r="AA74" i="8"/>
  <c r="N74" i="8"/>
  <c r="H74" i="8"/>
  <c r="L74" i="8"/>
  <c r="F74" i="8"/>
  <c r="I74" i="8"/>
  <c r="D74" i="8"/>
  <c r="E74" i="8"/>
  <c r="T78" i="8"/>
  <c r="X78" i="8"/>
  <c r="Y78" i="8"/>
  <c r="R78" i="8"/>
  <c r="V78" i="8"/>
  <c r="Z78" i="8"/>
  <c r="W78" i="8"/>
  <c r="O78" i="8"/>
  <c r="AA78" i="8"/>
  <c r="P78" i="8"/>
  <c r="M78" i="8"/>
  <c r="Q78" i="8"/>
  <c r="K78" i="8"/>
  <c r="G78" i="8"/>
  <c r="F78" i="8"/>
  <c r="H78" i="8"/>
  <c r="L78" i="8"/>
  <c r="S78" i="8"/>
  <c r="J78" i="8"/>
  <c r="E78" i="8"/>
  <c r="N78" i="8"/>
  <c r="I78" i="8"/>
  <c r="D78" i="8"/>
  <c r="T82" i="8"/>
  <c r="X82" i="8"/>
  <c r="Y82" i="8"/>
  <c r="R82" i="8"/>
  <c r="V82" i="8"/>
  <c r="Z82" i="8"/>
  <c r="O82" i="8"/>
  <c r="S82" i="8"/>
  <c r="P82" i="8"/>
  <c r="W82" i="8"/>
  <c r="M82" i="8"/>
  <c r="Q82" i="8"/>
  <c r="K82" i="8"/>
  <c r="G82" i="8"/>
  <c r="E82" i="8"/>
  <c r="H82" i="8"/>
  <c r="L82" i="8"/>
  <c r="N82" i="8"/>
  <c r="AA82" i="8"/>
  <c r="I82" i="8"/>
  <c r="D82" i="8"/>
  <c r="J82" i="8"/>
  <c r="F82" i="8"/>
  <c r="C82" i="8"/>
  <c r="C78" i="8"/>
  <c r="C74" i="8"/>
  <c r="C70" i="8"/>
  <c r="C66" i="8"/>
  <c r="C62" i="8"/>
  <c r="C57" i="8"/>
  <c r="C42" i="8"/>
  <c r="C33" i="8"/>
  <c r="R36" i="8"/>
  <c r="V36" i="8"/>
  <c r="Z36" i="8"/>
  <c r="S36" i="8"/>
  <c r="AA36" i="8"/>
  <c r="T36" i="8"/>
  <c r="X36" i="8"/>
  <c r="Y36" i="8"/>
  <c r="M36" i="8"/>
  <c r="Q36" i="8"/>
  <c r="N36" i="8"/>
  <c r="O36" i="8"/>
  <c r="U36" i="8"/>
  <c r="P36" i="8"/>
  <c r="J36" i="8"/>
  <c r="K36" i="8"/>
  <c r="H36" i="8"/>
  <c r="L36" i="8"/>
  <c r="G36" i="8"/>
  <c r="D36" i="8"/>
  <c r="E36" i="8"/>
  <c r="I36" i="8"/>
  <c r="F36" i="8"/>
  <c r="T56" i="8"/>
  <c r="X56" i="8"/>
  <c r="U56" i="8"/>
  <c r="Y56" i="8"/>
  <c r="R56" i="8"/>
  <c r="V56" i="8"/>
  <c r="Z56" i="8"/>
  <c r="S56" i="8"/>
  <c r="W56" i="8"/>
  <c r="P56" i="8"/>
  <c r="Q56" i="8"/>
  <c r="AA56" i="8"/>
  <c r="N56" i="8"/>
  <c r="O56" i="8"/>
  <c r="H56" i="8"/>
  <c r="L56" i="8"/>
  <c r="K56" i="8"/>
  <c r="I56" i="8"/>
  <c r="F56" i="8"/>
  <c r="D56" i="8"/>
  <c r="J56" i="8"/>
  <c r="G56" i="8"/>
  <c r="E56" i="8"/>
  <c r="T68" i="8"/>
  <c r="X68" i="8"/>
  <c r="U68" i="8"/>
  <c r="Y68" i="8"/>
  <c r="R68" i="8"/>
  <c r="V68" i="8"/>
  <c r="Z68" i="8"/>
  <c r="AA68" i="8"/>
  <c r="Q68" i="8"/>
  <c r="N68" i="8"/>
  <c r="S68" i="8"/>
  <c r="O68" i="8"/>
  <c r="I68" i="8"/>
  <c r="G68" i="8"/>
  <c r="D68" i="8"/>
  <c r="F68" i="8"/>
  <c r="W68" i="8"/>
  <c r="J68" i="8"/>
  <c r="E68" i="8"/>
  <c r="H68" i="8"/>
  <c r="P68" i="8"/>
  <c r="K68" i="8"/>
  <c r="L68" i="8"/>
  <c r="T80" i="8"/>
  <c r="X80" i="8"/>
  <c r="Y80" i="8"/>
  <c r="R80" i="8"/>
  <c r="V80" i="8"/>
  <c r="Z80" i="8"/>
  <c r="S80" i="8"/>
  <c r="M80" i="8"/>
  <c r="Q80" i="8"/>
  <c r="W80" i="8"/>
  <c r="N80" i="8"/>
  <c r="AA80" i="8"/>
  <c r="O80" i="8"/>
  <c r="I80" i="8"/>
  <c r="G80" i="8"/>
  <c r="D80" i="8"/>
  <c r="P80" i="8"/>
  <c r="J80" i="8"/>
  <c r="E80" i="8"/>
  <c r="L80" i="8"/>
  <c r="F80" i="8"/>
  <c r="K80" i="8"/>
  <c r="H80" i="8"/>
  <c r="C64" i="8"/>
  <c r="T19" i="8"/>
  <c r="X19" i="8"/>
  <c r="U19" i="8"/>
  <c r="Y19" i="8"/>
  <c r="R19" i="8"/>
  <c r="V19" i="8"/>
  <c r="Z19" i="8"/>
  <c r="W19" i="8"/>
  <c r="P19" i="8"/>
  <c r="AA19" i="8"/>
  <c r="M19" i="8"/>
  <c r="Q19" i="8"/>
  <c r="N19" i="8"/>
  <c r="I19" i="8"/>
  <c r="S19" i="8"/>
  <c r="J19" i="8"/>
  <c r="O19" i="8"/>
  <c r="K19" i="8"/>
  <c r="H19" i="8"/>
  <c r="F19" i="8"/>
  <c r="D19" i="8"/>
  <c r="L19" i="8"/>
  <c r="G19" i="8"/>
  <c r="E19" i="8"/>
  <c r="T23" i="8"/>
  <c r="X23" i="8"/>
  <c r="U23" i="8"/>
  <c r="Y23" i="8"/>
  <c r="R23" i="8"/>
  <c r="V23" i="8"/>
  <c r="Z23" i="8"/>
  <c r="P23" i="8"/>
  <c r="S23" i="8"/>
  <c r="M23" i="8"/>
  <c r="Q23" i="8"/>
  <c r="W23" i="8"/>
  <c r="N23" i="8"/>
  <c r="AA23" i="8"/>
  <c r="I23" i="8"/>
  <c r="J23" i="8"/>
  <c r="K23" i="8"/>
  <c r="L23" i="8"/>
  <c r="O23" i="8"/>
  <c r="F23" i="8"/>
  <c r="H23" i="8"/>
  <c r="G23" i="8"/>
  <c r="E23" i="8"/>
  <c r="T31" i="8"/>
  <c r="X31" i="8"/>
  <c r="U31" i="8"/>
  <c r="Y31" i="8"/>
  <c r="R31" i="8"/>
  <c r="V31" i="8"/>
  <c r="Z31" i="8"/>
  <c r="P31" i="8"/>
  <c r="AA31" i="8"/>
  <c r="M31" i="8"/>
  <c r="Q31" i="8"/>
  <c r="N31" i="8"/>
  <c r="O31" i="8"/>
  <c r="I31" i="8"/>
  <c r="J31" i="8"/>
  <c r="S31" i="8"/>
  <c r="K31" i="8"/>
  <c r="L31" i="8"/>
  <c r="F31" i="8"/>
  <c r="D31" i="8"/>
  <c r="G31" i="8"/>
  <c r="E31" i="8"/>
  <c r="H31" i="8"/>
  <c r="C35" i="8"/>
  <c r="T39" i="8"/>
  <c r="X39" i="8"/>
  <c r="U39" i="8"/>
  <c r="Y39" i="8"/>
  <c r="R39" i="8"/>
  <c r="V39" i="8"/>
  <c r="Z39" i="8"/>
  <c r="S39" i="8"/>
  <c r="Q39" i="8"/>
  <c r="W39" i="8"/>
  <c r="N39" i="8"/>
  <c r="I39" i="8"/>
  <c r="AA39" i="8"/>
  <c r="O39" i="8"/>
  <c r="J39" i="8"/>
  <c r="P39" i="8"/>
  <c r="K39" i="8"/>
  <c r="H39" i="8"/>
  <c r="L39" i="8"/>
  <c r="F39" i="8"/>
  <c r="D39" i="8"/>
  <c r="G39" i="8"/>
  <c r="E39" i="8"/>
  <c r="T51" i="8"/>
  <c r="X51" i="8"/>
  <c r="U51" i="8"/>
  <c r="Y51" i="8"/>
  <c r="R51" i="8"/>
  <c r="V51" i="8"/>
  <c r="Z51" i="8"/>
  <c r="W51" i="8"/>
  <c r="AA51" i="8"/>
  <c r="P51" i="8"/>
  <c r="Q51" i="8"/>
  <c r="J51" i="8"/>
  <c r="N51" i="8"/>
  <c r="K51" i="8"/>
  <c r="L51" i="8"/>
  <c r="F51" i="8"/>
  <c r="D51" i="8"/>
  <c r="O51" i="8"/>
  <c r="S51" i="8"/>
  <c r="H51" i="8"/>
  <c r="G51" i="8"/>
  <c r="E51" i="8"/>
  <c r="I51" i="8"/>
  <c r="R55" i="8"/>
  <c r="V55" i="8"/>
  <c r="Z55" i="8"/>
  <c r="S55" i="8"/>
  <c r="W55" i="8"/>
  <c r="AA55" i="8"/>
  <c r="T55" i="8"/>
  <c r="X55" i="8"/>
  <c r="Y55" i="8"/>
  <c r="Q55" i="8"/>
  <c r="U55" i="8"/>
  <c r="N55" i="8"/>
  <c r="K55" i="8"/>
  <c r="O55" i="8"/>
  <c r="H55" i="8"/>
  <c r="L55" i="8"/>
  <c r="G55" i="8"/>
  <c r="D55" i="8"/>
  <c r="E55" i="8"/>
  <c r="F55" i="8"/>
  <c r="I55" i="8"/>
  <c r="P55" i="8"/>
  <c r="J55" i="8"/>
  <c r="T59" i="8"/>
  <c r="X59" i="8"/>
  <c r="U59" i="8"/>
  <c r="Y59" i="8"/>
  <c r="R59" i="8"/>
  <c r="V59" i="8"/>
  <c r="Z59" i="8"/>
  <c r="AA59" i="8"/>
  <c r="S59" i="8"/>
  <c r="N59" i="8"/>
  <c r="O59" i="8"/>
  <c r="P59" i="8"/>
  <c r="J59" i="8"/>
  <c r="E59" i="8"/>
  <c r="D59" i="8"/>
  <c r="K59" i="8"/>
  <c r="F59" i="8"/>
  <c r="H59" i="8"/>
  <c r="L59" i="8"/>
  <c r="G59" i="8"/>
  <c r="W59" i="8"/>
  <c r="Q59" i="8"/>
  <c r="I59" i="8"/>
  <c r="T63" i="8"/>
  <c r="X63" i="8"/>
  <c r="U63" i="8"/>
  <c r="Y63" i="8"/>
  <c r="R63" i="8"/>
  <c r="V63" i="8"/>
  <c r="Z63" i="8"/>
  <c r="S63" i="8"/>
  <c r="W63" i="8"/>
  <c r="AA63" i="8"/>
  <c r="N63" i="8"/>
  <c r="O63" i="8"/>
  <c r="P63" i="8"/>
  <c r="Q63" i="8"/>
  <c r="J63" i="8"/>
  <c r="E63" i="8"/>
  <c r="K63" i="8"/>
  <c r="F63" i="8"/>
  <c r="H63" i="8"/>
  <c r="L63" i="8"/>
  <c r="G63" i="8"/>
  <c r="I63" i="8"/>
  <c r="D63" i="8"/>
  <c r="T67" i="8"/>
  <c r="R67" i="8"/>
  <c r="V67" i="8"/>
  <c r="Z67" i="8"/>
  <c r="S67" i="8"/>
  <c r="Y67" i="8"/>
  <c r="U67" i="8"/>
  <c r="AA67" i="8"/>
  <c r="W67" i="8"/>
  <c r="N67" i="8"/>
  <c r="X67" i="8"/>
  <c r="O67" i="8"/>
  <c r="P67" i="8"/>
  <c r="J67" i="8"/>
  <c r="E67" i="8"/>
  <c r="I67" i="8"/>
  <c r="D67" i="8"/>
  <c r="Q67" i="8"/>
  <c r="K67" i="8"/>
  <c r="F67" i="8"/>
  <c r="H67" i="8"/>
  <c r="L67" i="8"/>
  <c r="G67" i="8"/>
  <c r="R71" i="8"/>
  <c r="V71" i="8"/>
  <c r="Z71" i="8"/>
  <c r="S71" i="8"/>
  <c r="W71" i="8"/>
  <c r="AA71" i="8"/>
  <c r="T71" i="8"/>
  <c r="X71" i="8"/>
  <c r="N71" i="8"/>
  <c r="O71" i="8"/>
  <c r="U71" i="8"/>
  <c r="P71" i="8"/>
  <c r="J71" i="8"/>
  <c r="E71" i="8"/>
  <c r="Y71" i="8"/>
  <c r="K71" i="8"/>
  <c r="F71" i="8"/>
  <c r="D71" i="8"/>
  <c r="Q71" i="8"/>
  <c r="H71" i="8"/>
  <c r="L71" i="8"/>
  <c r="G71" i="8"/>
  <c r="I71" i="8"/>
  <c r="R75" i="8"/>
  <c r="V75" i="8"/>
  <c r="Z75" i="8"/>
  <c r="S75" i="8"/>
  <c r="W75" i="8"/>
  <c r="AA75" i="8"/>
  <c r="T75" i="8"/>
  <c r="X75" i="8"/>
  <c r="N75" i="8"/>
  <c r="Y75" i="8"/>
  <c r="O75" i="8"/>
  <c r="P75" i="8"/>
  <c r="J75" i="8"/>
  <c r="E75" i="8"/>
  <c r="K75" i="8"/>
  <c r="F75" i="8"/>
  <c r="I75" i="8"/>
  <c r="M75" i="8"/>
  <c r="H75" i="8"/>
  <c r="L75" i="8"/>
  <c r="G75" i="8"/>
  <c r="Q75" i="8"/>
  <c r="D75" i="8"/>
  <c r="R79" i="8"/>
  <c r="V79" i="8"/>
  <c r="Z79" i="8"/>
  <c r="S79" i="8"/>
  <c r="W79" i="8"/>
  <c r="AA79" i="8"/>
  <c r="T79" i="8"/>
  <c r="X79" i="8"/>
  <c r="N79" i="8"/>
  <c r="O79" i="8"/>
  <c r="P79" i="8"/>
  <c r="Y79" i="8"/>
  <c r="Q79" i="8"/>
  <c r="J79" i="8"/>
  <c r="E79" i="8"/>
  <c r="M79" i="8"/>
  <c r="I79" i="8"/>
  <c r="D79" i="8"/>
  <c r="K79" i="8"/>
  <c r="F79" i="8"/>
  <c r="H79" i="8"/>
  <c r="L79" i="8"/>
  <c r="G79" i="8"/>
  <c r="R83" i="8"/>
  <c r="V83" i="8"/>
  <c r="Z83" i="8"/>
  <c r="S83" i="8"/>
  <c r="W83" i="8"/>
  <c r="AA83" i="8"/>
  <c r="T83" i="8"/>
  <c r="X83" i="8"/>
  <c r="N83" i="8"/>
  <c r="Y83" i="8"/>
  <c r="O83" i="8"/>
  <c r="P83" i="8"/>
  <c r="M83" i="8"/>
  <c r="J83" i="8"/>
  <c r="E83" i="8"/>
  <c r="Q83" i="8"/>
  <c r="K83" i="8"/>
  <c r="F83" i="8"/>
  <c r="I83" i="8"/>
  <c r="D83" i="8"/>
  <c r="H83" i="8"/>
  <c r="L83" i="8"/>
  <c r="G83" i="8"/>
  <c r="C81" i="8"/>
  <c r="C77" i="8"/>
  <c r="C73" i="8"/>
  <c r="C69" i="8"/>
  <c r="C65" i="8"/>
  <c r="C61" i="8"/>
  <c r="C56" i="8"/>
  <c r="C49" i="8"/>
  <c r="C39" i="8"/>
  <c r="C31" i="8"/>
  <c r="C58" i="8"/>
  <c r="R58" i="8"/>
  <c r="V58" i="8"/>
  <c r="Z58" i="8"/>
  <c r="P58" i="8"/>
  <c r="H58" i="8"/>
  <c r="L58" i="8"/>
  <c r="F58" i="8"/>
  <c r="S58" i="8"/>
  <c r="W58" i="8"/>
  <c r="AA58" i="8"/>
  <c r="M58" i="8"/>
  <c r="Q58" i="8"/>
  <c r="I58" i="8"/>
  <c r="G58" i="8"/>
  <c r="E58" i="8"/>
  <c r="D58" i="8"/>
  <c r="T58" i="8"/>
  <c r="X58" i="8"/>
  <c r="N58" i="8"/>
  <c r="J58" i="8"/>
  <c r="U58" i="8"/>
  <c r="Y58" i="8"/>
  <c r="O58" i="8"/>
  <c r="K58" i="8"/>
  <c r="X15" i="8"/>
  <c r="S15" i="8"/>
  <c r="O15" i="8"/>
  <c r="J15" i="8"/>
  <c r="T15" i="8"/>
  <c r="D15" i="8"/>
  <c r="AA15" i="8"/>
  <c r="V15" i="8"/>
  <c r="W15" i="8"/>
  <c r="N15" i="8"/>
  <c r="I15" i="8"/>
  <c r="G15" i="8"/>
  <c r="Y15" i="8"/>
  <c r="K15" i="8"/>
  <c r="Z15" i="8"/>
  <c r="U15" i="8"/>
  <c r="R15" i="8"/>
  <c r="Q15" i="8"/>
  <c r="M15" i="8"/>
  <c r="L15" i="8"/>
  <c r="H15" i="8"/>
  <c r="F15" i="8"/>
  <c r="E15" i="8"/>
  <c r="P15" i="8"/>
  <c r="R52" i="8"/>
  <c r="V52" i="8"/>
  <c r="Z52" i="8"/>
  <c r="O52" i="8"/>
  <c r="I52" i="8"/>
  <c r="F52" i="8"/>
  <c r="D52" i="8"/>
  <c r="L52" i="8"/>
  <c r="S52" i="8"/>
  <c r="W52" i="8"/>
  <c r="AA52" i="8"/>
  <c r="P52" i="8"/>
  <c r="J52" i="8"/>
  <c r="G52" i="8"/>
  <c r="U52" i="8"/>
  <c r="H52" i="8"/>
  <c r="T52" i="8"/>
  <c r="X52" i="8"/>
  <c r="Q52" i="8"/>
  <c r="K52" i="8"/>
  <c r="E52" i="8"/>
  <c r="Y52" i="8"/>
  <c r="N52" i="8"/>
  <c r="T50" i="8"/>
  <c r="X50" i="8"/>
  <c r="N50" i="8"/>
  <c r="K50" i="8"/>
  <c r="S50" i="8"/>
  <c r="Q50" i="8"/>
  <c r="J50" i="8"/>
  <c r="G50" i="8"/>
  <c r="E50" i="8"/>
  <c r="U50" i="8"/>
  <c r="Y50" i="8"/>
  <c r="O50" i="8"/>
  <c r="H50" i="8"/>
  <c r="L50" i="8"/>
  <c r="W50" i="8"/>
  <c r="R50" i="8"/>
  <c r="V50" i="8"/>
  <c r="Z50" i="8"/>
  <c r="P50" i="8"/>
  <c r="I50" i="8"/>
  <c r="F50" i="8"/>
  <c r="D50" i="8"/>
  <c r="AA50" i="8"/>
  <c r="R48" i="8"/>
  <c r="V48" i="8"/>
  <c r="Z48" i="8"/>
  <c r="Q48" i="8"/>
  <c r="I48" i="8"/>
  <c r="F48" i="8"/>
  <c r="E48" i="8"/>
  <c r="D48" i="8"/>
  <c r="T48" i="8"/>
  <c r="U48" i="8"/>
  <c r="L48" i="8"/>
  <c r="S48" i="8"/>
  <c r="W48" i="8"/>
  <c r="AA48" i="8"/>
  <c r="N48" i="8"/>
  <c r="J48" i="8"/>
  <c r="G48" i="8"/>
  <c r="X48" i="8"/>
  <c r="O48" i="8"/>
  <c r="K48" i="8"/>
  <c r="Y48" i="8"/>
  <c r="P48" i="8"/>
  <c r="H48" i="8"/>
  <c r="C48" i="8"/>
  <c r="R47" i="8"/>
  <c r="V47" i="8"/>
  <c r="Z47" i="8"/>
  <c r="O47" i="8"/>
  <c r="J47" i="8"/>
  <c r="F47" i="8"/>
  <c r="T47" i="8"/>
  <c r="Q47" i="8"/>
  <c r="H47" i="8"/>
  <c r="E47" i="8"/>
  <c r="U47" i="8"/>
  <c r="I47" i="8"/>
  <c r="D47" i="8"/>
  <c r="S47" i="8"/>
  <c r="W47" i="8"/>
  <c r="AA47" i="8"/>
  <c r="P47" i="8"/>
  <c r="K47" i="8"/>
  <c r="G47" i="8"/>
  <c r="X47" i="8"/>
  <c r="L47" i="8"/>
  <c r="Y47" i="8"/>
  <c r="N47" i="8"/>
  <c r="R46" i="8"/>
  <c r="V46" i="8"/>
  <c r="Z46" i="8"/>
  <c r="Q46" i="8"/>
  <c r="K46" i="8"/>
  <c r="F46" i="8"/>
  <c r="E46" i="8"/>
  <c r="U46" i="8"/>
  <c r="S46" i="8"/>
  <c r="W46" i="8"/>
  <c r="AA46" i="8"/>
  <c r="N46" i="8"/>
  <c r="H46" i="8"/>
  <c r="L46" i="8"/>
  <c r="G46" i="8"/>
  <c r="P46" i="8"/>
  <c r="J46" i="8"/>
  <c r="T46" i="8"/>
  <c r="X46" i="8"/>
  <c r="O46" i="8"/>
  <c r="I46" i="8"/>
  <c r="D46" i="8"/>
  <c r="Y46" i="8"/>
  <c r="T44" i="8"/>
  <c r="X44" i="8"/>
  <c r="P44" i="8"/>
  <c r="I44" i="8"/>
  <c r="D44" i="8"/>
  <c r="AA44" i="8"/>
  <c r="O44" i="8"/>
  <c r="L44" i="8"/>
  <c r="G44" i="8"/>
  <c r="U44" i="8"/>
  <c r="Y44" i="8"/>
  <c r="Q44" i="8"/>
  <c r="J44" i="8"/>
  <c r="E44" i="8"/>
  <c r="W44" i="8"/>
  <c r="H44" i="8"/>
  <c r="R44" i="8"/>
  <c r="V44" i="8"/>
  <c r="Z44" i="8"/>
  <c r="N44" i="8"/>
  <c r="K44" i="8"/>
  <c r="F44" i="8"/>
  <c r="S44" i="8"/>
  <c r="C44" i="8"/>
  <c r="T43" i="8"/>
  <c r="X43" i="8"/>
  <c r="N43" i="8"/>
  <c r="J43" i="8"/>
  <c r="L43" i="8"/>
  <c r="F43" i="8"/>
  <c r="S43" i="8"/>
  <c r="I43" i="8"/>
  <c r="G43" i="8"/>
  <c r="E43" i="8"/>
  <c r="U43" i="8"/>
  <c r="Y43" i="8"/>
  <c r="O43" i="8"/>
  <c r="K43" i="8"/>
  <c r="AA43" i="8"/>
  <c r="Q43" i="8"/>
  <c r="D43" i="8"/>
  <c r="R43" i="8"/>
  <c r="V43" i="8"/>
  <c r="Z43" i="8"/>
  <c r="P43" i="8"/>
  <c r="H43" i="8"/>
  <c r="W43" i="8"/>
  <c r="C43" i="8"/>
  <c r="R41" i="8"/>
  <c r="V41" i="8"/>
  <c r="Z41" i="8"/>
  <c r="Q41" i="8"/>
  <c r="H41" i="8"/>
  <c r="L41" i="8"/>
  <c r="F41" i="8"/>
  <c r="E41" i="8"/>
  <c r="U41" i="8"/>
  <c r="K41" i="8"/>
  <c r="S41" i="8"/>
  <c r="W41" i="8"/>
  <c r="AA41" i="8"/>
  <c r="N41" i="8"/>
  <c r="I41" i="8"/>
  <c r="G41" i="8"/>
  <c r="D41" i="8"/>
  <c r="Y41" i="8"/>
  <c r="P41" i="8"/>
  <c r="T41" i="8"/>
  <c r="X41" i="8"/>
  <c r="O41" i="8"/>
  <c r="J41" i="8"/>
  <c r="C41" i="8"/>
  <c r="R40" i="8"/>
  <c r="V40" i="8"/>
  <c r="Z40" i="8"/>
  <c r="O40" i="8"/>
  <c r="I40" i="8"/>
  <c r="F40" i="8"/>
  <c r="D40" i="8"/>
  <c r="Y40" i="8"/>
  <c r="L40" i="8"/>
  <c r="S40" i="8"/>
  <c r="W40" i="8"/>
  <c r="AA40" i="8"/>
  <c r="P40" i="8"/>
  <c r="J40" i="8"/>
  <c r="G40" i="8"/>
  <c r="T40" i="8"/>
  <c r="X40" i="8"/>
  <c r="Q40" i="8"/>
  <c r="K40" i="8"/>
  <c r="E40" i="8"/>
  <c r="U40" i="8"/>
  <c r="N40" i="8"/>
  <c r="H40" i="8"/>
  <c r="T38" i="8"/>
  <c r="X38" i="8"/>
  <c r="N38" i="8"/>
  <c r="K38" i="8"/>
  <c r="AA38" i="8"/>
  <c r="Q38" i="8"/>
  <c r="J38" i="8"/>
  <c r="G38" i="8"/>
  <c r="U38" i="8"/>
  <c r="Y38" i="8"/>
  <c r="O38" i="8"/>
  <c r="H38" i="8"/>
  <c r="L38" i="8"/>
  <c r="S38" i="8"/>
  <c r="E38" i="8"/>
  <c r="R38" i="8"/>
  <c r="V38" i="8"/>
  <c r="Z38" i="8"/>
  <c r="P38" i="8"/>
  <c r="I38" i="8"/>
  <c r="F38" i="8"/>
  <c r="D38" i="8"/>
  <c r="W38" i="8"/>
  <c r="C38" i="8"/>
  <c r="C37" i="8"/>
  <c r="T37" i="8"/>
  <c r="X37" i="8"/>
  <c r="P37" i="8"/>
  <c r="H37" i="8"/>
  <c r="L37" i="8"/>
  <c r="W37" i="8"/>
  <c r="O37" i="8"/>
  <c r="G37" i="8"/>
  <c r="U37" i="8"/>
  <c r="Y37" i="8"/>
  <c r="Q37" i="8"/>
  <c r="I37" i="8"/>
  <c r="E37" i="8"/>
  <c r="D37" i="8"/>
  <c r="S37" i="8"/>
  <c r="K37" i="8"/>
  <c r="R37" i="8"/>
  <c r="V37" i="8"/>
  <c r="Z37" i="8"/>
  <c r="N37" i="8"/>
  <c r="J37" i="8"/>
  <c r="F37" i="8"/>
  <c r="AA37" i="8"/>
  <c r="S35" i="8"/>
  <c r="AA35" i="8"/>
  <c r="P35" i="8"/>
  <c r="K35" i="8"/>
  <c r="G35" i="8"/>
  <c r="D35" i="8"/>
  <c r="R35" i="8"/>
  <c r="O35" i="8"/>
  <c r="T35" i="8"/>
  <c r="X35" i="8"/>
  <c r="M35" i="8"/>
  <c r="Q35" i="8"/>
  <c r="H35" i="8"/>
  <c r="L35" i="8"/>
  <c r="E35" i="8"/>
  <c r="V35" i="8"/>
  <c r="J35" i="8"/>
  <c r="F35" i="8"/>
  <c r="U35" i="8"/>
  <c r="Y35" i="8"/>
  <c r="N35" i="8"/>
  <c r="I35" i="8"/>
  <c r="Z35" i="8"/>
  <c r="R32" i="8"/>
  <c r="V32" i="8"/>
  <c r="Z32" i="8"/>
  <c r="O32" i="8"/>
  <c r="I32" i="8"/>
  <c r="F32" i="8"/>
  <c r="D32" i="8"/>
  <c r="T32" i="8"/>
  <c r="Q32" i="8"/>
  <c r="S32" i="8"/>
  <c r="AA32" i="8"/>
  <c r="P32" i="8"/>
  <c r="J32" i="8"/>
  <c r="G32" i="8"/>
  <c r="X32" i="8"/>
  <c r="M32" i="8"/>
  <c r="K32" i="8"/>
  <c r="E32" i="8"/>
  <c r="U32" i="8"/>
  <c r="Y32" i="8"/>
  <c r="N32" i="8"/>
  <c r="H32" i="8"/>
  <c r="L32" i="8"/>
  <c r="T28" i="8"/>
  <c r="X28" i="8"/>
  <c r="P28" i="8"/>
  <c r="I28" i="8"/>
  <c r="D28" i="8"/>
  <c r="W28" i="8"/>
  <c r="AA28" i="8"/>
  <c r="U28" i="8"/>
  <c r="Y28" i="8"/>
  <c r="M28" i="8"/>
  <c r="Q28" i="8"/>
  <c r="J28" i="8"/>
  <c r="E28" i="8"/>
  <c r="O28" i="8"/>
  <c r="H28" i="8"/>
  <c r="G28" i="8"/>
  <c r="R28" i="8"/>
  <c r="V28" i="8"/>
  <c r="Z28" i="8"/>
  <c r="N28" i="8"/>
  <c r="K28" i="8"/>
  <c r="F28" i="8"/>
  <c r="S28" i="8"/>
  <c r="L28" i="8"/>
  <c r="T27" i="8"/>
  <c r="X27" i="8"/>
  <c r="N27" i="8"/>
  <c r="J27" i="8"/>
  <c r="S27" i="8"/>
  <c r="Q27" i="8"/>
  <c r="E27" i="8"/>
  <c r="D27" i="8"/>
  <c r="U27" i="8"/>
  <c r="Y27" i="8"/>
  <c r="O27" i="8"/>
  <c r="K27" i="8"/>
  <c r="W27" i="8"/>
  <c r="G27" i="8"/>
  <c r="R27" i="8"/>
  <c r="V27" i="8"/>
  <c r="Z27" i="8"/>
  <c r="P27" i="8"/>
  <c r="H27" i="8"/>
  <c r="L27" i="8"/>
  <c r="F27" i="8"/>
  <c r="AA27" i="8"/>
  <c r="M27" i="8"/>
  <c r="I27" i="8"/>
  <c r="R24" i="8"/>
  <c r="V24" i="8"/>
  <c r="Z24" i="8"/>
  <c r="M24" i="8"/>
  <c r="Q24" i="8"/>
  <c r="H24" i="8"/>
  <c r="L24" i="8"/>
  <c r="F24" i="8"/>
  <c r="E24" i="8"/>
  <c r="Y24" i="8"/>
  <c r="P24" i="8"/>
  <c r="S24" i="8"/>
  <c r="W24" i="8"/>
  <c r="AA24" i="8"/>
  <c r="N24" i="8"/>
  <c r="I24" i="8"/>
  <c r="G24" i="8"/>
  <c r="T24" i="8"/>
  <c r="X24" i="8"/>
  <c r="O24" i="8"/>
  <c r="J24" i="8"/>
  <c r="D24" i="8"/>
  <c r="U24" i="8"/>
  <c r="K24" i="8"/>
  <c r="R26" i="8"/>
  <c r="V26" i="8"/>
  <c r="Z26" i="8"/>
  <c r="O26" i="8"/>
  <c r="H26" i="8"/>
  <c r="L26" i="8"/>
  <c r="G26" i="8"/>
  <c r="E26" i="8"/>
  <c r="N26" i="8"/>
  <c r="S26" i="8"/>
  <c r="W26" i="8"/>
  <c r="AA26" i="8"/>
  <c r="P26" i="8"/>
  <c r="I26" i="8"/>
  <c r="U26" i="8"/>
  <c r="D26" i="8"/>
  <c r="T26" i="8"/>
  <c r="X26" i="8"/>
  <c r="M26" i="8"/>
  <c r="Q26" i="8"/>
  <c r="J26" i="8"/>
  <c r="Y26" i="8"/>
  <c r="K26" i="8"/>
  <c r="F26" i="8"/>
  <c r="D23" i="8"/>
  <c r="C15" i="8"/>
  <c r="C54" i="8"/>
  <c r="B84" i="4" l="1"/>
  <c r="B85" i="4" s="1"/>
  <c r="B86" i="4" s="1"/>
  <c r="B87" i="4" s="1"/>
  <c r="H4" i="8"/>
  <c r="G4" i="8"/>
  <c r="I4" i="8"/>
  <c r="F4" i="8"/>
  <c r="I6" i="8"/>
  <c r="H8" i="8"/>
  <c r="G6" i="8"/>
  <c r="G8" i="8"/>
  <c r="F8" i="8"/>
  <c r="F5" i="8"/>
  <c r="F7" i="8"/>
  <c r="I5" i="8"/>
  <c r="I7" i="8"/>
  <c r="I8" i="8"/>
  <c r="H5" i="8"/>
  <c r="G5" i="8"/>
  <c r="G7" i="8"/>
  <c r="H6" i="8"/>
  <c r="F6" i="8"/>
  <c r="E5" i="8"/>
  <c r="E7" i="8"/>
  <c r="E53" i="4"/>
  <c r="D53" i="4"/>
  <c r="D46" i="6"/>
  <c r="C46" i="6"/>
  <c r="E46" i="4"/>
  <c r="D46" i="4"/>
  <c r="D39" i="6"/>
  <c r="C39" i="6"/>
  <c r="D21" i="6"/>
  <c r="C21" i="6"/>
  <c r="E28" i="4"/>
  <c r="D28" i="4"/>
  <c r="E27" i="4"/>
  <c r="D27" i="4"/>
  <c r="D20" i="6"/>
  <c r="C20" i="6"/>
  <c r="D12" i="6"/>
  <c r="C12" i="6"/>
  <c r="E19" i="4"/>
  <c r="D19" i="4"/>
  <c r="E18" i="4"/>
  <c r="D18" i="4"/>
  <c r="D11" i="6"/>
  <c r="C11" i="6"/>
  <c r="E80" i="6" l="1"/>
  <c r="E79" i="6"/>
  <c r="E78" i="6"/>
  <c r="E77" i="6"/>
  <c r="E76" i="6"/>
  <c r="E73" i="6"/>
  <c r="E72" i="6"/>
  <c r="E71" i="6"/>
  <c r="E70" i="6"/>
  <c r="E69" i="6"/>
  <c r="E68" i="6"/>
  <c r="E67" i="6"/>
  <c r="E66" i="6"/>
  <c r="E65" i="6"/>
  <c r="E64" i="6"/>
  <c r="E63" i="6"/>
  <c r="E62" i="6"/>
  <c r="E61" i="6"/>
  <c r="E60" i="6"/>
  <c r="E59" i="6"/>
  <c r="E57" i="6"/>
  <c r="E56" i="6"/>
  <c r="E54" i="6"/>
  <c r="E53" i="6"/>
  <c r="E51" i="6"/>
  <c r="E50" i="6"/>
  <c r="E48" i="6"/>
  <c r="E47" i="6"/>
  <c r="E46" i="6"/>
  <c r="E45" i="6"/>
  <c r="E44" i="6"/>
  <c r="E43" i="6"/>
  <c r="E42" i="6"/>
  <c r="E41" i="6"/>
  <c r="E40" i="6"/>
  <c r="E39" i="6"/>
  <c r="E38" i="6"/>
  <c r="E37" i="6"/>
  <c r="E35" i="6"/>
  <c r="E34" i="6"/>
  <c r="E33" i="6"/>
  <c r="E32" i="6"/>
  <c r="E31" i="6"/>
  <c r="E29" i="6"/>
  <c r="E28" i="6"/>
  <c r="E27" i="6"/>
  <c r="E26" i="6"/>
  <c r="E25" i="6"/>
  <c r="E23" i="6"/>
  <c r="E22" i="6"/>
  <c r="E21" i="6"/>
  <c r="E20" i="6"/>
  <c r="E19" i="6"/>
  <c r="E18" i="6"/>
  <c r="E17" i="6"/>
  <c r="E16" i="6"/>
  <c r="E15" i="6"/>
  <c r="E14" i="6"/>
  <c r="E13" i="6"/>
  <c r="E12" i="6"/>
  <c r="E11" i="6"/>
  <c r="E10" i="6"/>
  <c r="E9" i="6"/>
  <c r="E8" i="6"/>
  <c r="E7" i="6"/>
  <c r="D6" i="6"/>
  <c r="D7" i="6"/>
  <c r="D8" i="6"/>
  <c r="D9" i="6"/>
  <c r="D10" i="6"/>
  <c r="D13" i="6"/>
  <c r="D14" i="6"/>
  <c r="D15" i="6"/>
  <c r="D16" i="6"/>
  <c r="D17" i="6"/>
  <c r="D18" i="6"/>
  <c r="D19" i="6"/>
  <c r="D22" i="6"/>
  <c r="D23" i="6"/>
  <c r="D25" i="6"/>
  <c r="D26" i="6"/>
  <c r="D27" i="6"/>
  <c r="D28" i="6"/>
  <c r="D29" i="6"/>
  <c r="D31" i="6"/>
  <c r="D32" i="6"/>
  <c r="D33" i="6"/>
  <c r="D34" i="6"/>
  <c r="D35" i="6"/>
  <c r="D37" i="6"/>
  <c r="D38" i="6"/>
  <c r="D40" i="6"/>
  <c r="D41" i="6"/>
  <c r="D42" i="6"/>
  <c r="D43" i="6"/>
  <c r="D44" i="6"/>
  <c r="D45" i="6"/>
  <c r="D47" i="6"/>
  <c r="D50" i="6"/>
  <c r="D51" i="6"/>
  <c r="D53" i="6"/>
  <c r="D54" i="6"/>
  <c r="D56" i="6"/>
  <c r="D57" i="6"/>
  <c r="D59" i="6"/>
  <c r="D60" i="6"/>
  <c r="D61" i="6"/>
  <c r="D62" i="6"/>
  <c r="D63" i="6"/>
  <c r="D64" i="6"/>
  <c r="D65" i="6"/>
  <c r="D66" i="6"/>
  <c r="D67" i="6"/>
  <c r="D68" i="6"/>
  <c r="D69" i="6"/>
  <c r="D70" i="6"/>
  <c r="D71" i="6"/>
  <c r="D72" i="6"/>
  <c r="D73" i="6"/>
  <c r="D76" i="6"/>
  <c r="D77" i="6"/>
  <c r="D78" i="6"/>
  <c r="D79" i="6"/>
  <c r="D80" i="6"/>
  <c r="C80" i="6"/>
  <c r="C79" i="6"/>
  <c r="C78" i="6"/>
  <c r="C77" i="6"/>
  <c r="C76" i="6"/>
  <c r="C73" i="6"/>
  <c r="C72" i="6"/>
  <c r="C71" i="6"/>
  <c r="C70" i="6"/>
  <c r="C69" i="6"/>
  <c r="C68" i="6"/>
  <c r="C67" i="6"/>
  <c r="C66" i="6"/>
  <c r="C65" i="6"/>
  <c r="C64" i="6"/>
  <c r="C63" i="6"/>
  <c r="C62" i="6"/>
  <c r="C61" i="6"/>
  <c r="C60" i="6"/>
  <c r="C59" i="6"/>
  <c r="C57" i="6"/>
  <c r="C56" i="6"/>
  <c r="C54" i="6"/>
  <c r="C53" i="6"/>
  <c r="C51" i="6"/>
  <c r="C50" i="6"/>
  <c r="C47" i="6"/>
  <c r="C45" i="6"/>
  <c r="C44" i="6"/>
  <c r="C43" i="6"/>
  <c r="C42" i="6"/>
  <c r="C41" i="6"/>
  <c r="C40" i="6"/>
  <c r="C38" i="6"/>
  <c r="C37" i="6"/>
  <c r="C35" i="6"/>
  <c r="C34" i="6"/>
  <c r="C33" i="6"/>
  <c r="C32" i="6"/>
  <c r="C31" i="6"/>
  <c r="D38" i="4"/>
  <c r="C29" i="6"/>
  <c r="C28" i="6"/>
  <c r="C27" i="6"/>
  <c r="C26" i="6"/>
  <c r="C25" i="6"/>
  <c r="C23" i="6"/>
  <c r="C22" i="6"/>
  <c r="C19" i="6"/>
  <c r="C18" i="6"/>
  <c r="C17" i="6"/>
  <c r="C16" i="6"/>
  <c r="C15" i="6"/>
  <c r="C14" i="6"/>
  <c r="C13" i="6"/>
  <c r="E6" i="6"/>
  <c r="C10" i="6" l="1"/>
  <c r="C9" i="6"/>
  <c r="C8" i="6"/>
  <c r="C7" i="6"/>
  <c r="K530" i="1" l="1"/>
  <c r="J14" i="1" l="1"/>
  <c r="K224" i="1" l="1"/>
  <c r="K222" i="1"/>
  <c r="K163" i="1"/>
  <c r="K162" i="1"/>
  <c r="K165" i="1" s="1"/>
  <c r="K161" i="1"/>
  <c r="K160" i="1"/>
  <c r="K166" i="1" l="1"/>
  <c r="K164" i="1"/>
  <c r="K168" i="1" l="1"/>
  <c r="K167" i="1"/>
  <c r="A7" i="6"/>
  <c r="C6" i="6"/>
  <c r="A8" i="6" l="1"/>
  <c r="C16" i="8"/>
  <c r="E87" i="4"/>
  <c r="E86" i="4"/>
  <c r="D87" i="4"/>
  <c r="D86" i="4"/>
  <c r="E85" i="4"/>
  <c r="D85" i="4"/>
  <c r="E84" i="4"/>
  <c r="D84" i="4"/>
  <c r="K954" i="1"/>
  <c r="F87" i="4" s="1"/>
  <c r="K946" i="1"/>
  <c r="F86" i="4" s="1"/>
  <c r="K938" i="1"/>
  <c r="F85" i="4" s="1"/>
  <c r="K930" i="1"/>
  <c r="F84" i="4" s="1"/>
  <c r="E23" i="4"/>
  <c r="D23" i="4"/>
  <c r="E22" i="4"/>
  <c r="D22" i="4"/>
  <c r="E24" i="4"/>
  <c r="D24" i="4"/>
  <c r="E83" i="4"/>
  <c r="D83" i="4"/>
  <c r="E80" i="4"/>
  <c r="D80" i="4"/>
  <c r="E79" i="4"/>
  <c r="D79" i="4"/>
  <c r="E78" i="4"/>
  <c r="D78" i="4"/>
  <c r="E77" i="4"/>
  <c r="D77" i="4"/>
  <c r="E76" i="4"/>
  <c r="D76" i="4"/>
  <c r="E75" i="4"/>
  <c r="D75" i="4"/>
  <c r="E74" i="4"/>
  <c r="D74" i="4"/>
  <c r="E73" i="4"/>
  <c r="D73" i="4"/>
  <c r="E72" i="4"/>
  <c r="D72" i="4"/>
  <c r="E71" i="4"/>
  <c r="D71" i="4"/>
  <c r="E70" i="4"/>
  <c r="D70" i="4"/>
  <c r="E69" i="4"/>
  <c r="D69" i="4"/>
  <c r="K675" i="1"/>
  <c r="K676" i="1"/>
  <c r="K674" i="1"/>
  <c r="E68" i="4"/>
  <c r="D68" i="4"/>
  <c r="E67" i="4"/>
  <c r="D67" i="4"/>
  <c r="E66" i="4"/>
  <c r="D66" i="4"/>
  <c r="E64" i="4"/>
  <c r="D64" i="4"/>
  <c r="E63" i="4"/>
  <c r="D63" i="4"/>
  <c r="E61" i="4"/>
  <c r="D61" i="4"/>
  <c r="E60" i="4"/>
  <c r="D60" i="4"/>
  <c r="E58" i="4"/>
  <c r="D58" i="4"/>
  <c r="E57" i="4"/>
  <c r="D57" i="4"/>
  <c r="E54" i="4"/>
  <c r="D54" i="4"/>
  <c r="E52" i="4"/>
  <c r="D52" i="4"/>
  <c r="E51" i="4"/>
  <c r="D51" i="4"/>
  <c r="E50" i="4"/>
  <c r="D50" i="4"/>
  <c r="E49" i="4"/>
  <c r="D49" i="4"/>
  <c r="E48" i="4"/>
  <c r="D48" i="4"/>
  <c r="E47" i="4"/>
  <c r="D47" i="4"/>
  <c r="E44" i="4"/>
  <c r="D44" i="4"/>
  <c r="E42" i="4"/>
  <c r="D42" i="4"/>
  <c r="E125" i="5"/>
  <c r="K322" i="1" s="1"/>
  <c r="E124" i="5"/>
  <c r="K321" i="1" s="1"/>
  <c r="E123" i="5"/>
  <c r="K320" i="1" s="1"/>
  <c r="E122" i="5"/>
  <c r="K319" i="1" s="1"/>
  <c r="E116" i="5"/>
  <c r="K312" i="1" s="1"/>
  <c r="K323" i="1"/>
  <c r="K313" i="1"/>
  <c r="E45" i="4"/>
  <c r="D45" i="4"/>
  <c r="E41" i="4"/>
  <c r="D41" i="4"/>
  <c r="K297" i="1"/>
  <c r="E111" i="5"/>
  <c r="K296" i="1" s="1"/>
  <c r="E110" i="5"/>
  <c r="K295" i="1" s="1"/>
  <c r="E109" i="5"/>
  <c r="K294" i="1" s="1"/>
  <c r="E108" i="5"/>
  <c r="K293" i="1" s="1"/>
  <c r="E107" i="5"/>
  <c r="K292" i="1" s="1"/>
  <c r="E106" i="5"/>
  <c r="K291" i="1" s="1"/>
  <c r="E105" i="5"/>
  <c r="K290" i="1" s="1"/>
  <c r="E104" i="5"/>
  <c r="K289" i="1" s="1"/>
  <c r="E103" i="5"/>
  <c r="K288" i="1" s="1"/>
  <c r="E102" i="5"/>
  <c r="K287" i="1" s="1"/>
  <c r="E40" i="4"/>
  <c r="D40" i="4"/>
  <c r="K272" i="1"/>
  <c r="K254" i="1"/>
  <c r="E97" i="5"/>
  <c r="K269" i="1" s="1"/>
  <c r="E96" i="5"/>
  <c r="K270" i="1" s="1"/>
  <c r="E95" i="5"/>
  <c r="K271" i="1" s="1"/>
  <c r="E90" i="5"/>
  <c r="K251" i="1" s="1"/>
  <c r="E89" i="5"/>
  <c r="K252" i="1" s="1"/>
  <c r="E88" i="5"/>
  <c r="E39" i="4"/>
  <c r="D39" i="4"/>
  <c r="K253" i="1"/>
  <c r="A9" i="6" l="1"/>
  <c r="C17" i="8"/>
  <c r="K324" i="1"/>
  <c r="K326" i="1" s="1"/>
  <c r="F44" i="4" s="1"/>
  <c r="K314" i="1"/>
  <c r="K316" i="1" s="1"/>
  <c r="F42" i="4" s="1"/>
  <c r="K298" i="1"/>
  <c r="K304" i="1" s="1"/>
  <c r="K300" i="1"/>
  <c r="K299" i="1"/>
  <c r="K273" i="1"/>
  <c r="K279" i="1" s="1"/>
  <c r="K275" i="1"/>
  <c r="K274" i="1"/>
  <c r="K257" i="1"/>
  <c r="K255" i="1"/>
  <c r="K261" i="1" s="1"/>
  <c r="K256" i="1"/>
  <c r="A10" i="6" l="1"/>
  <c r="C18" i="8"/>
  <c r="K305" i="1"/>
  <c r="K281" i="1"/>
  <c r="K306" i="1"/>
  <c r="K308" i="1"/>
  <c r="K307" i="1"/>
  <c r="K280" i="1"/>
  <c r="K282" i="1"/>
  <c r="K283" i="1"/>
  <c r="K263" i="1"/>
  <c r="K262" i="1"/>
  <c r="K265" i="1"/>
  <c r="K264" i="1"/>
  <c r="K309" i="1" l="1"/>
  <c r="F41" i="4" s="1"/>
  <c r="A11" i="6"/>
  <c r="C19" i="8"/>
  <c r="K284" i="1"/>
  <c r="F40" i="4" s="1"/>
  <c r="K266" i="1"/>
  <c r="F39" i="4" s="1"/>
  <c r="E38" i="4"/>
  <c r="E36" i="4"/>
  <c r="D36" i="4"/>
  <c r="K240" i="1"/>
  <c r="K239" i="1"/>
  <c r="A12" i="6" l="1"/>
  <c r="C20" i="8"/>
  <c r="K241" i="1"/>
  <c r="K242" i="1" s="1"/>
  <c r="A13" i="6" l="1"/>
  <c r="C21" i="8"/>
  <c r="C72" i="5"/>
  <c r="A14" i="6" l="1"/>
  <c r="C22" i="8"/>
  <c r="F36" i="4"/>
  <c r="E35" i="4"/>
  <c r="D35" i="4"/>
  <c r="E34" i="4"/>
  <c r="D34" i="4"/>
  <c r="E33" i="4"/>
  <c r="D33" i="4"/>
  <c r="E32" i="4"/>
  <c r="D32" i="4"/>
  <c r="E30" i="4"/>
  <c r="D30" i="4"/>
  <c r="E29" i="4"/>
  <c r="D29" i="4"/>
  <c r="A15" i="6" l="1"/>
  <c r="C23" i="8"/>
  <c r="D7" i="4"/>
  <c r="E26" i="4"/>
  <c r="D26" i="4"/>
  <c r="K151" i="1"/>
  <c r="K144" i="1"/>
  <c r="E25" i="4"/>
  <c r="D25" i="4"/>
  <c r="E21" i="4"/>
  <c r="D21" i="4"/>
  <c r="E20" i="4"/>
  <c r="D20" i="4"/>
  <c r="E17" i="4"/>
  <c r="D17" i="4"/>
  <c r="E16" i="4"/>
  <c r="D16" i="4"/>
  <c r="E15" i="4"/>
  <c r="D15" i="4"/>
  <c r="E14" i="4"/>
  <c r="D14" i="4"/>
  <c r="K22" i="1"/>
  <c r="F14" i="4" s="1"/>
  <c r="E13" i="4"/>
  <c r="D13" i="4"/>
  <c r="E270" i="5"/>
  <c r="K919" i="1" s="1"/>
  <c r="E269" i="5"/>
  <c r="K918" i="1" s="1"/>
  <c r="E268" i="5"/>
  <c r="K917" i="1" s="1"/>
  <c r="E267" i="5"/>
  <c r="K916" i="1" s="1"/>
  <c r="E256" i="5"/>
  <c r="K895" i="1" s="1"/>
  <c r="E257" i="5"/>
  <c r="K896" i="1" s="1"/>
  <c r="E258" i="5"/>
  <c r="K897" i="1" s="1"/>
  <c r="E259" i="5"/>
  <c r="K898" i="1" s="1"/>
  <c r="E260" i="5"/>
  <c r="K899" i="1" s="1"/>
  <c r="E261" i="5"/>
  <c r="K900" i="1" s="1"/>
  <c r="E253" i="5"/>
  <c r="K892" i="1" s="1"/>
  <c r="E254" i="5"/>
  <c r="K893" i="1" s="1"/>
  <c r="E255" i="5"/>
  <c r="K894" i="1" s="1"/>
  <c r="E252" i="5"/>
  <c r="K891" i="1" s="1"/>
  <c r="K885" i="1"/>
  <c r="K884" i="1"/>
  <c r="K883" i="1"/>
  <c r="K882" i="1"/>
  <c r="K880" i="1"/>
  <c r="K879" i="1"/>
  <c r="K878" i="1"/>
  <c r="K877" i="1"/>
  <c r="K875" i="1"/>
  <c r="K874" i="1"/>
  <c r="K873" i="1"/>
  <c r="K872" i="1"/>
  <c r="K870" i="1"/>
  <c r="K869" i="1"/>
  <c r="K868" i="1"/>
  <c r="K867" i="1"/>
  <c r="K865" i="1"/>
  <c r="K864" i="1"/>
  <c r="K863" i="1"/>
  <c r="K862" i="1"/>
  <c r="K860" i="1"/>
  <c r="K859" i="1"/>
  <c r="K858" i="1"/>
  <c r="K857" i="1"/>
  <c r="K855" i="1"/>
  <c r="K854" i="1"/>
  <c r="K853" i="1"/>
  <c r="K852" i="1"/>
  <c r="K848" i="1"/>
  <c r="K847" i="1"/>
  <c r="K846" i="1"/>
  <c r="K845" i="1"/>
  <c r="K844" i="1"/>
  <c r="K843" i="1"/>
  <c r="K827" i="1"/>
  <c r="K826" i="1"/>
  <c r="K825" i="1"/>
  <c r="K824" i="1"/>
  <c r="K823" i="1"/>
  <c r="K822" i="1"/>
  <c r="K821" i="1"/>
  <c r="K820" i="1"/>
  <c r="K819" i="1"/>
  <c r="K814" i="1"/>
  <c r="K815" i="1"/>
  <c r="K813" i="1"/>
  <c r="K811" i="1"/>
  <c r="K812" i="1"/>
  <c r="K810" i="1"/>
  <c r="F234" i="5"/>
  <c r="E234" i="5"/>
  <c r="D234" i="5"/>
  <c r="C234" i="5"/>
  <c r="B234" i="5"/>
  <c r="K800" i="1"/>
  <c r="K799" i="1"/>
  <c r="K798" i="1"/>
  <c r="K797" i="1"/>
  <c r="K796" i="1"/>
  <c r="K795" i="1"/>
  <c r="K794" i="1"/>
  <c r="K793" i="1"/>
  <c r="K792" i="1"/>
  <c r="K787" i="1"/>
  <c r="K788" i="1"/>
  <c r="K786" i="1"/>
  <c r="K784" i="1"/>
  <c r="K785" i="1"/>
  <c r="K783" i="1"/>
  <c r="F225" i="5"/>
  <c r="E225" i="5"/>
  <c r="D225" i="5"/>
  <c r="C225" i="5"/>
  <c r="B225" i="5"/>
  <c r="A16" i="6" l="1"/>
  <c r="C24" i="8"/>
  <c r="K920" i="1"/>
  <c r="K922" i="1" s="1"/>
  <c r="F83" i="4" s="1"/>
  <c r="K881" i="1"/>
  <c r="K871" i="1"/>
  <c r="K876" i="1"/>
  <c r="K886" i="1"/>
  <c r="K856" i="1"/>
  <c r="K866" i="1"/>
  <c r="K861" i="1"/>
  <c r="K849" i="1"/>
  <c r="K851" i="1" s="1"/>
  <c r="K850" i="1"/>
  <c r="K828" i="1"/>
  <c r="K830" i="1"/>
  <c r="K829" i="1"/>
  <c r="K816" i="1"/>
  <c r="K818" i="1" s="1"/>
  <c r="K817" i="1"/>
  <c r="K805" i="1"/>
  <c r="K806" i="1" s="1"/>
  <c r="A17" i="6" l="1"/>
  <c r="C25" i="8"/>
  <c r="K887" i="1"/>
  <c r="K888" i="1" s="1"/>
  <c r="F79" i="4" s="1"/>
  <c r="K836" i="1"/>
  <c r="K837" i="1"/>
  <c r="K838" i="1"/>
  <c r="K834" i="1"/>
  <c r="K835" i="1"/>
  <c r="A18" i="6" l="1"/>
  <c r="C26" i="8"/>
  <c r="K839" i="1"/>
  <c r="K840" i="1" s="1"/>
  <c r="F78" i="4" s="1"/>
  <c r="K789" i="1"/>
  <c r="K790" i="1"/>
  <c r="A19" i="6" l="1"/>
  <c r="C27" i="8"/>
  <c r="K791" i="1"/>
  <c r="K807" i="1"/>
  <c r="F77" i="4" s="1"/>
  <c r="A20" i="6" l="1"/>
  <c r="C28" i="8"/>
  <c r="K771" i="1"/>
  <c r="K770" i="1"/>
  <c r="K769" i="1"/>
  <c r="K768" i="1"/>
  <c r="K767" i="1"/>
  <c r="K766" i="1"/>
  <c r="K765" i="1"/>
  <c r="K764" i="1"/>
  <c r="D777" i="1"/>
  <c r="D776" i="1"/>
  <c r="D775" i="1"/>
  <c r="K763" i="1"/>
  <c r="K759" i="1"/>
  <c r="K758" i="1"/>
  <c r="K757" i="1"/>
  <c r="K756" i="1"/>
  <c r="K755" i="1"/>
  <c r="K754" i="1"/>
  <c r="E216" i="5"/>
  <c r="D216" i="5"/>
  <c r="C216" i="5"/>
  <c r="F216" i="5"/>
  <c r="B216" i="5"/>
  <c r="K751" i="1"/>
  <c r="F75" i="4" s="1"/>
  <c r="K739" i="1"/>
  <c r="K738" i="1"/>
  <c r="K737" i="1"/>
  <c r="K736" i="1"/>
  <c r="K735" i="1"/>
  <c r="K716" i="1"/>
  <c r="K714" i="1"/>
  <c r="K712" i="1"/>
  <c r="K710" i="1"/>
  <c r="K726" i="1"/>
  <c r="K725" i="1"/>
  <c r="K724" i="1"/>
  <c r="K723" i="1"/>
  <c r="A21" i="6" l="1"/>
  <c r="C29" i="8"/>
  <c r="K740" i="1"/>
  <c r="K743" i="1" s="1"/>
  <c r="F74" i="4" s="1"/>
  <c r="K760" i="1"/>
  <c r="K762" i="1" s="1"/>
  <c r="K778" i="1"/>
  <c r="K779" i="1" s="1"/>
  <c r="K761" i="1"/>
  <c r="J206" i="5"/>
  <c r="K715" i="1" s="1"/>
  <c r="J205" i="5"/>
  <c r="K713" i="1" s="1"/>
  <c r="J204" i="5"/>
  <c r="K711" i="1" s="1"/>
  <c r="J203" i="5"/>
  <c r="K709" i="1" s="1"/>
  <c r="I207" i="5"/>
  <c r="K730" i="1" s="1"/>
  <c r="G207" i="5"/>
  <c r="K728" i="1" s="1"/>
  <c r="H207" i="5"/>
  <c r="K729" i="1" s="1"/>
  <c r="F207" i="5"/>
  <c r="K727" i="1" s="1"/>
  <c r="B207" i="5"/>
  <c r="D197" i="5"/>
  <c r="K696" i="1" s="1"/>
  <c r="C197" i="5"/>
  <c r="K697" i="1" s="1"/>
  <c r="B197" i="5"/>
  <c r="K698" i="1" s="1"/>
  <c r="K217" i="1"/>
  <c r="C188" i="5"/>
  <c r="K684" i="1" s="1"/>
  <c r="D188" i="5"/>
  <c r="K683" i="1" s="1"/>
  <c r="B188" i="5"/>
  <c r="K685" i="1" s="1"/>
  <c r="K672" i="1"/>
  <c r="K673" i="1"/>
  <c r="K671" i="1"/>
  <c r="A22" i="6" l="1"/>
  <c r="C30" i="8"/>
  <c r="E4" i="8" s="1"/>
  <c r="K780" i="1"/>
  <c r="F76" i="4" s="1"/>
  <c r="K717" i="1"/>
  <c r="K720" i="1" s="1"/>
  <c r="F72" i="4" s="1"/>
  <c r="K731" i="1"/>
  <c r="K732" i="1" s="1"/>
  <c r="F73" i="4" s="1"/>
  <c r="J207" i="5"/>
  <c r="K677" i="1"/>
  <c r="K680" i="1" s="1"/>
  <c r="F69" i="4" s="1"/>
  <c r="A23" i="6" l="1"/>
  <c r="W31" i="8"/>
  <c r="K668" i="1"/>
  <c r="F68" i="4" s="1"/>
  <c r="A25" i="6" l="1"/>
  <c r="W32" i="8"/>
  <c r="K190" i="1"/>
  <c r="K197" i="1" s="1"/>
  <c r="K659" i="1"/>
  <c r="K660" i="1" s="1"/>
  <c r="F67" i="4" s="1"/>
  <c r="K656" i="1"/>
  <c r="K648" i="1"/>
  <c r="F66" i="4" s="1"/>
  <c r="K640" i="1"/>
  <c r="K632" i="1"/>
  <c r="K624" i="1"/>
  <c r="K615" i="1"/>
  <c r="K616" i="1" s="1"/>
  <c r="F64" i="4" s="1"/>
  <c r="K612" i="1"/>
  <c r="K604" i="1"/>
  <c r="K596" i="1"/>
  <c r="F63" i="4" s="1"/>
  <c r="K587" i="1"/>
  <c r="B153" i="5"/>
  <c r="B165" i="5"/>
  <c r="B159" i="5"/>
  <c r="B147" i="5"/>
  <c r="B141" i="5"/>
  <c r="K576" i="1"/>
  <c r="F61" i="4" s="1"/>
  <c r="K567" i="1"/>
  <c r="K568" i="1" s="1"/>
  <c r="F60" i="4" s="1"/>
  <c r="K564" i="1"/>
  <c r="F59" i="4" s="1"/>
  <c r="K544" i="1"/>
  <c r="F58" i="4" s="1"/>
  <c r="K533" i="1"/>
  <c r="K534" i="1"/>
  <c r="F56" i="4"/>
  <c r="K498" i="1"/>
  <c r="F55" i="4" s="1"/>
  <c r="K476" i="1"/>
  <c r="F53" i="4" s="1"/>
  <c r="K349" i="1"/>
  <c r="F46" i="4" s="1"/>
  <c r="K235" i="1"/>
  <c r="K236" i="1" s="1"/>
  <c r="F35" i="4" s="1"/>
  <c r="A26" i="6" l="1"/>
  <c r="W33" i="8"/>
  <c r="F29" i="4"/>
  <c r="K579" i="1"/>
  <c r="K580" i="1" s="1"/>
  <c r="K588" i="1" s="1"/>
  <c r="F62" i="4" s="1"/>
  <c r="K535" i="1"/>
  <c r="K536" i="1" s="1"/>
  <c r="F57" i="4" s="1"/>
  <c r="A27" i="6" l="1"/>
  <c r="W34" i="8"/>
  <c r="K484" i="1"/>
  <c r="F54" i="4" s="1"/>
  <c r="K456" i="1"/>
  <c r="K448" i="1"/>
  <c r="K440" i="1"/>
  <c r="K432" i="1"/>
  <c r="K424" i="1"/>
  <c r="K416" i="1"/>
  <c r="F52" i="4" s="1"/>
  <c r="K408" i="1"/>
  <c r="F51" i="4" s="1"/>
  <c r="K388" i="1"/>
  <c r="K389" i="1"/>
  <c r="K382" i="1"/>
  <c r="K383" i="1"/>
  <c r="K376" i="1"/>
  <c r="K373" i="1"/>
  <c r="K365" i="1"/>
  <c r="K357" i="1"/>
  <c r="K246" i="1"/>
  <c r="K245" i="1"/>
  <c r="A28" i="6" l="1"/>
  <c r="W35" i="8"/>
  <c r="K247" i="1"/>
  <c r="K248" i="1" s="1"/>
  <c r="F38" i="4" s="1"/>
  <c r="K384" i="1"/>
  <c r="K385" i="1" s="1"/>
  <c r="F48" i="4" s="1"/>
  <c r="K390" i="1"/>
  <c r="K391" i="1" s="1"/>
  <c r="F49" i="4" s="1"/>
  <c r="A29" i="6" l="1"/>
  <c r="W36" i="8"/>
  <c r="E8" i="8" s="1"/>
  <c r="K230" i="1"/>
  <c r="K229" i="1"/>
  <c r="A31" i="6" l="1"/>
  <c r="M37" i="8"/>
  <c r="K231" i="1"/>
  <c r="K232" i="1" s="1"/>
  <c r="F34" i="4" s="1"/>
  <c r="K220" i="1"/>
  <c r="K215" i="1"/>
  <c r="K214" i="1"/>
  <c r="K209" i="1"/>
  <c r="K208" i="1"/>
  <c r="K207" i="1"/>
  <c r="K206" i="1"/>
  <c r="K201" i="1"/>
  <c r="K200" i="1"/>
  <c r="A32" i="6" l="1"/>
  <c r="M38" i="8"/>
  <c r="K202" i="1"/>
  <c r="K203" i="1" s="1"/>
  <c r="K210" i="1"/>
  <c r="K211" i="1" s="1"/>
  <c r="F32" i="4" s="1"/>
  <c r="K216" i="1"/>
  <c r="B41" i="5"/>
  <c r="B42" i="5"/>
  <c r="B43" i="5"/>
  <c r="B44" i="5"/>
  <c r="K901" i="1" s="1"/>
  <c r="B40" i="5"/>
  <c r="D89" i="4"/>
  <c r="E97" i="4"/>
  <c r="B97" i="4"/>
  <c r="E20" i="5"/>
  <c r="D20" i="5"/>
  <c r="C20" i="5"/>
  <c r="E16" i="5"/>
  <c r="D16" i="5"/>
  <c r="C16" i="5"/>
  <c r="D24" i="5"/>
  <c r="E24" i="5"/>
  <c r="C24" i="5"/>
  <c r="B35" i="5"/>
  <c r="B54" i="5"/>
  <c r="K187" i="1"/>
  <c r="F28" i="4" s="1"/>
  <c r="A33" i="6" l="1"/>
  <c r="M39" i="8"/>
  <c r="F30" i="4"/>
  <c r="K904" i="1"/>
  <c r="K902" i="1"/>
  <c r="K903" i="1"/>
  <c r="K97" i="1"/>
  <c r="K87" i="1"/>
  <c r="K686" i="1"/>
  <c r="K687" i="1" s="1"/>
  <c r="K699" i="1"/>
  <c r="K98" i="1"/>
  <c r="K85" i="1"/>
  <c r="K86" i="1"/>
  <c r="K96" i="1"/>
  <c r="A34" i="6" l="1"/>
  <c r="M40" i="8"/>
  <c r="K908" i="1"/>
  <c r="K912" i="1"/>
  <c r="K911" i="1"/>
  <c r="K910" i="1"/>
  <c r="K909" i="1"/>
  <c r="K688" i="1"/>
  <c r="K689" i="1"/>
  <c r="K702" i="1"/>
  <c r="K700" i="1"/>
  <c r="K701" i="1"/>
  <c r="C45" i="5"/>
  <c r="K170" i="1" s="1"/>
  <c r="G35" i="5"/>
  <c r="F35" i="5"/>
  <c r="E35" i="5"/>
  <c r="D35" i="5"/>
  <c r="K147" i="1" s="1"/>
  <c r="C35" i="5"/>
  <c r="K141" i="1"/>
  <c r="F25" i="4" s="1"/>
  <c r="A35" i="6" l="1"/>
  <c r="M41" i="8"/>
  <c r="K146" i="1"/>
  <c r="K148" i="1" s="1"/>
  <c r="K150" i="1" s="1"/>
  <c r="K157" i="1" s="1"/>
  <c r="K913" i="1"/>
  <c r="F80" i="4" s="1"/>
  <c r="K693" i="1"/>
  <c r="F70" i="4" s="1"/>
  <c r="K706" i="1"/>
  <c r="F71" i="4" s="1"/>
  <c r="B45" i="5"/>
  <c r="K377" i="1" s="1"/>
  <c r="K378" i="1" s="1"/>
  <c r="K379" i="1" s="1"/>
  <c r="F47" i="4" s="1"/>
  <c r="K133" i="1"/>
  <c r="F24" i="4" s="1"/>
  <c r="K125" i="1"/>
  <c r="F23" i="4" s="1"/>
  <c r="K117" i="1"/>
  <c r="F22" i="4" s="1"/>
  <c r="K108" i="1"/>
  <c r="K89" i="1"/>
  <c r="K94" i="1" s="1"/>
  <c r="K82" i="1"/>
  <c r="F20" i="4" s="1"/>
  <c r="A37" i="6" l="1"/>
  <c r="M42" i="8"/>
  <c r="F26" i="4"/>
  <c r="K171" i="1"/>
  <c r="K172" i="1" s="1"/>
  <c r="K221" i="1"/>
  <c r="K223" i="1" s="1"/>
  <c r="K226" i="1" s="1"/>
  <c r="K109" i="1"/>
  <c r="F21" i="4" s="1"/>
  <c r="A38" i="6" l="1"/>
  <c r="M43" i="8"/>
  <c r="K394" i="1"/>
  <c r="K400" i="1" s="1"/>
  <c r="F50" i="4" s="1"/>
  <c r="K173" i="1"/>
  <c r="F27" i="4" s="1"/>
  <c r="I27" i="4" s="1"/>
  <c r="F33" i="4"/>
  <c r="K329" i="1"/>
  <c r="I87" i="4"/>
  <c r="I86" i="4"/>
  <c r="I85" i="4"/>
  <c r="I84" i="4"/>
  <c r="I83" i="4"/>
  <c r="F82" i="4"/>
  <c r="I82" i="4" s="1"/>
  <c r="D82" i="4"/>
  <c r="F81" i="4"/>
  <c r="I81" i="4" s="1"/>
  <c r="D81" i="4"/>
  <c r="I80" i="4"/>
  <c r="I79" i="4"/>
  <c r="I78" i="4"/>
  <c r="I75" i="4"/>
  <c r="I72" i="4"/>
  <c r="I71" i="4"/>
  <c r="I70" i="4"/>
  <c r="I69" i="4"/>
  <c r="I68" i="4"/>
  <c r="I67" i="4"/>
  <c r="I66" i="4"/>
  <c r="F65" i="4"/>
  <c r="I65" i="4" s="1"/>
  <c r="D65" i="4"/>
  <c r="I64" i="4"/>
  <c r="I63" i="4"/>
  <c r="I62" i="4"/>
  <c r="I61" i="4"/>
  <c r="I60" i="4"/>
  <c r="I59" i="4"/>
  <c r="I58" i="4"/>
  <c r="I57" i="4"/>
  <c r="I56" i="4"/>
  <c r="I55" i="4"/>
  <c r="I54" i="4"/>
  <c r="I53" i="4"/>
  <c r="I52" i="4"/>
  <c r="I51" i="4"/>
  <c r="I49" i="4"/>
  <c r="I48" i="4"/>
  <c r="I47" i="4"/>
  <c r="I46" i="4"/>
  <c r="I44" i="4"/>
  <c r="F43" i="4"/>
  <c r="I43" i="4" s="1"/>
  <c r="D43" i="4"/>
  <c r="I42" i="4"/>
  <c r="I41" i="4"/>
  <c r="I40" i="4"/>
  <c r="I39" i="4"/>
  <c r="I38" i="4"/>
  <c r="F37" i="4"/>
  <c r="I37" i="4" s="1"/>
  <c r="D37" i="4"/>
  <c r="I36" i="4"/>
  <c r="I35" i="4"/>
  <c r="I34" i="4"/>
  <c r="O32" i="4"/>
  <c r="F31" i="4"/>
  <c r="I31" i="4" s="1"/>
  <c r="D31" i="4"/>
  <c r="I30" i="4"/>
  <c r="K29" i="4"/>
  <c r="I28" i="4"/>
  <c r="I25" i="4"/>
  <c r="I24" i="4"/>
  <c r="I23" i="4"/>
  <c r="I22" i="4"/>
  <c r="I20" i="4"/>
  <c r="I14" i="4"/>
  <c r="A39" i="6" l="1"/>
  <c r="M44" i="8"/>
  <c r="K335" i="1"/>
  <c r="F45" i="4" s="1"/>
  <c r="I45" i="4" s="1"/>
  <c r="K24" i="4"/>
  <c r="M32" i="4"/>
  <c r="O30" i="4"/>
  <c r="I32" i="4"/>
  <c r="I29" i="4"/>
  <c r="M30" i="4"/>
  <c r="K53" i="4"/>
  <c r="A40" i="6" l="1"/>
  <c r="M45" i="8"/>
  <c r="L8" i="4"/>
  <c r="K74" i="1"/>
  <c r="F19" i="4" s="1"/>
  <c r="I19" i="4" s="1"/>
  <c r="K60" i="1"/>
  <c r="F18" i="4" s="1"/>
  <c r="I18" i="4" s="1"/>
  <c r="A41" i="6" l="1"/>
  <c r="M46" i="8"/>
  <c r="I50" i="4"/>
  <c r="I26" i="4"/>
  <c r="A42" i="6" l="1"/>
  <c r="M47" i="8"/>
  <c r="I21" i="4"/>
  <c r="A43" i="6" l="1"/>
  <c r="M48" i="8"/>
  <c r="I33" i="4"/>
  <c r="K46" i="1"/>
  <c r="F17" i="4" s="1"/>
  <c r="I17" i="4" s="1"/>
  <c r="K38" i="1"/>
  <c r="F16" i="4" s="1"/>
  <c r="I16" i="4" s="1"/>
  <c r="K30" i="1"/>
  <c r="F15" i="4" s="1"/>
  <c r="I15" i="4" s="1"/>
  <c r="K14" i="1"/>
  <c r="F13" i="4" s="1"/>
  <c r="I13" i="4" s="1"/>
  <c r="A44" i="6" l="1"/>
  <c r="M49" i="8"/>
  <c r="I74" i="4"/>
  <c r="I73" i="4"/>
  <c r="A45" i="6" l="1"/>
  <c r="M50" i="8"/>
  <c r="M77" i="4"/>
  <c r="I77" i="4"/>
  <c r="O77" i="4"/>
  <c r="I76" i="4"/>
  <c r="M76" i="4"/>
  <c r="O76" i="4"/>
  <c r="A46" i="6" l="1"/>
  <c r="M51" i="8"/>
  <c r="L5" i="4"/>
  <c r="Q5" i="4" s="1"/>
  <c r="L10" i="4"/>
  <c r="L9" i="4"/>
  <c r="A47" i="6" l="1"/>
  <c r="M52" i="8"/>
  <c r="A48" i="6" l="1"/>
  <c r="M53" i="8"/>
  <c r="A49" i="6" l="1"/>
  <c r="M54" i="8"/>
  <c r="A50" i="6" l="1"/>
  <c r="M55" i="8"/>
  <c r="A51" i="6" l="1"/>
  <c r="M56" i="8"/>
  <c r="A52" i="6" l="1"/>
  <c r="A53" i="6" s="1"/>
  <c r="M57" i="8"/>
  <c r="A54" i="6" l="1"/>
  <c r="M59" i="8"/>
  <c r="A55" i="6" l="1"/>
  <c r="A56" i="6" s="1"/>
  <c r="M60" i="8"/>
  <c r="A57" i="6" l="1"/>
  <c r="M62" i="8"/>
  <c r="A59" i="6" l="1"/>
  <c r="M63" i="8"/>
  <c r="A60" i="6" l="1"/>
  <c r="M64" i="8"/>
  <c r="A61" i="6" l="1"/>
  <c r="M65" i="8"/>
  <c r="A62" i="6" l="1"/>
  <c r="M66" i="8"/>
  <c r="A63" i="6" l="1"/>
  <c r="M67" i="8"/>
  <c r="A64" i="6" l="1"/>
  <c r="M68" i="8"/>
  <c r="A65" i="6" l="1"/>
  <c r="M69" i="8"/>
  <c r="A66" i="6" l="1"/>
  <c r="M70" i="8"/>
  <c r="A67" i="6" l="1"/>
  <c r="M71" i="8"/>
  <c r="E6" i="8" s="1"/>
  <c r="A68" i="6" l="1"/>
  <c r="U72" i="8"/>
  <c r="A69" i="6" l="1"/>
  <c r="U73" i="8"/>
  <c r="A70" i="6" l="1"/>
  <c r="U74" i="8"/>
  <c r="A71" i="6" l="1"/>
  <c r="U75" i="8"/>
  <c r="A72" i="6" l="1"/>
  <c r="U76" i="8"/>
  <c r="A73" i="6" l="1"/>
  <c r="U77" i="8"/>
  <c r="A76" i="6" l="1"/>
  <c r="U78" i="8"/>
  <c r="A77" i="6" l="1"/>
  <c r="U79" i="8"/>
  <c r="A78" i="6" l="1"/>
  <c r="U80" i="8"/>
  <c r="A79" i="6" l="1"/>
  <c r="U81" i="8"/>
  <c r="A80" i="6" l="1"/>
  <c r="U83" i="8" s="1"/>
  <c r="U82" i="8"/>
  <c r="H7" i="8" s="1"/>
</calcChain>
</file>

<file path=xl/sharedStrings.xml><?xml version="1.0" encoding="utf-8"?>
<sst xmlns="http://schemas.openxmlformats.org/spreadsheetml/2006/main" count="1963" uniqueCount="1128">
  <si>
    <t>PROGRAM SARJANA</t>
  </si>
  <si>
    <t xml:space="preserve">NO. </t>
  </si>
  <si>
    <t>INDIKATOR DAN PENILAIAN</t>
  </si>
  <si>
    <t>Ada mekanisme dalam penyusunan dan penetapan visi, misi, tujuan dan strategi yang terdokumentasi serta ada keterlibatan semua pemangku kepentingan internal (dosen, mahasiswa dan tenaga kependidikan) dan eksternal (lulusan, pengguna lulusan dan pakar/mitra/organisasi profesi/pemerintah).</t>
  </si>
  <si>
    <t>Ada mekanisme dalam penyusunan dan penetapan visi, misi, tujuan dan strategi yang terdokumentasi namun tidak melibatkan pemangku kepentingan.</t>
  </si>
  <si>
    <t>Tidak ada mekanisme dalam penyusunan dan penetapan visi, misi, tujuan dan strategi.</t>
  </si>
  <si>
    <t>DOKUMEN BUKTI</t>
  </si>
  <si>
    <t>Skor</t>
  </si>
  <si>
    <t>Tidak ada Skor kurang dari 1.</t>
  </si>
  <si>
    <t>Skor = (A + (2 x B)) / 3</t>
  </si>
  <si>
    <t>Tidak ada skor kurang dari 2.</t>
  </si>
  <si>
    <t>LAPORAN ASESMEN KECUKUPAN</t>
  </si>
  <si>
    <t>PENILAIAN ASESMEN KECUKUPAN</t>
  </si>
  <si>
    <t>Penilaian Individual</t>
  </si>
  <si>
    <t>Nilai Asesmen Kecukupan</t>
  </si>
  <si>
    <t>Nama Program Studi</t>
  </si>
  <si>
    <t>Syarat Perlu Terakreditasi</t>
  </si>
  <si>
    <t>Syarat Perlu Peringkat Unggul</t>
  </si>
  <si>
    <t>Tanggal Penilaian:</t>
  </si>
  <si>
    <t>Syarat Perlu Peringkat Baik Sekali</t>
  </si>
  <si>
    <t>NO.</t>
  </si>
  <si>
    <t>KRITERIA/ELEMEN/INDIKATOR</t>
  </si>
  <si>
    <t>SKOR</t>
  </si>
  <si>
    <t>BOBOT</t>
  </si>
  <si>
    <t>SKOR x BOBOT</t>
  </si>
  <si>
    <t>SYARAT PERLU TERAKREDITASI</t>
  </si>
  <si>
    <t>SYARAT PERLU PERINGKAT 
UNGGUL</t>
  </si>
  <si>
    <t>SYARAT PERLU PERINGKAT 
BAIK SEKALI</t>
  </si>
  <si>
    <r>
      <t xml:space="preserve">A. Kondisi Eksternal
</t>
    </r>
    <r>
      <rPr>
        <sz val="9"/>
        <rFont val="Calibri"/>
        <family val="2"/>
        <scheme val="minor"/>
      </rPr>
      <t>Konsistensi dengan hasil analisis SWOT dan/atau analisis lain serta rencana pengembangan ke depan.</t>
    </r>
  </si>
  <si>
    <r>
      <t xml:space="preserve">B. Profil Unit Pengelola Program Studi
</t>
    </r>
    <r>
      <rPr>
        <sz val="9"/>
        <rFont val="Calibri"/>
        <family val="2"/>
        <scheme val="minor"/>
      </rPr>
      <t>Keserbacakupan informasi dalam profil dan konsistensi antara profil dengan data dan informasi yang disampaikan pada masing-masing kriteria, serta menunjukkan iklim yang kondusif untuk pengembangan dan reputasi sebagai rujukan di bidang keilmuannya.</t>
    </r>
  </si>
  <si>
    <r>
      <rPr>
        <b/>
        <sz val="9"/>
        <rFont val="Calibri"/>
        <family val="2"/>
        <scheme val="minor"/>
      </rPr>
      <t>C. Kriteria
C.1. Visi, Misi, Tujuan dan Strategi</t>
    </r>
    <r>
      <rPr>
        <sz val="9"/>
        <rFont val="Calibri"/>
        <family val="2"/>
        <scheme val="minor"/>
      </rPr>
      <t xml:space="preserve">
C.1.4. Indikator Kinerja Utama
Kesesuaian Visi, Misi, Tujuan dan Strategi (VMTS) Unit Pengelola Program Studi (UPPS) terhadap VMTS Perguruan Tinggi (PT) dan visi keilmuan Program Studi (PS) yang dikelolanya.</t>
    </r>
  </si>
  <si>
    <t>Mekanisme dan keterlibatan pemangku kepentingan dalam penyusunan VMTS UPPS.</t>
  </si>
  <si>
    <t xml:space="preserve">Strategi pencapaian tujuan disusun berdasarkan analisis yang sistematis, serta pada pelaksanaannya dilakukan pemantauan dan evaluasi yang ditindaklanjuti. </t>
  </si>
  <si>
    <r>
      <rPr>
        <b/>
        <sz val="9"/>
        <rFont val="Calibri"/>
        <family val="2"/>
        <scheme val="minor"/>
      </rPr>
      <t>C.2. Tata Pamong, Tata Kelola dan Kerjasama</t>
    </r>
    <r>
      <rPr>
        <sz val="9"/>
        <rFont val="Calibri"/>
        <family val="2"/>
        <scheme val="minor"/>
      </rPr>
      <t xml:space="preserve">
C.2.4. Indikator Kinerja Utama
C.2.4.a) Sistem Tata Pamong
A. Kelengkapan struktur organisasi dan keefektifan penyelenggaraan organisasi.
B. Perwujudan good governance dan pemenuhan lima pilar sistem tata pamong, yang mencakup: 1) Kredibel, 2) Transparan, 3) Akuntabel, 4) Bertanggung jawab, 5) Adil.</t>
    </r>
  </si>
  <si>
    <t xml:space="preserve">C.2.4.b) Kepemimpinan dan Kemampuan Manajerial
A. Komitmen pimpinan UPPS.
B. Kapabilitas pimpinan UPPS, mencakup aspek: 1) perencanaan, 2) pengorganisasian, 3) penempatan personel, 4) pelaksanaan, 5) pengendalian dan pengawasan, dan 6) pelaporan yang menjadi dasar tindak lanjut. </t>
  </si>
  <si>
    <t>C.2.4.c) Kerjasama
Mutu, manfaat, kepuasan dan keberlanjutan kerjasama pendidikan, penelitian dan PkM yang relevan dengan program studi. UPPS memiliki bukti yang sahih terkait kerjasama yang ada telah memenuhi 3 aspek berikut: 1) memberikan manfaat bagi program studi dalam pemenuhan proses pembelajaran, penelitian, PkM. 2) memberikan peningkatan kinerja tridharma dan fasilitas pendukung program studi. 3) memberikan kepuasan kepada mitra industri dan mitra kerjasama lainnya, serta menjamin keberlanjutan kerjasama dan hasilnya.</t>
  </si>
  <si>
    <t xml:space="preserve">A. Kerjasama pendidikan, penelitian, dan PkM yang relevan dengan program studi dan dikelola oleh UPPS dalam 3 tahun terakhir.
B. Kerjasama tingkat internasional, nasional, wilayah/lokal yang relevan dengan program studi dan dikelola oleh UPPS dalam 3 tahun terakhir.
Tabel 1 LKPS </t>
  </si>
  <si>
    <t>C.2.5 Indikator Kinerja Tambahan
Pelampauan SN-DIKTI (indikator kinerja tambahan) yang ditetapkan oleh UPPS pada tiap kriteria.</t>
  </si>
  <si>
    <t>C.2.6 Evaluasi Capaian Kinerja
Analisis keberhasilan dan/atau ketidakberhasilan pencapaian kinerja UPPS yang telah ditetapkan di tiap kriteria memenuhi 2 aspek sebagai berikut: 1) capaian kinerja diukur dengan metoda yang tepat, dan hasilnya dianalisis serta dievaluasi, dan 2) analisis terhadap capaian kinerja mencakup identifikasi akar masalah, faktor pendukung keberhasilan dan faktor penghambat ketercapaian standard, dan deskripsi singkat tindak lanjut yang akan dilakukan.</t>
  </si>
  <si>
    <t>C.2.7. Penjaminan Mutu
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dan 5) memiliki external benchmarking dalam peningkatan mutu.</t>
  </si>
  <si>
    <t>Skor min. = 2,0</t>
  </si>
  <si>
    <t>C.2.8. Kepuasan Pemangku Kepentingan
Pengukuran kepuasan layanan manajemen terhadap para pemangku kepentingan: mahasiswa, dosen, tenaga kependidikan, lulusan, pengguna dan mitra yang memenuhi aspek-aspek berikut: 1) menggunakan instrumen kepuasan yang sahih, andal, mudah digunakan, 2) dilaksanakan secara berkala, serta datanya terekam secara komprehensif, 
3) dianalisis dengan metode yang tepat serta bermanfaat untuk pengambilan keputusan, 4) tingkat kepuasan dan umpan balik ditindaklanjuti untuk perbaikan dan peningkatan mutu luaran secara berkala dan tersistem, 5) dilakukan review terhadap pelaksanaan pengukuran kepuasan dosen dan mahasiswa, serta 6) hasilnya dipublikasikan dan mudah diakses oleh dosen dan mahasiswa.</t>
  </si>
  <si>
    <r>
      <rPr>
        <b/>
        <sz val="9"/>
        <rFont val="Calibri"/>
        <family val="2"/>
        <scheme val="minor"/>
      </rPr>
      <t>C.3. Mahasiswa</t>
    </r>
    <r>
      <rPr>
        <sz val="9"/>
        <rFont val="Calibri"/>
        <family val="2"/>
        <scheme val="minor"/>
      </rPr>
      <t xml:space="preserve">
C.3.4. Indikator Kinerja Utama
C.3.4.a) Kualitas Input Mahasiswa
A. Metoda rekrutmen dan keketatan seleksi.
Tabel 2.a LKPS
</t>
    </r>
  </si>
  <si>
    <t>C.3.4.b) Daya Tarik Program Studi
A. Peningkatan animo calon mahasiswa.
Tabel 2.a LKPS
B. Mahasiswa asing
Tabel 2.b LKPS</t>
  </si>
  <si>
    <t>C.3.4.c) Layanan Kemahasiswaan
A. Ketersediaan layanan kemahasiswaan di bidang: 1) penalaran, minat dan bakat, 2) kesejahteraan (bimbingan dan konseling, layanan beasiswa, dan layanan kesehatan), dan 3) bimbingan karir dan kewirausahaan.
B. Akses dan mutu layanan kemahasiswaan.</t>
  </si>
  <si>
    <r>
      <rPr>
        <b/>
        <sz val="9"/>
        <rFont val="Calibri"/>
        <family val="2"/>
        <scheme val="minor"/>
      </rPr>
      <t>C.4. Sumber Daya Manusia</t>
    </r>
    <r>
      <rPr>
        <sz val="9"/>
        <rFont val="Calibri"/>
        <family val="2"/>
        <scheme val="minor"/>
      </rPr>
      <t xml:space="preserve">
C.4.4. Indikator Kinerja Utama
C.4.4.a) Profil Dosen
Kecukupan jumlah DTPS.
Tabel 3.a.1) LKPS</t>
    </r>
  </si>
  <si>
    <t>Kualifikasi akademik DTPS.
Tabel 3.a.1) LKPS</t>
  </si>
  <si>
    <t>Skor min. = 3,5</t>
  </si>
  <si>
    <t>Skor min. = 3,0</t>
  </si>
  <si>
    <t>Jabatan akademik DTPS.
Tabel 3.a.1) LKPS</t>
  </si>
  <si>
    <t>Rasio jumlah mahasiswa program studi terhadap jumlah DTPS.
Tabel 2.a LKPS
Tabel 3.a.1) LKPS</t>
  </si>
  <si>
    <t xml:space="preserve">Penugasan DTPS sebagai pembimbing utama tugas akhir mahasiswa.
Tabel 3.a.2) LKPS </t>
  </si>
  <si>
    <t>Ekuivalensi Waktu Mengajar Penuh DTPS.
Tabel 3.a.3) LKPS</t>
  </si>
  <si>
    <t>Dosen tidak tetap.
Tabel 3.a.4) LKPS</t>
  </si>
  <si>
    <t>C.4.4.b) Kinerja Dosen
Pengakuan/rekognisi atas kepakaran/prestasi/kinerja DTPS.
Tabel 3.b.1) LKPS</t>
  </si>
  <si>
    <t>Kegiatan penelitian DTPS yang relevan dengan bidang program studi dalam 3 tahun terakhir.
Tabel 3.b.2) LKPS</t>
  </si>
  <si>
    <t>Kegiatan PkM DTPS yang relevan dengan bidang program studi dalam 3 tahun terakhir.
Tabel 3.b.3) LKPS</t>
  </si>
  <si>
    <t>Publikasi ilmiah dengan tema yang relevan dengan bidang program studi yang dihasilkan DTPS dalam 3 tahun terakhir.
Tabel 3.b.4) LKPS</t>
  </si>
  <si>
    <t>Artikel karya ilmiah DTPS yang disitasi dalam 3 tahun terakhir.
Tabel 3.b.5) LKPS</t>
  </si>
  <si>
    <t>Luaran penelitian dan PkM yang dihasilkan DTPS dalam 3 tahun terakhir.
Tabel 3.b.7) LKPS</t>
  </si>
  <si>
    <t>C.4.4.c) Pengembangan Dosen
Upaya pengembangan dosen.</t>
  </si>
  <si>
    <t xml:space="preserve">C.4.4.d) Tenaga Kependidikan
A. Kualifikasi dan kecukupan tenaga kependidikan berdasarkan jenis pekerjaannya (administrasi, pustakawan, teknisi, dll.)
B. Kualifikasi dan kecukupan laboran untuk mendukung proses pembelajaran sesuai dengan kebutuhan program studi. </t>
  </si>
  <si>
    <r>
      <rPr>
        <b/>
        <sz val="9"/>
        <rFont val="Calibri"/>
        <family val="2"/>
        <scheme val="minor"/>
      </rPr>
      <t>C.5. Keuangan, Sarana dan Prasarana</t>
    </r>
    <r>
      <rPr>
        <sz val="9"/>
        <rFont val="Calibri"/>
        <family val="2"/>
        <scheme val="minor"/>
      </rPr>
      <t xml:space="preserve">
C.5.4. Indikator Kinerja Utama
C.5.4.a) Keuangan
Biaya operasional pendidikan.
Tabel 4 LKPS</t>
    </r>
  </si>
  <si>
    <t>Dana penelitian DTPS.
Tabel 4 LKPS</t>
  </si>
  <si>
    <t>Dana pengabdian kepada masyarakat DTPS.
Tabel 4 LKPS</t>
  </si>
  <si>
    <t>Realisasi investasi (SDM, sarana dan prasarana) yang mendukung penyelenggaraan tridharma.</t>
  </si>
  <si>
    <t>Kecukupan dana untuk menjamin pencapaian capaian pembelajaran.</t>
  </si>
  <si>
    <t>C.5.4.b) Sarana dan Prasarana
Kecukupan, aksesibilitas dan mutu sarana dan prasarana untuk menjamin pencapaian capaian pembelajaran dan meningkatkan suasana akademik.</t>
  </si>
  <si>
    <r>
      <rPr>
        <b/>
        <sz val="9"/>
        <rFont val="Calibri"/>
        <family val="2"/>
        <scheme val="minor"/>
      </rPr>
      <t>C.6. Pendidikan</t>
    </r>
    <r>
      <rPr>
        <sz val="9"/>
        <rFont val="Calibri"/>
        <family val="2"/>
        <scheme val="minor"/>
      </rPr>
      <t xml:space="preserve">
C.6.4. Indikator Kinerja Utama
C.6.4.a) Kurikulum
A. Keterlibatan pemangku kepentingan dalam proses evaluasi dan pemutakhiran kurikulum.
B. Kesesuaian capaian pembelajaran dengan profil lulusan dan jenjang KKNI/SKKNI.
C. Ketepatan struktur kurikulum dalam pembentukan capaian pembelajaran.</t>
    </r>
  </si>
  <si>
    <t>C.6.4.b) Karakteristik Proses Pembelajaran
Pemenuhan karakteristik proses pembelajaran, yang terdiri atas sifat: 1) interaktif, 2) holistik, 3) integratif, 4) saintifik, 5) kontekstual, 6) tematik, 7) efektif, 8) kolaboratif, dan 9) berpusat pada mahasiswa.</t>
  </si>
  <si>
    <t>C.6.4.c) Rencana Proses Pembelajaran
A. Ketersediaan dan kelengkapan dokumen rencana pembelajaran semester (RPS).
B. Kedalaman dan keluasan RPS sesuai dengan capaian pembelajaran lulusan.</t>
  </si>
  <si>
    <t>C.6.4.d) Pelaksanaan Proses Pembelajaran
A. Bentuk interaksi antara dosen, mahasiswa dan sumber belajar.
B. Pemantauan kesesuaian proses terhadap rencana pembelajaran.
C. Proses pembelajaran yang terkait dengan penelitian harus mengacu SN Dikti Penelitian: 1) hasil penelitian: harus memenuhi pengembangan IPTEKS, meningkatkan kesejahteraan masyarakat, dan daya saing bangsa. 2) isi penelitian: memenuhi kedalaman dan keluasan materi penelitian sesuai capaian pembelajaran. 3) proses penelitian: mencakup perencanaan, pelaksanaan, dan pelaporan. 4) penilaian penelitian memenuhi unsur edukatif, obyektif, akuntabel, dan transparan.
D. Proses pembelajaran yang terkait dengan PkM harus mengacu SN Dikti PkM: 1) hasil PkM: harus memenuhi pengembangan IPTEKS, meningkatkan kesejahteraan masyarakat, dan daya saing bangsa. 2) isi PkM: memenuhi kedalaman dan keluasan materi PkM sesuai capaian pembelajaran. 3) proses PkM:  mencakup perencanaan, pelaksanaan, dan pelaporan. 4) penilaian PkM memenuhi unsur edukatif, obyektif, akuntabel, dan transparan.
E. Kesesuaian metode pembelajaran dengan capaian pembelajaran. Contoh: RBE (research based education), IBE (industry based education), teaching factory/teaching industry, dll.</t>
  </si>
  <si>
    <t>Pembelajaran yang dilaksanakan dalam bentuk praktikum, praktik studio, praktik bengkel, atau praktik lapangan.
Tabel 5.a LKPS</t>
  </si>
  <si>
    <t>C.6.4.e) Monitoring dan Evaluasi Proses Pembelajaran
Monitoring dan evaluasi pelaksanaan proses pembelajaran mencakup karakteristik, perencanaan, pelaksanaan, proses pembelajaran dan beban belajar mahasiswa untuk memperoleh capaian pembelajaran lulusan.</t>
  </si>
  <si>
    <t>C.6.4.f) Penilaian Pembelajaran
A. Mutu pelaksanaan penilaian pembelajaran (proses dan hasil belajar mahasiswa) untuk mengukur ketercapaian capaian pembelajaran berdasarkan prinsip penilaian yang mencakup:1) edukatif, 2) otentik, 3) objektif, 4) akuntabel, dan 5) transparan, yang dilakukan secara terintegrasi.
B. Pelaksanaan penilaian terdiri atas teknik dan instrumen penilaian. Teknik penilaian terdiri dari: 1) observasi, 2) partisipasi, 3) unjuk kerja, 4) test tertulis, 5) test lisan, dan 6) angket. Instrumen penilaian terdiri dari: 1) penilaian proses dalam bentuk rubrik, dan/ atau, 2) penilaian hasil dalam bentuk portofolio, atau 3) karya disain.
C. Pelaksanaan penilaian memuat unsur-unsur sebagai berikut: 1) mempunyai kontrak rencana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pengembalian hasil observasi, dan pemberian nilai akhir, 6) pelaporan penilaian berupa kualifikasi keberhasilan mahasiswa dalam menempuh suatu mata kuliah dalam bentuk huruf dan angka, 7) mempunyai bukti-bukti rencana dan telah melakukan proses perbaikan berdasar hasil monev penilaian.</t>
  </si>
  <si>
    <t>C.6.4.g) Integrasi kegiatan penelitian dan PkM dalam pembelajaran
Integrasi kegiatan penelitian dan PkM dalam pembelajaran oleh DTPS dalam 3 tahun terakhir.
Tabel 5.b LKPS</t>
  </si>
  <si>
    <t>C.6.4.h) Suasana Akademik
Keterlaksanaan dan keberkalaan program dan kegiatan diluar kegiatan pembelajaran terstruktur untuk meningkatkan suasana akademik.
Contoh: kegiatan himpunan mahasiswa, kuliah umum/studium generale, seminar ilmiah, bedah buku.</t>
  </si>
  <si>
    <t>C.6.4.i) Kepuasan Mahasiswa
A. Tingkat kepuasan mahasiswa terhadap proses pendidikan.
Tabel 5.c LKPS
B. Analisis dan tindak lanjut dari hasil pengukuran kepuasan mahasiswa.</t>
  </si>
  <si>
    <r>
      <rPr>
        <b/>
        <sz val="9"/>
        <rFont val="Calibri"/>
        <family val="2"/>
        <scheme val="minor"/>
      </rPr>
      <t>C.7. Penelitian</t>
    </r>
    <r>
      <rPr>
        <sz val="9"/>
        <rFont val="Calibri"/>
        <family val="2"/>
        <scheme val="minor"/>
      </rPr>
      <t xml:space="preserve">
C.7.4. Indikator Kinerja Utama
C.7.4.a) Relevansi Penelitian
Relevansi penelitian pada UPPS mencakup unsur-unsur sebagai berikut: 1) memiliki peta jalan yang memayungi tema penelitian dosen dan mahasiswa, 2) dosen dan mahasiswa melaksanakan penelitian sesuai dengan agenda penelitian dosen yang merujuk kepada peta jalan penelitian, 3) melakukan evaluasi kesesuaian penelitian dosen dan mahasiswa dengan peta jalan, dan 4) menggunakan hasil evaluasi untuk perbaikan relevansi penelitian dan pengembangan keilmuan program studi.</t>
    </r>
  </si>
  <si>
    <t>C.7.4.b) Penelitian Dosen dan Mahasiswa
Penelitian DTPS yang dalam pelaksanaannya melibatkan mahasiswa program studi dalam 3 tahun terakhir.
Tabel 6.a LKPS</t>
  </si>
  <si>
    <r>
      <rPr>
        <b/>
        <sz val="9"/>
        <rFont val="Calibri"/>
        <family val="2"/>
        <scheme val="minor"/>
      </rPr>
      <t>C.8. Pengabdian kepada Masyarakat</t>
    </r>
    <r>
      <rPr>
        <sz val="9"/>
        <rFont val="Calibri"/>
        <family val="2"/>
        <scheme val="minor"/>
      </rPr>
      <t xml:space="preserve">
C.8.4. Indikator Kinerja Utama
C.8.4.a) Relevansi PkM
Relevansi PkM pada UPPS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t>
    </r>
  </si>
  <si>
    <t>C.8.4.b) PkM Dosen dan Mahasiswa
PkM DTPS yang dalam pelaksanaannya melibatkan mahasiswa program studi dalam 3 tahun terakhir.
Tabel 7 LKPS</t>
  </si>
  <si>
    <r>
      <rPr>
        <b/>
        <sz val="9"/>
        <rFont val="Calibri"/>
        <family val="2"/>
        <scheme val="minor"/>
      </rPr>
      <t>C.9. Luaran dan Capaian Tridharma</t>
    </r>
    <r>
      <rPr>
        <sz val="9"/>
        <rFont val="Calibri"/>
        <family val="2"/>
        <scheme val="minor"/>
      </rPr>
      <t xml:space="preserve">
C.9.4. Indikator Kinerja Utama
C.9.4.a) Luaran Dharma  Pendidikan
Analisis pemenuhan capaian pembelajaran lulusan (CPL) yang diukur dengan metoda yang sahih dan relevan, mencakup aspek: 1) keserbacakupan, 
2) kedalaman, dan 3) kebermanfaatan analisis yang ditunjukkan dengan peningkatan CPL dari waktu ke waktu dalam 3 tahun terakhir.</t>
    </r>
  </si>
  <si>
    <t>IPK lulusan.
Tabel 8.a LKPS</t>
  </si>
  <si>
    <t>Prestasi mahasiswa di bidang akademik dalam 3 tahun terakhir.
Tabel 8.b.1) LKPS</t>
  </si>
  <si>
    <t>Prestasi mahasiswa di bidang nonakademik dalam 3 tahun terakhir.
Tabel 8.b.2) LKPS</t>
  </si>
  <si>
    <t>Masa studi.
Tabel 8.c LKPS</t>
  </si>
  <si>
    <t>Kelulusan tepat waktu.
Tabel 8.c LKPS</t>
  </si>
  <si>
    <t>Keberhasilan studi.
Tabel 8.c LKPS</t>
  </si>
  <si>
    <t xml:space="preserve">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dan 5) hasilnya disosialisasikan dan digunakan untuk pengembangan kurikulum dan pembelajaran. </t>
  </si>
  <si>
    <t>Waktu tunggu.
Tabel 8.d.1) LKPS</t>
  </si>
  <si>
    <t>Kesesuaian bidang kerja. 
Tabel 8.d.2) LKPS</t>
  </si>
  <si>
    <t>Tingkat dan ukuran tempat kerja lulusan.
Tabel 8.e.1) LKPS</t>
  </si>
  <si>
    <t>Tingkat kepuasan pengguna lulusan.
Tabel 8.e.2) LKPS</t>
  </si>
  <si>
    <t>C.9.4.b) Luaran Dharma Penelitian dan PkM 
Publikasi ilmiah mahasiswa, yang dihasilkan secara mandiri atau bersama DTPS, dengan judul yang relevan dengan bidang program studi dalam 3 tahun terakhir.
Tabel 8.f.1) LKPS</t>
  </si>
  <si>
    <t>Luaran penelitian dan PkM yang dihasilkan mahasiswa, baik secara mandiri atau bersama DTPS dalam 3 tahun terakhir.
Tabel 8.f.4) LKPS</t>
  </si>
  <si>
    <r>
      <t xml:space="preserve">D  Analisis dan Penetapan Program Pengembangan
D.1 
Analisis dan Capaian Kinerja
</t>
    </r>
    <r>
      <rPr>
        <sz val="9"/>
        <color theme="1"/>
        <rFont val="Calibri"/>
        <family val="2"/>
        <scheme val="minor"/>
      </rPr>
      <t>Keserbacakupan (kelengkapan, keluasan, dan kedalaman), ketepatan, ketajaman, dan kesesuaian analisis capaian kinerja serta konsistensi dengan setiap kriteria.</t>
    </r>
  </si>
  <si>
    <r>
      <t xml:space="preserve">D.2 
Analisis SWOT atau Analisis Lain yang Relevan
</t>
    </r>
    <r>
      <rPr>
        <sz val="9"/>
        <color theme="1"/>
        <rFont val="Calibri"/>
        <family val="2"/>
        <scheme val="minor"/>
      </rPr>
      <t>Ketepatan analisis SWOT atau analisis yang relevan di dalam mengembangkan strategi.</t>
    </r>
  </si>
  <si>
    <r>
      <t xml:space="preserve">D.3
Program Pengembangan
</t>
    </r>
    <r>
      <rPr>
        <sz val="9"/>
        <color theme="1"/>
        <rFont val="Calibri"/>
        <family val="2"/>
        <scheme val="minor"/>
      </rPr>
      <t>Ketepatan di dalam menetapkan prioritas program pengembangan.</t>
    </r>
  </si>
  <si>
    <r>
      <t xml:space="preserve">D.4 
Program Keberlanjutan
</t>
    </r>
    <r>
      <rPr>
        <sz val="9"/>
        <color rgb="FF000000"/>
        <rFont val="Calibri"/>
        <family val="2"/>
        <scheme val="minor"/>
      </rPr>
      <t>UPPS memiliki kebijakan, ketersediaan sumberdaya, kemampuan melaksanakan, dan kerealistikan program.</t>
    </r>
  </si>
  <si>
    <t>ttd</t>
  </si>
  <si>
    <r>
      <t>N</t>
    </r>
    <r>
      <rPr>
        <vertAlign val="subscript"/>
        <sz val="11"/>
        <color theme="1"/>
        <rFont val="Calibri"/>
        <family val="2"/>
        <scheme val="minor"/>
      </rPr>
      <t>1</t>
    </r>
    <r>
      <rPr>
        <sz val="11"/>
        <color theme="1"/>
        <rFont val="Calibri"/>
        <family val="2"/>
        <scheme val="minor"/>
      </rPr>
      <t xml:space="preserve"> = Jumlah kerjasama pendidikan.</t>
    </r>
  </si>
  <si>
    <r>
      <t>N</t>
    </r>
    <r>
      <rPr>
        <vertAlign val="subscript"/>
        <sz val="11"/>
        <color theme="1"/>
        <rFont val="Calibri"/>
        <family val="2"/>
        <scheme val="minor"/>
      </rPr>
      <t>2</t>
    </r>
    <r>
      <rPr>
        <sz val="11"/>
        <color theme="1"/>
        <rFont val="Calibri"/>
        <family val="2"/>
        <scheme val="minor"/>
      </rPr>
      <t xml:space="preserve"> = Jumlah kerjasama penelitian.</t>
    </r>
  </si>
  <si>
    <r>
      <t>N</t>
    </r>
    <r>
      <rPr>
        <vertAlign val="subscript"/>
        <sz val="11"/>
        <color theme="1"/>
        <rFont val="Calibri"/>
        <family val="2"/>
        <scheme val="minor"/>
      </rPr>
      <t>3</t>
    </r>
    <r>
      <rPr>
        <sz val="11"/>
        <color theme="1"/>
        <rFont val="Calibri"/>
        <family val="2"/>
        <scheme val="minor"/>
      </rPr>
      <t xml:space="preserve"> = Jumlah kerjasama pengabdian kepada masyarakat.</t>
    </r>
  </si>
  <si>
    <r>
      <t>N</t>
    </r>
    <r>
      <rPr>
        <vertAlign val="subscript"/>
        <sz val="11"/>
        <color theme="1"/>
        <rFont val="Calibri"/>
        <family val="2"/>
        <scheme val="minor"/>
      </rPr>
      <t>DTPS</t>
    </r>
    <r>
      <rPr>
        <sz val="11"/>
        <color theme="1"/>
        <rFont val="Calibri"/>
        <family val="2"/>
        <scheme val="minor"/>
      </rPr>
      <t xml:space="preserve"> = Jumlah dosen tetap yang ditugaskan sebagai pengampu mata kuliah dengan bidang keahlian yang sesuai dengan kompetensi inti program studi yang diakreditasi.</t>
    </r>
  </si>
  <si>
    <t>RK = ((a x N1) + (b x N2) + (c x N3)) / NDTPS</t>
  </si>
  <si>
    <t>a =</t>
  </si>
  <si>
    <t xml:space="preserve">b = </t>
  </si>
  <si>
    <t xml:space="preserve">c = </t>
  </si>
  <si>
    <t>bRK =</t>
  </si>
  <si>
    <t>Skor A</t>
  </si>
  <si>
    <r>
      <t>N</t>
    </r>
    <r>
      <rPr>
        <vertAlign val="subscript"/>
        <sz val="11"/>
        <color theme="1"/>
        <rFont val="Calibri"/>
        <family val="2"/>
        <scheme val="minor"/>
      </rPr>
      <t>I</t>
    </r>
    <r>
      <rPr>
        <sz val="11"/>
        <color theme="1"/>
        <rFont val="Calibri"/>
        <family val="2"/>
        <scheme val="minor"/>
      </rPr>
      <t xml:space="preserve"> = Jumlah kerjasama tingkat internasional.</t>
    </r>
  </si>
  <si>
    <r>
      <t>N</t>
    </r>
    <r>
      <rPr>
        <vertAlign val="subscript"/>
        <sz val="11"/>
        <color theme="1"/>
        <rFont val="Calibri"/>
        <family val="2"/>
        <scheme val="minor"/>
      </rPr>
      <t>N</t>
    </r>
    <r>
      <rPr>
        <sz val="11"/>
        <color theme="1"/>
        <rFont val="Calibri"/>
        <family val="2"/>
        <scheme val="minor"/>
      </rPr>
      <t xml:space="preserve"> = Jumlah kerjasama tingkat nasional.</t>
    </r>
  </si>
  <si>
    <r>
      <t>N</t>
    </r>
    <r>
      <rPr>
        <vertAlign val="subscript"/>
        <sz val="11"/>
        <color theme="1"/>
        <rFont val="Calibri"/>
        <family val="2"/>
        <scheme val="minor"/>
      </rPr>
      <t>W</t>
    </r>
    <r>
      <rPr>
        <sz val="11"/>
        <color theme="1"/>
        <rFont val="Calibri"/>
        <family val="2"/>
        <scheme val="minor"/>
      </rPr>
      <t xml:space="preserve"> = Jumlah kerjasama tingkat wilayah/lokal.</t>
    </r>
  </si>
  <si>
    <t xml:space="preserve">4: NI ≥ a </t>
  </si>
  <si>
    <r>
      <t xml:space="preserve">3-4: NI &lt; a DAN NN </t>
    </r>
    <r>
      <rPr>
        <sz val="11"/>
        <color theme="0"/>
        <rFont val="Calibri"/>
        <family val="2"/>
      </rPr>
      <t>≥</t>
    </r>
    <r>
      <rPr>
        <sz val="11"/>
        <color theme="0"/>
        <rFont val="Calibri"/>
        <family val="2"/>
        <scheme val="minor"/>
      </rPr>
      <t xml:space="preserve"> b</t>
    </r>
  </si>
  <si>
    <t>2-3: 0 &lt; NI &lt; a DAN 0 &lt; NN &lt; b</t>
  </si>
  <si>
    <t>2: NI = 0 DAN NN = 0 DAN NW ≥ c</t>
  </si>
  <si>
    <t>0-2: NI = 0 DAN NN = 0 DAN NW &lt; c</t>
  </si>
  <si>
    <t>Skor B</t>
  </si>
  <si>
    <t>Skor = ((2 x A) + B) / 3</t>
  </si>
  <si>
    <t>A. Kerjasama perguruan tinggi di bidang pendidikan, penelitian dan PkM dalam 3 tahun terakhir.</t>
  </si>
  <si>
    <t>B. Kerjasama tingkat internasional, nasional, wilayah/lokal yang relevan dengan program studi dan dikelola oleh UPPS dalam 3 tahun terakhir.</t>
  </si>
  <si>
    <t>Daya Tampung</t>
  </si>
  <si>
    <t>Tahun Akademik</t>
  </si>
  <si>
    <t xml:space="preserve">Jumlah Calon Mahasiswa </t>
  </si>
  <si>
    <t>Jumlah Mahasiswa Baru</t>
  </si>
  <si>
    <t>Jumlah Mahasiswa Aktif</t>
  </si>
  <si>
    <t>Pendaftar</t>
  </si>
  <si>
    <t>Lulus Seleksi</t>
  </si>
  <si>
    <t>Reguler</t>
  </si>
  <si>
    <r>
      <t>Transfer</t>
    </r>
    <r>
      <rPr>
        <b/>
        <vertAlign val="superscript"/>
        <sz val="11"/>
        <color theme="1"/>
        <rFont val="Calibri"/>
        <family val="2"/>
        <scheme val="minor"/>
      </rPr>
      <t>*)</t>
    </r>
  </si>
  <si>
    <t>TS-4</t>
  </si>
  <si>
    <t>TS-3</t>
  </si>
  <si>
    <t>TS-2</t>
  </si>
  <si>
    <t>TS-1</t>
  </si>
  <si>
    <t>TS</t>
  </si>
  <si>
    <t>Jumlah</t>
  </si>
  <si>
    <t>Jumlah Mahasiswa Asing</t>
  </si>
  <si>
    <t>Jumlah total mahasiswa asing</t>
  </si>
  <si>
    <t>Jumlah total mahasiswa prodi</t>
  </si>
  <si>
    <t>Jumlah mahasiswa diterima pada TS</t>
  </si>
  <si>
    <t>Jumlah mahasiswa diterima pada TS-1</t>
  </si>
  <si>
    <t>Jumlah mahasiswa diterima pada TS-2</t>
  </si>
  <si>
    <t>Jumlah mahasiswa diterima pada TS-3</t>
  </si>
  <si>
    <t>Kenaikan TS-3 ke TS-2</t>
  </si>
  <si>
    <t>Kenaikan TS-2 ke TS-1</t>
  </si>
  <si>
    <t>Kenaikan TS-1 ke TS</t>
  </si>
  <si>
    <t>Rerata kenaikan</t>
  </si>
  <si>
    <t>Jenis layanan mencakup bidang penalaran, minat dan bakat, dan kesejahteraan (bimbingan dan konseling, layanan beasiswa, dan layanan kesehatan).</t>
  </si>
  <si>
    <t>Jenis layanan mencakup bidang penalaran, minat dan bakat mahasiswa.</t>
  </si>
  <si>
    <t>Jenis layanan hanya mencakup sebagian bidang penalaran, minat atau bakat.</t>
  </si>
  <si>
    <t>Tidak memiliki layanan kemahasiswaan.</t>
  </si>
  <si>
    <t>Ada kemudahan akses dan mutu layanan yang baik untuk bidang penalaran, minat bakat mahasiswa dan semua jenis layanan kesehatan.</t>
  </si>
  <si>
    <t>Ada kemudahan akses dan mutu layanan yang baik untuk bidang penalaran, minat bakat mahasiswa dan sebagian layanan kesehatan.</t>
  </si>
  <si>
    <t>Ada kemudahan akses dan mutu layanan yang baik untuk bidang penalaran dan minat bakat mahasiswa.</t>
  </si>
  <si>
    <t>Mutu layanan kurang baik untuk bidang penalaran atau minat bakat mahasiswa.</t>
  </si>
  <si>
    <t>Jumlah seluruh kegiatan</t>
  </si>
  <si>
    <t>Tingkat</t>
  </si>
  <si>
    <t>Pendidikan</t>
  </si>
  <si>
    <t>Penelitian</t>
  </si>
  <si>
    <t>Pengabdian kepada Masyarakat</t>
  </si>
  <si>
    <t>Internasional</t>
  </si>
  <si>
    <t>Nasional</t>
  </si>
  <si>
    <t>Lokal/Wilayah</t>
  </si>
  <si>
    <t>EVALUASI DIRI PROGRAM STUDI</t>
  </si>
  <si>
    <t>ISIAN PROGRAM STUDI</t>
  </si>
  <si>
    <t>Jumlah Kegiatan</t>
  </si>
  <si>
    <t>Keterangan</t>
  </si>
  <si>
    <t>Dosen tidak tetap</t>
  </si>
  <si>
    <t>Nama Prodi :</t>
  </si>
  <si>
    <t>(1) Data dosen tetap dan tidak tetap
(2) Ijazah dosen tetap dan tidak tetap
(3) SK Jafa dosen tetap dan tidak tetap
(4) Sertifikat pendidik dosen tetap dan tidak tetap
(5) Hasil monitoring PDDIKTI</t>
  </si>
  <si>
    <t>Jumlah dosen pengampu matakuliah inti program studi</t>
  </si>
  <si>
    <t>1.4.4</t>
  </si>
  <si>
    <t>Program studi telah memiliki lebih dari 80% dosen bersertifikat professional dari keseluruhan jumlah dosen</t>
  </si>
  <si>
    <t>Jumlah dosen yang memiliki sertifikat profesional</t>
  </si>
  <si>
    <t>Persentase jumlah dosen bersertifikat</t>
  </si>
  <si>
    <t>Jenis prodi (Isikan 1 jika prodi sains teknologi, atau isikan 2 jika prodi sosial humaniora</t>
  </si>
  <si>
    <t>Jumlah dosen pembimbing utama</t>
  </si>
  <si>
    <t>Jumlah mahasiswa bimbingan</t>
  </si>
  <si>
    <t>Rerata jumlah bimbingan</t>
  </si>
  <si>
    <t>Program studi telah mengatur beban kerja dosen yang ideal dalam bidang pendidikan, penelitian, PKM, dan tugas tambahan, yaitu 12-16 sks per dosen per semester.</t>
  </si>
  <si>
    <t>Fakultas/ departemen merencanakan dan mengembangkan DTPS mengikuti rencana pengembangan SDM di perguruan tinggi (Renstra PT) secara konsisten.</t>
  </si>
  <si>
    <t>Fakultas/ departemen merencanakan dan mengembangkan DTPS mengikuti rencana pengembangan SDM di perguruan tinggi (Renstra PT).</t>
  </si>
  <si>
    <t>Fakultas/ departemen mengembangkan DTPS mengikuti rencana pengembangan SDM di perguruan tinggi (Renstra PT).</t>
  </si>
  <si>
    <t>Fakultas/ departemen mengembangkan DTPS tidak mengikuti atau tidak sesuai dengan rencana pengembangan SDM di perguruan tinggi (Renstra PT).</t>
  </si>
  <si>
    <t>Perguruan tinggi dan/atau Fakultas/ departemen tidak memiliki rencana pengembangan SDM.</t>
  </si>
  <si>
    <t>1.4.13</t>
  </si>
  <si>
    <t>Program studi telah memiliki data yang lengkap keikutsertaan dosen dan tenaga kependidikan dalam berbagai kegiatan pengembangan kompetensi seperti seminar, workshop, symposium, dll.</t>
  </si>
  <si>
    <t>Rekap dan bukti pengembangan dosen</t>
  </si>
  <si>
    <t>Program studi memiliki data dan dokumen pendukung lengkap keikutsertaan dosen dan tenaga kependidikan dalam berbagai kegiatan pengembangan kompetensi (seminar, workshop, simposium, dll).</t>
  </si>
  <si>
    <t>Program studi memiliki data dan sebagian besar dokumen pendukung keikutsertaan dosen dan tenaga kependidikan dalam berbagai kegiatan pengembangan kompetensi (seminar, workshop, simposium, dll).</t>
  </si>
  <si>
    <t>Program studi memiliki data dan beberapa dokumen pendukung keikutsertaan dosen dan tenaga kependidikan dalam berbagai kegiatan pengembangan kompetensi (seminar, workshop, simposium, dll).</t>
  </si>
  <si>
    <t>Program studi memiliki data keikutsertaan dosen dan tenaga kependidikan dalam berbagai kegiatan pengembangan kompetensi (seminar, workshop, simposium, dll).</t>
  </si>
  <si>
    <t>Program studi tidak memiliki data keikutsertaan dosen dan tenaga kependidikan dalam kegiatan pengembangan kompetensi (seminar, workshop, simposium, dll).</t>
  </si>
  <si>
    <t>(1) Rekap dan bukti pengembangan dosen
(2) Rekap dan bukti pengembangan tenaga kependidikan</t>
  </si>
  <si>
    <t>1.4.14</t>
  </si>
  <si>
    <t>Program studi telah memiliki data yang lengkap keikutsertaan dosen dalam berbagai kegiatan pengembangan kompetensi seperti seminar, workshop, symposium, dll.</t>
  </si>
  <si>
    <t>Program studi memiliki prosedur monitoring dan evaluasi rekrutmen, seleksi, penempatan, pengembangan, retensi, pemberhentian serta pensiun dan telah dijalankan secara konsisten dan berkelanjutan.</t>
  </si>
  <si>
    <t>Program studi memiliki prosedur monitoring dan evaluasi rekrutmen, seleksi, penempatan, pengembangan, retensi, pemberhentian serta pensiun dan telah dijalankan secara konsisten.</t>
  </si>
  <si>
    <t>Program studi memiliki prosedur monitoring dan evaluasi rekrutmen, seleksi, penempatan, pengembangan, retensi, pemberhentian serta pensiun dan telah dijalankan sebagian.</t>
  </si>
  <si>
    <t>Program studi memiliki prosedur monitoring dan evaluasi rekrutmen, seleksi, penempatan, pengembangan, retensi, pemberhentian serta pensiun.</t>
  </si>
  <si>
    <t>Program studi tidak memiliki prosedur monitoring dan evaluasi rekrutmen, seleksi, penempatan, pengembangan, retensi, pemberhentian serta pensiun.</t>
  </si>
  <si>
    <t>1.4.15</t>
  </si>
  <si>
    <t>Fakultas/Departemen telah melakukan pengukuran kepuasan layanan dosen dan tenaga kependidikan terhadap pengelolaan SDM di UKSW dan menindaklanjuti hasilnya minimal satu kali setiap tahun.</t>
  </si>
  <si>
    <t>Fakultas/ departemen dan/atauprogram studi memiliki instrumen dan bukti yang sahih dan andal tentang pengukuran kepuasan dosen dan tenaga kependidikan terhadap layanan pengelolaan dan pengembangan SDM yang dilaksanakan secara konsisten dan ditindaklanjuti hasilnya secara berkala dan tersistem.</t>
  </si>
  <si>
    <t>Fakultas/ departemen dan/atauprogram studi memiliki instrumen dan bukti yang sahih dan andal tentang pengukuran kepuasan dosen dan tenaga kependidikan terhadap layanan pengelolaan dan pengembangan SDM yang dilaksanakan secara konsisten.</t>
  </si>
  <si>
    <t>Fakultas/ departemen dan/atauprogram studi memiliki instrumen dan bukti yang sahih dan andal tentang pengukuran kepuasan dosen dan tenaga kependidikan terhadap layanan pengelolaan dan pengembangan SDM.</t>
  </si>
  <si>
    <t>Fakultas/ departemen dan/atauprogram studi memiliki instrumen dan bukti tentang pengukuran kepuasan dosen dan tenaga kependidikan terhadap layanan pengelolaan dan pengembangan SDM.</t>
  </si>
  <si>
    <t>Fakultas/ departemen dan/atauprogram studi tidak memiliki instrumen yang jelas dan bukti yang sahih tentang pengukuran kepuasan dosen dan tenaga kependidikan terhadap layanan pengelolaan dan pengembangan SDM.</t>
  </si>
  <si>
    <t>(1) Hasil survey secara berkala
(2) Dokumen analisis hasil survey secara berkala</t>
  </si>
  <si>
    <t>Realisasi investasi (SDM, sarana dan prasarana) memenuhi seluruh kebutuhan akan penyelenggaraan program pendidikan, penelitian dan PkM serta memenuhi standar perguruan tinggi terkait pendidikan, penelitian dan PkM.</t>
  </si>
  <si>
    <t>Realisasi investasi (SDM, sarana dan prasarana) hanya memenuhi sebagian kebutuhan akan penyelenggaraan program pendidikan, penelitian dan PkM serta memenuhi standar perguruan tinggi terkait pendidikan, penelitian dan PkM.</t>
  </si>
  <si>
    <t>Realisasi investasi (SDM, sarana dan prasarana) hanya memenuhi kebutuhan akan penyelenggaraan program pendidikan serta memenuhi standar perguruan tinggi terkait pendidikan.</t>
  </si>
  <si>
    <t>Realisasi investasi (SDM, sarana dan prasarana) belum memenuhi kebutuhan akan penyelenggaraan program pendidikan.</t>
  </si>
  <si>
    <t>Tidak ada realisasi untuk investasi SDM, sarana maupun prasarana.</t>
  </si>
  <si>
    <t>Dana dapat menjamin keberlangsungan operasional tridharma, pengembangan 3 tahun terakhir serta memiliki kecukupan dana untuk rencana pengembangan 3 tahun ke depan yang didukung oleh sumber pendanaan yang realistis.</t>
  </si>
  <si>
    <t>Dana dapat menjamin keberlangsungan operasional tridharma serta pengembangan 3 tahun terakhir.</t>
  </si>
  <si>
    <t>Dana dapat menjamin keberlangsungan operasional tridharma dan sebagian kecil pengembangan.</t>
  </si>
  <si>
    <t>Dana dapat menjamin keberlangsungan operasional tridharma dan tidak ada untuk pengembangan.</t>
  </si>
  <si>
    <t>Dana tidak mencukupi untuk keperluan operasional.</t>
  </si>
  <si>
    <t>(1) Daftar sarana dan prasarana prodi untuk pembelajaran yang mutakhir
(2) SOP penggunaan sarana dan prasarana prodi
(3) Hasil audit sarana prasarana</t>
  </si>
  <si>
    <t>1.5.7</t>
  </si>
  <si>
    <t>Fakultas/ departemen telah memiliki kecukupan prasarana yang terukur dari ketersediaan (sesuai dengan kriteria SN-Dikti), kemuthakiran dan kesiapgunaan yang mencakup fasilitas pembelajaran, penelitian dan pengabdian kepada masyarakat, termasuk fasilitas untuk sivitas akademika penyandang disabilitas.</t>
  </si>
  <si>
    <t>Fakultas/ departemen menyediakan prasarana yang cukup sesuai kriteria SN-Dikti, mutakhir dan siap digunakan untuk kegiatan tridharma, termasuk fasilitas bagi penyandang disabilitas.</t>
  </si>
  <si>
    <t>Fakultas/ departemen menyediakan prasarana yang cukup sesuai kriteria SN-Dikti dan siap digunakan untuk kegiatan tridharma, termasuk fasilitas bagi penyandang disabilitas.</t>
  </si>
  <si>
    <t>Fakultas/ departemen menyediakan prasarana yang cukup sesuai kriteria SN-Dikti untuk kegiatan tridharma.</t>
  </si>
  <si>
    <t>Fakultas/ departemen menyediakan prasarana yang tidak sesuai kriteria SN-Dikti untuk kegiatan tridharma.</t>
  </si>
  <si>
    <t>Fakultas/ departemen tidak menyediakan prasarana untuk kegiatan tridharma.</t>
  </si>
  <si>
    <t>(1) Data prasarana
(2) Standar pengelolaan sarana
(3) Prosedur-prosedur penggunaan sarana
(4) Record penggunaan sarana</t>
  </si>
  <si>
    <t>1.5.8</t>
  </si>
  <si>
    <t>Fakultas/ departemen telah memiliki dan menjalankan kebijakan, standar dan prosedur pengelolaan keuangan (perencanaan, pengajuan dan pertanggungjawaban).</t>
  </si>
  <si>
    <t>Dokumen kebijakan, standar, prosedur dan IK keuangan</t>
  </si>
  <si>
    <t>Fakultas/ departemen memiliki dan menjalankan kebijakan, standar dan prosedur pengelolaan keuangan sesuai standar pengelolaan keuangan UKSW secara konsisten.</t>
  </si>
  <si>
    <t>Fakultas/ departemen memiliki dan menjalankan kebijakan, standar dan prosedur pengelolaan keuangan sesuai standar pengelolaan keuangan UKSW.</t>
  </si>
  <si>
    <t>Fakultas/ departemen memiliki dan menjalankan kebijakan, standar dan prosedur pengelolaan keuangan tetapi tidak sesuai standar pengelolaan keuangan UKSW.</t>
  </si>
  <si>
    <t>Tidak ada skor kurang dari 2</t>
  </si>
  <si>
    <t>1.5.9</t>
  </si>
  <si>
    <t>Fakultas/ departemen telah memiliki dan menjalankan kebijakan, standar, prosedur pengelolaan sarana prasarana (perencanaan, pengadaan, pemanfaatan, pemeliharaan, dan penghapusan) secara konsisten.</t>
  </si>
  <si>
    <t>Fakultas/ departemen memiliki dan menjalankan kebijakan, standar, dan prosedur pengelolaan sarana dan prasarana sesuai standar pengelolaan sarana dan prasarana UKSW secara konsisten.</t>
  </si>
  <si>
    <t>Fakultas/ departemen memiliki dan menjalankan kebijakan, standar, dan prosedur pengelolaan sarana dan prasarana sesuai standar pengelolaan sarana dan prasarana UKSW.</t>
  </si>
  <si>
    <t>Fakultas/ departemen memiliki dan menjalankan kebijakan, standar, dan prosedur pengelolaan sarana dan prasarana tetapi tidak sesuai standar pengelolaan sarana dan prasarana UKSW.</t>
  </si>
  <si>
    <t>Kebijakan, standar, prosedur pengelolaan sarana prasarana beserta data keterlaksanaannya.</t>
  </si>
  <si>
    <t>1.5.10</t>
  </si>
  <si>
    <t>Fakultas/ departemen telah memiliki sarana teknologi informasi dan komunikasi yang cukup, mutakhir dan siap digunakan untuk mengumpulkan data, mengelola data pendidikan dan menyebarkan ilmu pengetahuan.</t>
  </si>
  <si>
    <t>Inventarisasi sistem informasi UKSW</t>
  </si>
  <si>
    <t>Fakultas/ departemen memiliki sarana teknologi informasi dan komunikasi yang cukup, mutakhir dan siap digunakan untuk mengumpulkan data, mengelola data pendidikan dan menyebarkan ilmu pengetahuan.</t>
  </si>
  <si>
    <t>Fakultas/ departemen memiliki sarana teknologi informasi dan komunikasi yang cukup dan siap digunakan untuk mengumpulkan data, mengelola data pendidikan dan menyebarkan ilmu pengetahuan.</t>
  </si>
  <si>
    <t>Fakultas/ departemen memiliki sarana teknologi informasi dan komunikasi yang cukup dan siap digunakan untuk mengumpulkan data dan mengelola data pendidikan.</t>
  </si>
  <si>
    <t>Fakultas/ departemen memiliki sarana teknologi informasi dan komunikasi yang siap digunakan untuk mengumpulkan data dan mengelola data pendidikan.</t>
  </si>
  <si>
    <t>Fakultas/ departementidak memiliki sarana teknologi informasi dan komunikasi.</t>
  </si>
  <si>
    <t>1.5.11</t>
  </si>
  <si>
    <t>Fakultas/ departemen telah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</si>
  <si>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Instrumen survey, Hasil uji instrumen, Data hasil survey, Laporan survey</t>
  </si>
  <si>
    <t>Fakultas/ departemen memiliki instrumen survey kepuasan pelanggan untuk para pengguna sarana, prasarana, manajemen keuangan dan sistem informasi dan komunikasi yang valid dan reliable, melaksanakan, merekam, menganalisis dan menindaklanjuti untuk perbaikan secara berkala dan tersistem.</t>
  </si>
  <si>
    <t>Fakultas/ departemen memiliki instrumen survey kepuasan pelanggan untuk para pengguna sarana, prasarana, manajemen keuangan dan sistem informasi dan komunikasi yang valid dan reliable, melaksanakan, merekam, dan menganalisis.</t>
  </si>
  <si>
    <t>Fakultas/ departemen memiliki instrumen survey kepuasan pelanggan untuk para pengguna sarana, prasarana, manajemen keuangan dan sistem informasi dan komunikasi yang valid dan reliable, melaksanakan, dan merekam.</t>
  </si>
  <si>
    <t>Fakultas/ departemen memiliki instrumen survey kepuasan pelanggan untuk para pengguna sarana, prasarana, manajemen keuangan dan sistem informasi dan komunikasi yang valid dan reliable, dan melaksanakan.</t>
  </si>
  <si>
    <t>Fakultas/ departemen tidak memiliki instrumen survey kepuasan pelanggan untuk para pengguna sarana, prasarana, manajemen keuangan dan sistem informasi dan komunikasi.</t>
  </si>
  <si>
    <t xml:space="preserve">Evaluasi dan pemutakhiran kurikulum secara berkala tiap 4 s.d. 5 tahun yang melibatkan pemangku kepentingan internal dan eksternal, serta direview oleh pakar bidang ilmu program studi, industri, asosiasi, serta sesuai perkembangan ipteks dan kebutuhan pengguna.  </t>
  </si>
  <si>
    <t>Evaluasi dan pemutakhiran kurikulum secara berkala tiap 4 s.d. 5 tahun yang melibatkan pemangku kepentingan internal dan eksternal.</t>
  </si>
  <si>
    <t>Evaluasi dan pemutakhiran kurikulum melibatkan pemangku kepentingan internal.</t>
  </si>
  <si>
    <t>Evaluasi dan pemutakhiran kurikulum tidak melibatkan seluruh pemangku kepentingan internal.</t>
  </si>
  <si>
    <t>Evaluasi dan pemutakhiran kurikulum dilakukan oleh dosen program studi.</t>
  </si>
  <si>
    <t>Capaian pembelajaran diturunkan dari profil lulusan dan memenuhi level KKNI.</t>
  </si>
  <si>
    <t>Struktur kurikulum memuat keterkaitan antara matakuliah dengan capaian pembelajaran lulusan yang digambarkan dalam peta kurikulum yang jelas, capaian pembelajaran lulusan dipenuhi oleh seluruh capaian pembelajaran matakuliah, serta tidak ada capaian pembelajaran matakuliah yang tidak mendukung capaian pembelajaran lulusan</t>
  </si>
  <si>
    <t>Struktur kurikulum memuat keterkaitan antara matakuliah dengan capaian pembelajaran lulusan yang digambarkan dalam peta kurikulum yang jelas, capaian pembelajaran lulusan dipenuhi oleh seluruh capaian pembelajaran matakuliah</t>
  </si>
  <si>
    <t>Struktur kurikulum memuat keterkaitan antara matakuliah dengan capaian pembelajaran lulusan yang digambarkan dalam peta kurikulum yang jelas.</t>
  </si>
  <si>
    <t>Struktur kurikulum tidak sesuai dengan urutan capaian pembelajaran lulusan.</t>
  </si>
  <si>
    <t xml:space="preserve">Terpenuhinya karakteristik proses pembelajaran program studi yang mencakup seluruh sifat, dan telah menghasilkan profil lulusan yang sesuai dengan capaian pembelajaran.  </t>
  </si>
  <si>
    <t>Terpenuhinya karakteristik proses pembelajaran program studi yang berpusat pada mahasiswa, dan telah menghasilkan profil lulusan yang sesuai dengan capaian pembelajaran</t>
  </si>
  <si>
    <t>Karakteristik proses pembelajaran program studi berpusat pada mahasiswa yang diterapkan pada minimal 50% matakuliah.</t>
  </si>
  <si>
    <t>Karakteristik proses pembelajaran program studi belum berpusat pada mahasiswa.</t>
  </si>
  <si>
    <t>Dokumen RPS memuat target capaian pembelajaran, bahan kajian, metode pembelajaran, waktu dan tahapan, asesmen hasil capaian pembelajaran. RPS ditinjau dan disesuaikan secara berkala serta dapat diakses oleh mahasiswa, dilaksanakan secara konsisten.</t>
  </si>
  <si>
    <t>Dokumen RPS memuat target capaian pembelajaran, bahan kajian, metode pembelajaran, waktu dan tahapan, asesmen hasil capaian pembelajaran. RPS ditinjau dan disesuaikan secara berkala serta dapat diakses oleh mahasiswa.</t>
  </si>
  <si>
    <t xml:space="preserve">Dokumen RPS memuat target capaian pembelajaran, bahan kajian, metode pembelajaran, waktu dan tahapan, asesmen hasil capaian pembelajaran. RPS ditinjau dan disesuaikan secara berkala.  </t>
  </si>
  <si>
    <t>Dokumen RPS memuat target capaian pembelajaran, bahan kajian, metode pembelajaran, waktu dan tahapan, asesmen hasil capaian pembelajaran atau tidak semua matakuliah memiliki RPS.</t>
  </si>
  <si>
    <t>Tidak memiliki dokumen RPS.</t>
  </si>
  <si>
    <t>Isi materi pembelajaran sesuai dengan RPS, memiliki kedalaman dan keluasan yang relevan untuk mencapai capaian pembelajaran lulusan, serta ditinjau ulang secara berkala</t>
  </si>
  <si>
    <t>Isi materi pembelajaran sesuai dengan RPS, memiliki kedalaman dan keluasan yang relevan untuk mencapai capaian pembelajaran lulusan.</t>
  </si>
  <si>
    <t xml:space="preserve">Isi materi pembelajaran memiliki kedalaman dan keluasan sesuai dengan capaian pembelajaran lulusan.  </t>
  </si>
  <si>
    <t>Isi materi pembelajaran memiliki kedalaman dan keluasan namun sebagian tidak sesuai dengan capaian pembelajaran lulusan.</t>
  </si>
  <si>
    <t xml:space="preserve">Isi materi pembelajaran tidak sesuai dengan capaian pembelajaran lulusan.  </t>
  </si>
  <si>
    <t>Rata-rata EWMP DTPS per semester pada saat TS.</t>
  </si>
  <si>
    <r>
      <t>EWMP</t>
    </r>
    <r>
      <rPr>
        <vertAlign val="subscript"/>
        <sz val="11"/>
        <color rgb="FF000000"/>
        <rFont val="Calibri"/>
        <family val="2"/>
        <scheme val="minor"/>
      </rPr>
      <t>DTPS</t>
    </r>
    <r>
      <rPr>
        <sz val="11"/>
        <color indexed="8"/>
        <rFont val="Calibri"/>
        <family val="2"/>
        <scheme val="minor"/>
      </rPr>
      <t xml:space="preserve"> = Rata-rata EWMP DTPS per semester pada saat TS.</t>
    </r>
  </si>
  <si>
    <t>Skor = (A + B) / 2</t>
  </si>
  <si>
    <t>Pelaksanaan pembelajaran berlangsung dalam bentuk interaksi antara dosen, mahasiswa, dan sumber belajar dalam lingkungan belajar tertentu secara on-line dan off-line dalam bentuk audio-visual terdokumentasi.</t>
  </si>
  <si>
    <t>Pelaksanaan pembelajaran berlangsung dalam bentuk interaksi antara dosen, mahasiswa, dan sumber belajar dalam lingkungan belajar tertentu secara on-line dan off-line</t>
  </si>
  <si>
    <t>Pelaksanaan pembelajaran berlangsung dalam bentuk interaksi antara dosen, mahasiswa, dan sumber belajar dalam lingkungan belajar tertentu</t>
  </si>
  <si>
    <t>Pelaksanaan pembelajaran berlangsung hanya sebagian dalam bentuk interaksi antara dosen, mahasiswa, dan sumber belajar dalam lingkungan belajar tertentu.</t>
  </si>
  <si>
    <t>Pelaksanaan pembelajaran tidak berlangsung dalam bentuk interaksi antara dosen dan mahasiswa</t>
  </si>
  <si>
    <t>Skor = (A + (2 x B) + (2 x C)) / 5</t>
  </si>
  <si>
    <t>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t>
  </si>
  <si>
    <t>Memiliki bukti sahih adanya sistem dan pelaksanaan pemantauan proses pembelajaran yang dilaksanakan secara periodik untuk menjamin kesesuaian dengan RPS dalam rangka menjaga mutu proses pembelajaran. Hasil monev terdokumentasi dengan baik.</t>
  </si>
  <si>
    <t>Memiliki bukti sahih adanya sistem dan pelaksanaan pemantauan proses pembelajaran yang dilaksanakan secara periodik untuk mengukur kesesuaian terhadap RPS</t>
  </si>
  <si>
    <t>Memiliki bukti sahih adanya sistem pemantauan proses pembelajaran namun tidak dilaksanakan secara konsisten.</t>
  </si>
  <si>
    <t>Tidak memiliki bukti sahih adanya sistem dan pelaksanaan pemantauan proses pembelajaran</t>
  </si>
  <si>
    <t>JP = Jam pembelajaran praktikum, praktik studio, praktik bengkel, atau praktik lapangan (termasuk KKN)</t>
  </si>
  <si>
    <t>JB = Jam pembelajaran total selama masa pendidikan.</t>
  </si>
  <si>
    <t>Jam pembelajaran praktikum, praktik studio, praktik bengkel, atau praktik lapangan (termasuk KKN)</t>
  </si>
  <si>
    <t>Jam pembelajaran total selama masa pendidikan.</t>
  </si>
  <si>
    <t>PJP = (JP / JB) x 100%</t>
  </si>
  <si>
    <t xml:space="preserve">Terdapat bukti sahih tentang dipenuhinya 5 prinsip penilaian yang dilakukan secara terintegrasi dan dilengkapi dengan rubrik/portofolio penilaian minimum 70% jumlah matakuliah. </t>
  </si>
  <si>
    <t>Terdapat bukti sahih tentang dipenuhinya 5 prinsip penilaian yang dilakukan secara terintegrasi dan dilengkapi dengan rubrik/portofolio penilaian minimum 50% jumlah matakuliah.</t>
  </si>
  <si>
    <t>Terdapat bukti sahih tentang dipenuhinya 5 prinsip penilaian yang dilakukan secara terintegrasi.</t>
  </si>
  <si>
    <t>Terdapat bukti sahih tentang dipenuhinya 5 prinsip penilaian yang tidak dilakukan secara terintegrasi.</t>
  </si>
  <si>
    <t>Tidak terdapat bukti sahih tentang dipenuhinya 5 prinsip penilaian.</t>
  </si>
  <si>
    <t>Tidak terdapat bukti sahih yang menunjukkan kesesuaian teknik dan instrumen penilaian terhadap capaian pembelajaran.</t>
  </si>
  <si>
    <t xml:space="preserve">Terdapat bukti sahih pelaksanaan penilaian mencakup 7 unsur.  </t>
  </si>
  <si>
    <t>Terdapat bukti sahih pelaksanaan penilaian mencakup minimum unsur 1, 4 dan 6 serta 2 unsur lainnya.</t>
  </si>
  <si>
    <t xml:space="preserve">Terdapat bukti sahih pelaksanaan penilaian mencakup minimum unsur 1, 4 dan 6.  </t>
  </si>
  <si>
    <t>Terdapat bukti sahih pelaksanaan penilaian hanya mencakup unsur 6.</t>
  </si>
  <si>
    <t>Jumlah matakuliah yang dikembangkan dari penelitian/PkM dalam 3 tahun terakhir</t>
  </si>
  <si>
    <t>Kegiatan ilmiah yang terjadwal dilaksanakan setiap bulan.</t>
  </si>
  <si>
    <t>Tidak ada skor kurang dari 1.</t>
  </si>
  <si>
    <t>% Sangat Baik</t>
  </si>
  <si>
    <t>% Baik</t>
  </si>
  <si>
    <t>% Cukup</t>
  </si>
  <si>
    <t>% Kurang</t>
  </si>
  <si>
    <r>
      <t>TKM</t>
    </r>
    <r>
      <rPr>
        <vertAlign val="subscript"/>
        <sz val="11"/>
        <rFont val="Calibri"/>
        <family val="2"/>
        <scheme val="minor"/>
      </rPr>
      <t>1</t>
    </r>
  </si>
  <si>
    <r>
      <t>TKM</t>
    </r>
    <r>
      <rPr>
        <vertAlign val="subscript"/>
        <sz val="11"/>
        <rFont val="Calibri"/>
        <family val="2"/>
        <scheme val="minor"/>
      </rPr>
      <t>2</t>
    </r>
  </si>
  <si>
    <r>
      <t>TKM</t>
    </r>
    <r>
      <rPr>
        <vertAlign val="subscript"/>
        <sz val="11"/>
        <rFont val="Calibri"/>
        <family val="2"/>
        <scheme val="minor"/>
      </rPr>
      <t>3</t>
    </r>
  </si>
  <si>
    <r>
      <t>TKM</t>
    </r>
    <r>
      <rPr>
        <vertAlign val="subscript"/>
        <sz val="11"/>
        <rFont val="Calibri"/>
        <family val="2"/>
        <scheme val="minor"/>
      </rPr>
      <t>4</t>
    </r>
  </si>
  <si>
    <t>Tangible</t>
  </si>
  <si>
    <r>
      <t>TKM</t>
    </r>
    <r>
      <rPr>
        <vertAlign val="subscript"/>
        <sz val="11"/>
        <rFont val="Calibri"/>
        <family val="2"/>
        <scheme val="minor"/>
      </rPr>
      <t>5</t>
    </r>
  </si>
  <si>
    <t>Keandalan</t>
  </si>
  <si>
    <t>Daya Tanggap</t>
  </si>
  <si>
    <t>Kepastian</t>
  </si>
  <si>
    <t>Empati</t>
  </si>
  <si>
    <t>Tingkat kepuasan pengguna</t>
  </si>
  <si>
    <t>Hasil pengukuran dianalisis dan ditindaklanjuti minimal 2 kali setiap semester, serta digunakan untuk perbaikan proses pembelajaran dan menunjukkan peningkatan hasil pembelajaran.</t>
  </si>
  <si>
    <t>Hasil pengukuran dianalisis dan ditindaklanjuti setiap semester, serta digunakan untuk perbaikan proses pembelajaran dan menunjukkan peningkatan hasil pembelajaran.</t>
  </si>
  <si>
    <t>Hasil pengukuran dianalisis dan ditindaklanjuti setiap tahun, serta digunakan untuk perbaikan proses pembelajaran</t>
  </si>
  <si>
    <t>Hasil pengukuran dianalisis dan ditindaklanjuti, serta digunakan untuk perbaikan proses pembelajaran, namun dilakukan secara insidentil.</t>
  </si>
  <si>
    <t>Tidak dilakukan analisis terhadap hasil pengukuran kepuasan terhadap proses pembelajaran.</t>
  </si>
  <si>
    <t>1.7.2</t>
  </si>
  <si>
    <t>Program studi telah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</si>
  <si>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Peta jalan penelitian; Laporan penelitian dosen.</t>
  </si>
  <si>
    <t>Program studi menghasilkan dan mendokumentasikan penelitian dasar dan terapan yang memuat prinsip-prinsip kemanfaatan, kemutakhiran dan mengantisipasi kebutuhan di masa mendatang yang layak untuk dipublikasikan pada tingkat internasional.</t>
  </si>
  <si>
    <t>Program studi menghasilkan dan mendokumentasikan penelitian dasar dan terapan yang memuat prinsip-prinsip kemanfaatan, kemutakhiran dan mengantisipasi kebutuhan di masa mendatang yang layak untuk dipublikasikan pada tingkat nasional.</t>
  </si>
  <si>
    <t>Program studi menghasilkan dan mendokumentasikan penelitian dasar dan terapan yang memuat prinsip-prinsip kemanfaatan, kemutakhiran dan mengantisipasi kebutuhan di masa mendatang.</t>
  </si>
  <si>
    <t>Program studi menghasilkan dan mendokumentasikan penelitian dasar dan terapan yang memuat prinsip-prinsip kemanfaatan dan kemutakhiran.</t>
  </si>
  <si>
    <t>Program studi tidak menghasilkan dan mendokumentasikan penelitian dasar dan terapan.</t>
  </si>
  <si>
    <t>1.7.3</t>
  </si>
  <si>
    <t>Program studi telah memiliki rekap dan bukti terdokumentasi karya dosen tetap Program studi yang disitasi setiap tahun.</t>
  </si>
  <si>
    <t>Program studi memiliki rekap dan bukti terdokumentasi karya dosen yang disitasi dalam 3 tahun terakhir.</t>
  </si>
  <si>
    <t>Program studi memiliki rekap dan bukti terdokumentasi karya dosen yang disitasi selama 2 tahun terakhir.</t>
  </si>
  <si>
    <t>Program studi memiliki rekap dan bukti terdokumentasi karya dosen yang disitasi dalam 1 tahun terakhir.</t>
  </si>
  <si>
    <t>Program studi tidak memiliki rekap atau bukti terdokumentasi karya dosen.</t>
  </si>
  <si>
    <t>(1) Rekap sitasi dosen
(2) Bukti sitasi dosen.</t>
  </si>
  <si>
    <t>Jumlah judul penelitian DTPS yang dalam pelaksanaannya melibatkan mahasiswa program studi dalam 3 tahun terakhir.</t>
  </si>
  <si>
    <t xml:space="preserve">Jumlah judul penelitian DTPS dalam 3 tahun terakhir. </t>
  </si>
  <si>
    <t>Program studi telah melaksanakan penjaminan mutu (PPEPP) terhadap pengelolaan penelitian program studi.</t>
  </si>
  <si>
    <t>1.7.5</t>
  </si>
  <si>
    <t>Pengelolaan penelitian di program studi dilaksanakan sesuai dengan tahap penjaminan mutu (PPEPP).</t>
  </si>
  <si>
    <t>Pengelolaan penelitian di program studi dilaksanakan sesuai dengan tahap perencanaan, pelaksanaan, monitoring dan evaluasi, serta pengendalian.</t>
  </si>
  <si>
    <t>Pengelolaan penelitian di program studi dilaksanakan sesuai dengan tahap perencanaan, pelaksanaan, serta monitoring dan evaluasi.</t>
  </si>
  <si>
    <t>Pengelolaan penelitian di program studi dilaksanakan hanya sampai tahap pelaksanaan.</t>
  </si>
  <si>
    <t>Pengelolaan penelitian di program studi tidak dilaksanakan sesuai dengan tahap penjaminan mutu (PPEPP).</t>
  </si>
  <si>
    <t>(1) Dokumen SPMI
(2) Bukti upaya pencapaian standar
(3) Laporan AMI
(4) Formulir tindak lanjut AMI
(5) Bukti peningkatan standar</t>
  </si>
  <si>
    <t>1.7.6</t>
  </si>
  <si>
    <t>Fakultas/ departemen telah memiliki instrumen dan menjamin keterlaksanaan pengukuran kepuasan peneliti dan mitra penelitian dalam proses penelitian secara konsisten dan berkelanjutan, dan hasilnya telah dianalisis dan digunakan untuk memperbaiki pengelolaan penelitian secara berkala dan tersistem.</t>
  </si>
  <si>
    <t>Fakultas/ departemen memiliki instrument dan melakukan pengukuran kepuasan peneliti dan mitra penelitian dalam proses penelitian secara konsisten dan berkelanjutan, dan hasilnya telah dianalisis dan digunakan untuk memperbaiki pengelolaan penelitian secara berkala dan tersistem.</t>
  </si>
  <si>
    <t>Fakultas/ departemen memiliki instrumendan melakukan pengukuran kepuasan peneliti dan mitra penelitian dalam proses penelitian secara konsisten dan berkelanjutan, dan hasilnya telah dianalisis tetapi belum dimanfaatkan untuk perbaikan pengelolaan penelitian.</t>
  </si>
  <si>
    <t>Fakultas/ departemen memiliki instrumendan melakukan pengukuran kepuasan peneliti dan mitra penelitian dalam proses penelitian secara konsisten dan berkelanjutan tetapi tidak melakukan analisis.</t>
  </si>
  <si>
    <t>Fakultas/ departemen memiliki instrumendan melakukan pengukuran kepuasan peneliti dan mitra penelitian dalam proses penelitian secara insidental.</t>
  </si>
  <si>
    <t>Fakultas/ departemen tidak memiliki instrumendan tidak melakukan pengukuran kepuasan peneliti dan mitra penelitian dalam proses penelitian.</t>
  </si>
  <si>
    <t>(1) Instrumen survey kepuasan peneliti dan mitra penelitian terhadap pengelolaan penelitian
(2) Laporan survey kepuasan peneliti dan mitra penelitian terhadap pengelolaan penelitian
(3) Formulir tindak lanjut survey kepuasan peneliti dan mitra penelitian terhadap pengelolaan penelitian.</t>
  </si>
  <si>
    <t>1.7.7</t>
  </si>
  <si>
    <t>Fakultas/ departemen telah menyediakan dana dan sarana prasarana yang sangat memadai untuk pelaksanaan penelitian dosen dan mahasiswa, untuk menjamin semua proposal penelitian dapat dilaksanakan.</t>
  </si>
  <si>
    <t>Fakultas/ departemen menyediakan dana dan sarana prasarana yang sangat memadai untuk pelaksanaan semua penelitian dosen dan mahasiswa.</t>
  </si>
  <si>
    <t>Fakultas/ departemen menyediakan dana dan sarana prasarana yang sangat memadai untuk pelaksanaan penelitian dosen dan mahasiswa.</t>
  </si>
  <si>
    <t>Fakultas/ departemen menyediakan dana dan sarana prasarana untuk pelaksanaan penelitian dosen dan mahasiswa.</t>
  </si>
  <si>
    <t>Fakultas/ departemen menyediakan dana untuk pelaksanaan penelitian dosen dan mahasiswa.</t>
  </si>
  <si>
    <t>Fakultas/ departemen tidak menyediakan dana dan sarana prasarana untuk pelaksanaan penelitian dosen dan mahasiswa.</t>
  </si>
  <si>
    <t>(1) Rencana anggaran pengadaan sarana prasarana penelitian
(2) Realisasi pengadaan sarana prasarana penelitian
(3) Rekap sarana prasrana penelitian.</t>
  </si>
  <si>
    <t>1.8.2</t>
  </si>
  <si>
    <t>Program studi telah menghasilkan dan mendokumentasikan PkM yang memuat prinsip kemanfaatan, kemutakhiran dan mengantisipasi kebutuhan di masa mendatang yang layak untuk dipublikasikan pada tingkat nasional dan internasional.</t>
  </si>
  <si>
    <t>Rekap dan bukti PKM dosen dan mahasiswa</t>
  </si>
  <si>
    <t>Program studi mendokumentasikan hasil PkM yang bermanfaat, mutakhir dan berorientasi pada kebutuhan masa datang, yang telah dipublikasikan pada tingkat nasional dan internasional.</t>
  </si>
  <si>
    <t>Program studi mendokumentasikan hasil PkM yang bermanfaat, mutakhir dan berorientasi pada kebutuhan masa datang, yang telah dipublikasikan pada tingkat nasional.</t>
  </si>
  <si>
    <t>Program studi mendokumentasikan hasil PkM yang bermanfaat, mutakhir dan berorientasi pada kebutuhan masa datang,yang telah dipublikasikan pada tingkat lokal.</t>
  </si>
  <si>
    <t>Program studi mendokumentasikan hasil PkM yang bermanfaat, mutakhir dan berorientasi pada kebutuhan masa datang, tetapi belum dipublikasikan.</t>
  </si>
  <si>
    <t>Program studi tidak mendokumentasikan hasil PkM.</t>
  </si>
  <si>
    <t>Jumlah PKM dosen yang melibatkan mahasiswa dalam 3 tahun terakhir</t>
  </si>
  <si>
    <t>Jumlah keseluruhan PKM dosen dalam 3 tahun terakhir</t>
  </si>
  <si>
    <t>A. Program studi menyerap jumlah calon mahasiswa hingga 5 kali kapasitas daya tampung program studi.</t>
  </si>
  <si>
    <t>B. Program studi memiliki data administrasi yang jelas dan dilengkapi dengan bukti tentang keberadaan mahasiswa asing di program studinya.</t>
  </si>
  <si>
    <t>Tidak dilakukan analisis capaian pembelajaran lulusan.</t>
  </si>
  <si>
    <t>Jumlah Lulusan</t>
  </si>
  <si>
    <t>Rata-rata IPK</t>
  </si>
  <si>
    <t>Jumlah Lulusan pada TS-2</t>
  </si>
  <si>
    <t>Jumlah Lulusan pada TS-1</t>
  </si>
  <si>
    <t>Jumlah Lulusan pada TS</t>
  </si>
  <si>
    <t>IPK Rata-rata pada TS-2</t>
  </si>
  <si>
    <t>IPK Rata-rata pada TS-1</t>
  </si>
  <si>
    <t>IPK Rata-rata pada TS</t>
  </si>
  <si>
    <t>RIPK = Rata-rata IPK lulusan dalam 3 tahun terakhir.</t>
  </si>
  <si>
    <t>b1 =</t>
  </si>
  <si>
    <t>b2 =</t>
  </si>
  <si>
    <t>NI = Jumlah prestasi akademik internasional.</t>
  </si>
  <si>
    <t>NN = Jumlah prestasi akademik nasional.</t>
  </si>
  <si>
    <t>NW = Jumlah prestasi akademik wilayah/lokal.</t>
  </si>
  <si>
    <t>NM = Jumlah mahasiswa pada saat TS.</t>
  </si>
  <si>
    <t>RI = NI / NM</t>
  </si>
  <si>
    <t>RN = NN / NM</t>
  </si>
  <si>
    <t>RW = NW / NM</t>
  </si>
  <si>
    <t>Jumlah Prestasi Akademik</t>
  </si>
  <si>
    <t>Jumlah Prestasi Non Akademik</t>
  </si>
  <si>
    <t>Jumlah lulusan pada akhir TS dari mahasiswa tahun masuk TS-6</t>
  </si>
  <si>
    <t>Rata-rata masa studi lulusan dari mahasiswa tahun masuk TS-6 (Tahun)</t>
  </si>
  <si>
    <t>Jumlah lulusan pada akhir TS dari mahasiswa tahun masuk TS-5</t>
  </si>
  <si>
    <t>Rata-rata masa studi lulusan dari mahasiswa tahun masuk TS-5 (Tahun)</t>
  </si>
  <si>
    <t>Jumlah lulusan pada akhir TS dari mahasiswa tahun masuk TS-4</t>
  </si>
  <si>
    <t>Rata-rata masa studi lulusan dari mahasiswa tahun masuk TS-4 (Tahun)</t>
  </si>
  <si>
    <t>Jumlah lulusan pada akhir TS dari mahasiswa tahun masuk TS-3</t>
  </si>
  <si>
    <t>Rata-rata masa studi lulusan dari mahasiswa tahun masuk TS-3 (Tahun)</t>
  </si>
  <si>
    <t>MS = Rata-rata masa studi lulusan (Tahun)</t>
  </si>
  <si>
    <t>b3 =</t>
  </si>
  <si>
    <t>Tahun Masuk</t>
  </si>
  <si>
    <t>TS-6</t>
  </si>
  <si>
    <t>TS-5</t>
  </si>
  <si>
    <t>Jumlah Mahasiswa Diterima</t>
  </si>
  <si>
    <t>Akhir TS-6</t>
  </si>
  <si>
    <t>Akhir TS-5</t>
  </si>
  <si>
    <t>Akhir TS-4</t>
  </si>
  <si>
    <t>Akhir TS-3</t>
  </si>
  <si>
    <t>Akhir TS-2</t>
  </si>
  <si>
    <t>Akhir TS-1</t>
  </si>
  <si>
    <t>Akhir TS</t>
  </si>
  <si>
    <t>Jumlah
Lulusan
s.d.
Akhir TS</t>
  </si>
  <si>
    <t>Rata
rata
Masa
Studi</t>
  </si>
  <si>
    <t>Jumlah mahasiswa yang lulus pada</t>
  </si>
  <si>
    <t>Jumlah Mahasiswa Diterima pada TS-6</t>
  </si>
  <si>
    <t>Jumlah Mahasiswa Diterima pada TS-5</t>
  </si>
  <si>
    <t>Jumlah Mahasiswa Diterima pada TS-4</t>
  </si>
  <si>
    <t>Jumlah Mahasiswa Diterima pada TS-3</t>
  </si>
  <si>
    <t>Jumlah Mahasiswa yang Lulus pada Akhir TS-3</t>
  </si>
  <si>
    <t>Jumlah Mahasiswa yang Lulus pada Akhir TS-2</t>
  </si>
  <si>
    <t>Jumlah Mahasiswa yang Lulus pada Akhir TS-1</t>
  </si>
  <si>
    <t>Jumlah Mahasiswa yang Lulus pada Akhir TS</t>
  </si>
  <si>
    <t>PTW = Persentase kelulusan tepat waktu.</t>
  </si>
  <si>
    <t>Jumlah mahasiswa diterima pada TS-6</t>
  </si>
  <si>
    <t>Jumlah mahasiswa yang lulus pada akhir TS-3</t>
  </si>
  <si>
    <t>Jumlah mahasiswa yang lulus pada akhir TS-2</t>
  </si>
  <si>
    <t>Jumlah mahasiswa yang lulus pada akhir TS-1</t>
  </si>
  <si>
    <t>Jumlah mahasiswa yang lulus pada akhir TS</t>
  </si>
  <si>
    <t>PPS = Persentase keberhasilan studi.</t>
  </si>
  <si>
    <t>Jumlah Lulusan yang Terlacak</t>
  </si>
  <si>
    <t>Jumlah Lulusan Terlacak dengan Waktu Tunggu Mendapatkan Pekerjaan</t>
  </si>
  <si>
    <t>WT &lt; 6 Bulan</t>
  </si>
  <si>
    <t>WT &gt; 18 Bulan</t>
  </si>
  <si>
    <r>
      <t xml:space="preserve">6 </t>
    </r>
    <r>
      <rPr>
        <b/>
        <u/>
        <sz val="11"/>
        <color theme="1"/>
        <rFont val="Calibri"/>
        <family val="2"/>
        <scheme val="minor"/>
      </rPr>
      <t>&lt;</t>
    </r>
    <r>
      <rPr>
        <b/>
        <sz val="11"/>
        <color theme="1"/>
        <rFont val="Calibri"/>
        <family val="2"/>
        <scheme val="minor"/>
      </rPr>
      <t xml:space="preserve"> WT </t>
    </r>
    <r>
      <rPr>
        <b/>
        <u/>
        <sz val="11"/>
        <color theme="1"/>
        <rFont val="Calibri"/>
        <family val="2"/>
        <scheme val="minor"/>
      </rPr>
      <t>&lt;</t>
    </r>
    <r>
      <rPr>
        <b/>
        <sz val="11"/>
        <color theme="1"/>
        <rFont val="Calibri"/>
        <family val="2"/>
        <scheme val="minor"/>
      </rPr>
      <t xml:space="preserve"> 18 Bulan</t>
    </r>
  </si>
  <si>
    <t>NL4 = Jumlah lulusan pada TS-4</t>
  </si>
  <si>
    <t>NL3 = Jumlah lulusan pada TS-3</t>
  </si>
  <si>
    <t>NL2 = Jumlah lulusan pada TS-2</t>
  </si>
  <si>
    <t>NJ4 = Jumlah lulusan pada TS-4 yang terlacak</t>
  </si>
  <si>
    <t>NJ3 = Jumlah lulusan pada TS-3 yang terlacak</t>
  </si>
  <si>
    <t>NJ3 = Jumlah lulusan pada TS-2 yang terlacak</t>
  </si>
  <si>
    <t>Persentase responden lulusan</t>
  </si>
  <si>
    <r>
      <t>P</t>
    </r>
    <r>
      <rPr>
        <vertAlign val="subscript"/>
        <sz val="11"/>
        <color theme="1"/>
        <rFont val="Calibri"/>
        <family val="2"/>
        <scheme val="minor"/>
      </rPr>
      <t>rmin</t>
    </r>
    <r>
      <rPr>
        <sz val="11"/>
        <color theme="1"/>
        <rFont val="Calibri"/>
        <family val="2"/>
        <scheme val="minor"/>
      </rPr>
      <t xml:space="preserve"> = Persentase responden minimum</t>
    </r>
  </si>
  <si>
    <t>Thn Lulus TS-4</t>
  </si>
  <si>
    <t>Thn Lulus TS-3</t>
  </si>
  <si>
    <t>Thn Lulus TS-2</t>
  </si>
  <si>
    <t>mid1 =</t>
  </si>
  <si>
    <t>mid2 =</t>
  </si>
  <si>
    <t>mid3 =</t>
  </si>
  <si>
    <t>WT = Rata-rata masa tunggu lulusan (bulan)</t>
  </si>
  <si>
    <t>Skor Awal</t>
  </si>
  <si>
    <t>Jumlah lulusan dengan WT &lt; 6 bulan</t>
  </si>
  <si>
    <t>Jumlah lulusan dengan 6 bulan ≤ WT ≤ 18 bulan</t>
  </si>
  <si>
    <t>Jumlah lulusan dengan WT &gt; 18 bulan</t>
  </si>
  <si>
    <t>Jumlah lulusan dengan kesesuaian bidang kerja rendah</t>
  </si>
  <si>
    <t>Jumlah lulusan dengan kesesuaian bidang kerja sedang</t>
  </si>
  <si>
    <t>Jumlah lulusan dengan kesesuaian bidang kerja tinggi</t>
  </si>
  <si>
    <t>b =</t>
  </si>
  <si>
    <t>rendah</t>
  </si>
  <si>
    <t>sedang</t>
  </si>
  <si>
    <t>tinggi</t>
  </si>
  <si>
    <t>PBS = Kesesuaian bidang kerja lulusan saat mendapatkan pekerjaan pertama.</t>
  </si>
  <si>
    <t>Jumlah Lulusan Terlacak dengan Tingkat Kesesuaian Bidang Kerja</t>
  </si>
  <si>
    <t>Rendah</t>
  </si>
  <si>
    <t>Sedang</t>
  </si>
  <si>
    <t>Tinggi</t>
  </si>
  <si>
    <t>Tahun
Lulus</t>
  </si>
  <si>
    <t>Jumlah
Lulusan</t>
  </si>
  <si>
    <t>Jumlah
Lulusan
yang
Terlacak</t>
  </si>
  <si>
    <t>Jumlah Lulusan Terlacak yang Bekerja
berdasarkan Tingkat/Ukuran Tempat
Kerja/Berwirausaha</t>
  </si>
  <si>
    <t>Lokal/
Wilayah/
Berwirausaha
tidak Berizin</t>
  </si>
  <si>
    <t>Nasional/
Berwirausaha
Berizin</t>
  </si>
  <si>
    <t>Multinasiona/
Internasional</t>
  </si>
  <si>
    <t>Tahun Lulus</t>
  </si>
  <si>
    <t>NJ4 = Jumlah lulusan pada TS-4 yang terlacak (bekerja/berwirausaha)</t>
  </si>
  <si>
    <t>NJ3 = Jumlah lulusan pada TS-3 yang terlacak (bekerja/berwirausaha)</t>
  </si>
  <si>
    <t>NJ2 = Jumlah lulusan pada TS-2 yang terlacak (bekerja/berwirausaha)</t>
  </si>
  <si>
    <r>
      <t xml:space="preserve">Kategori jumlah lulusan dalam 3 tahun (1: NL </t>
    </r>
    <r>
      <rPr>
        <u/>
        <sz val="11"/>
        <color theme="1"/>
        <rFont val="Calibri"/>
        <family val="2"/>
        <scheme val="minor"/>
      </rPr>
      <t>&gt;</t>
    </r>
    <r>
      <rPr>
        <sz val="11"/>
        <color theme="1"/>
        <rFont val="Calibri"/>
        <family val="2"/>
        <scheme val="minor"/>
      </rPr>
      <t xml:space="preserve"> 300; 2: NL &lt; 300)</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</si>
  <si>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L</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</si>
  <si>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L</t>
    </r>
  </si>
  <si>
    <r>
      <t>R</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L</t>
    </r>
  </si>
  <si>
    <t xml:space="preserve">4: RI ≥ a </t>
  </si>
  <si>
    <t>3-4: RI &lt; a DAN RN ≥ b</t>
  </si>
  <si>
    <t>2-3: 0 &lt; RI &lt; a DAN 0 &lt; RN &lt; b</t>
  </si>
  <si>
    <t>2: RI = 0 DAN RN = 0 DAN RW ≥ c</t>
  </si>
  <si>
    <t>0-2: RI = 0 DAN RN = 0 DAN RW &lt; c</t>
  </si>
  <si>
    <t>NI = Jumlah lulusan yang bekerja di badan usaha tingkat multi nasional/internasional.</t>
  </si>
  <si>
    <t>NN = Jumlah lulusan yang bekerja di badan usaha tingkat nasional atau berwirausaha yang berizin.</t>
  </si>
  <si>
    <t>NW = Jumlah lulusan yang bekerja di badan usaha tingkat wilayah/lokal atau berwirausaha tidak berizin.</t>
  </si>
  <si>
    <t>Jenis Kemampuan</t>
  </si>
  <si>
    <t>Etika</t>
  </si>
  <si>
    <t>Kerjasama tim</t>
  </si>
  <si>
    <t>Pengembangan diri</t>
  </si>
  <si>
    <t>Persentase</t>
  </si>
  <si>
    <t>Keahlian pada bidang ilmu</t>
  </si>
  <si>
    <t>TK1</t>
  </si>
  <si>
    <t>TK2</t>
  </si>
  <si>
    <t>TK3</t>
  </si>
  <si>
    <t>TK4</t>
  </si>
  <si>
    <t>TK5</t>
  </si>
  <si>
    <t>Kemampuan berbahasa asing</t>
  </si>
  <si>
    <t>Penggunaan teknologi informasi</t>
  </si>
  <si>
    <t>Kemampuan berkomunikasi</t>
  </si>
  <si>
    <t>TK6</t>
  </si>
  <si>
    <t>TK7</t>
  </si>
  <si>
    <t>NJ4 = Jumlah lulusan pada TS-4 yang dinilai oleh pengguna</t>
  </si>
  <si>
    <t>NJ3 = Jumlah lulusan pada TS-3 yang dinilai oleh pengguna</t>
  </si>
  <si>
    <t>NJ2 = Jumlah lulusan pada TS-2 yang dinilai oleh pengguna</t>
  </si>
  <si>
    <t>Persentase responden pengguna lulusan</t>
  </si>
  <si>
    <t>Keahlian</t>
  </si>
  <si>
    <t>Bahasa</t>
  </si>
  <si>
    <t>Teknologi Informasi</t>
  </si>
  <si>
    <t>Komunikasi</t>
  </si>
  <si>
    <t>Kerjasama</t>
  </si>
  <si>
    <t>Pengembangan Diri</t>
  </si>
  <si>
    <t>Tingkat Kepuasan Pengguna (%)</t>
  </si>
  <si>
    <t>Sangat Baik</t>
  </si>
  <si>
    <t>Baik</t>
  </si>
  <si>
    <t>Cukup</t>
  </si>
  <si>
    <t>Kurang</t>
  </si>
  <si>
    <t>Jumlah
Lulusan
yang
Dinilai Oleh Pengguna</t>
  </si>
  <si>
    <t>NA1 = Jumlah publikasi di jurnal nasional tidak terakreditasi.</t>
  </si>
  <si>
    <t>NA2 = Jumlah publikasi di jurnal nasional terakreditasi.</t>
  </si>
  <si>
    <t>NA3 = Jumlah publikasi di jurnal internasional.</t>
  </si>
  <si>
    <t>NA4 = Jumlah publikasi di jurnal internasional bereputasi.</t>
  </si>
  <si>
    <t>NB1 = Jumlah publikasi di seminar wilayah/lokal/PT.</t>
  </si>
  <si>
    <t>NB2 = Jumlah publikasi di seminar nasional.</t>
  </si>
  <si>
    <t>NB3 = Jumlah publikasi di seminar internasional.</t>
  </si>
  <si>
    <t>NC1 = Jumlah tulisan di media massa wilayah.</t>
  </si>
  <si>
    <t>NC2 = Jumlah tulisan di media massa nasional.</t>
  </si>
  <si>
    <t>NC3 = Jumlah tulisan di media massa internasional.</t>
  </si>
  <si>
    <t xml:space="preserve">NM = Jumlah mahasiswa pada saat TS. </t>
  </si>
  <si>
    <t>2: RI = 0 DAN RN = 0 DAN RL ≥ c</t>
  </si>
  <si>
    <t>0-2: RI = 0 DAN RN = 0 DAN RL &lt; c</t>
  </si>
  <si>
    <t>RI = (NA4 + NB3 + NC3) / NM</t>
  </si>
  <si>
    <t>RN = (NA2 + NA3 + NB2 + NC2) / NM</t>
  </si>
  <si>
    <t>RL = (NA1 + NB1 + NC1) / NM</t>
  </si>
  <si>
    <t xml:space="preserve">Media Publikasi </t>
  </si>
  <si>
    <t xml:space="preserve">Jumlah Judul </t>
  </si>
  <si>
    <t xml:space="preserve">TS-2 </t>
  </si>
  <si>
    <t xml:space="preserve">TS-1 </t>
  </si>
  <si>
    <t>Publikasi di jurnal nasional tidak terakreditasi.</t>
  </si>
  <si>
    <t>Publikasi di jurnal nasional terakreditasi.</t>
  </si>
  <si>
    <t>Publikasi di jurnal internasional.</t>
  </si>
  <si>
    <t>Publikasi di jurnal internasional bereputasi.</t>
  </si>
  <si>
    <t>Seminar wilayah/lokal/ Perguruan Tinggi.</t>
  </si>
  <si>
    <t>Seminar nasional.</t>
  </si>
  <si>
    <t>Seminar internasional.</t>
  </si>
  <si>
    <t>Tulisan di media massa wilayah.</t>
  </si>
  <si>
    <t>Tulisan di media massa nasional.</t>
  </si>
  <si>
    <t>Tulisan di media massa internasional.</t>
  </si>
  <si>
    <t>NA = Jumlah luaran penelitian/PkM yang mendapat pengakuan HKI (Paten, Paten Sederhana)</t>
  </si>
  <si>
    <t>NB = Jumlah luaran penelitian/PkM yang mendapat pengakuan HKI (Hak Cipta, Desain Produk Industri, Perlindungan Varietas Tanaman, Desain Tata Letak Sirkuit Terpadu, dll.)</t>
  </si>
  <si>
    <t>NC = Jumlah luaran penelitian/PkM dalam bentuk Teknologi Tepat Guna, Produk (Produk Terstandarisasi, Produk Tersertifikasi), Karya Seni, Rekayasa Sosial.</t>
  </si>
  <si>
    <t>ND = Jumlah luaran penelitian/PkM yang diterbitkan dalam bentuk Buku ber-ISBN, Book Chapter.</t>
  </si>
  <si>
    <t>NLP = (2 x (NA + NB + NC) + ND)</t>
  </si>
  <si>
    <t>Jenis Luaran Penelitian/PkM</t>
  </si>
  <si>
    <t>Pengakuan HKI (Paten, Paten Sederhana)</t>
  </si>
  <si>
    <t>Pengakuan HKI (Hak Cipta, Desain Produk Industri, Perlindungan Varietas Tanaman, Desain Tata Letak Sirkuit Terpadu, dll.)</t>
  </si>
  <si>
    <t>Teknologi Tepat Guna, Produk (Produk Terstandarisasi, Produk Tersertifikasi), Karya Seni, Rekayasa Sosial.</t>
  </si>
  <si>
    <t>Buku ber-ISBN, Book Chapter.</t>
  </si>
  <si>
    <t>Keserbacakupan informasi dalam profil dan konsistensi antara profil dengan data dan informasi yang disampaikan pada masing-masing kriteria, serta menunjukkan iklim yang kondusif untuk pengembangan dan reputasi sebagai rujukan di bidang keilmuannya.</t>
  </si>
  <si>
    <t>Profil UPPS: 
1) menunjukkan keserbacakupan informasi yang jelas dan konsisten dengan data dan informasi yang disampaikan pada masing-masing kriteria,
2) menggambarkan keselarasan dengan substansi keilmuan program studi. 
3) menunjukkan iklim yang kondusif untuk pengembangan keilmuan program studi.
4) menunjukkan reputasi sebagai rujukan di bidang keilmuannya.</t>
  </si>
  <si>
    <t>Profil UPPS:
1) menunjukkan keserbacakupan informasi yang jelas dan konsisten dengan data dan informasi yang disampaikan pada masing-masing kriteria,
2) menggambarkan keselarasan dengan substansi keilmuan program studi. 
3) menunjukkan iklim yang kondusif untuk pengembangan keilmuan program studi.</t>
  </si>
  <si>
    <t xml:space="preserve">Profil UPPS:
1) menunjukkan keserbacakupan informasi yang jelas dengan data dan informasi yang disampaikan pada masing-masing kriteria,
2) menggambarkan keselarasan dengan substansi keilmuan program studi. </t>
  </si>
  <si>
    <t xml:space="preserve">Profil UPPS:
1) kurang menunjukkan keserbacakupan informasi yang jelas dengan data dan informasi yang disampaikan pada masing-masing kriteria,
2) kurang menggambarkan keselarasan dengan substansi keilmuan program studi. </t>
  </si>
  <si>
    <t xml:space="preserve">Profil UPPS tidak menunjukkan keserbacakupan informasi yang jelas dengan data dan informasi yang disampaikan pada masing-masing kriteria. </t>
  </si>
  <si>
    <t>Untuk program studi dengan jumlah kebutuhan lulusan tinggi berlaku perhitungan Skor sebagai berikut:</t>
  </si>
  <si>
    <r>
      <t>N</t>
    </r>
    <r>
      <rPr>
        <vertAlign val="subscript"/>
        <sz val="11"/>
        <color rgb="FF000000"/>
        <rFont val="Calibri"/>
        <family val="2"/>
        <scheme val="minor"/>
      </rPr>
      <t>A</t>
    </r>
    <r>
      <rPr>
        <sz val="11"/>
        <color indexed="8"/>
        <rFont val="Calibri"/>
        <family val="2"/>
        <scheme val="minor"/>
      </rPr>
      <t xml:space="preserve"> = Jumlah calon mahasiswa yang ikut seleksi.</t>
    </r>
  </si>
  <si>
    <r>
      <t>N</t>
    </r>
    <r>
      <rPr>
        <vertAlign val="subscript"/>
        <sz val="11"/>
        <color rgb="FF000000"/>
        <rFont val="Calibri"/>
        <family val="2"/>
        <scheme val="minor"/>
      </rPr>
      <t>B</t>
    </r>
    <r>
      <rPr>
        <sz val="11"/>
        <color indexed="8"/>
        <rFont val="Calibri"/>
        <family val="2"/>
        <scheme val="minor"/>
      </rPr>
      <t xml:space="preserve"> = Jumlah calon mahasiswa yang lulus seleksi.</t>
    </r>
  </si>
  <si>
    <r>
      <t>Rasio = N</t>
    </r>
    <r>
      <rPr>
        <vertAlign val="subscript"/>
        <sz val="11"/>
        <color theme="1"/>
        <rFont val="Calibri"/>
        <family val="2"/>
        <scheme val="minor"/>
      </rPr>
      <t>A</t>
    </r>
    <r>
      <rPr>
        <sz val="11"/>
        <color theme="1"/>
        <rFont val="Calibri"/>
        <family val="2"/>
        <scheme val="minor"/>
      </rPr>
      <t xml:space="preserve"> / N</t>
    </r>
    <r>
      <rPr>
        <vertAlign val="subscript"/>
        <sz val="11"/>
        <color theme="1"/>
        <rFont val="Calibri"/>
        <family val="2"/>
        <scheme val="minor"/>
      </rPr>
      <t>B</t>
    </r>
  </si>
  <si>
    <t>Untuk program studi dengan jumlah kebutuhan lulusan rendah berlaku pemberian Skor sesuai kondisi berikut:</t>
  </si>
  <si>
    <t>Jika selalu ada mahasiswa baru terdaftar pada TS-4 s.d. TS.</t>
  </si>
  <si>
    <t>Tidak ada skor antara 2 dan 4.</t>
  </si>
  <si>
    <t>Jika tidak selalu ada mahasiswa baru terdaftar pada TS-4 s.d. TS.</t>
  </si>
  <si>
    <t>Tidak ada skor antara 0 dan 2.</t>
  </si>
  <si>
    <t>Jika tidak ada mahasiswa baru terdaftar pada TS-4 s.d. TS.</t>
  </si>
  <si>
    <t>Jumlah kebutuhan lulusan  :
1: Tinggi; 2: Rendah.</t>
  </si>
  <si>
    <t>Metoda rekrutmen dan keketatan seleksi.</t>
  </si>
  <si>
    <t>Kelompok program studi berdasarkan jumlah kebutuhan lulusan
1: Tinggi; 2: Rendah.</t>
  </si>
  <si>
    <t>Jenis prodi :
(1 : Prodi sains teknologi; 2 : Prodi sosial humaniora)</t>
  </si>
  <si>
    <t>a) menjadi visiting lecturer atau visiting scholar di program studi/perguruan tinggi terakreditasi A/Unggul atau program studi/perguruan tinggi internasional bereputasi.</t>
  </si>
  <si>
    <t>c) menjadi editor atau mitra bestari pada jurnal nasional terakreditasi/jurnal internasional bereputasi di bidang yang sesuai dengan bidang program studi.</t>
  </si>
  <si>
    <t>b) menjadi keynote speaker/invited speaker pada pertemuan ilmiah tingkat nasional/ internasional.</t>
  </si>
  <si>
    <t>e) mendapat penghargaan atas prestasi dan kinerja di tingkat wilayah/nasional/ internasional.</t>
  </si>
  <si>
    <t>d) menjadi staf ahli/ narasumber di lembaga tingkat wilayah/nasional/ internasional pada bidang yang sesuai dengan bidang program studi</t>
  </si>
  <si>
    <r>
      <t>N</t>
    </r>
    <r>
      <rPr>
        <vertAlign val="subscript"/>
        <sz val="11"/>
        <color theme="1"/>
        <rFont val="Calibri"/>
        <family val="2"/>
        <scheme val="minor"/>
      </rPr>
      <t>I</t>
    </r>
    <r>
      <rPr>
        <sz val="11"/>
        <color theme="1"/>
        <rFont val="Calibri"/>
        <family val="2"/>
        <scheme val="minor"/>
      </rPr>
      <t xml:space="preserve"> = Jumlah penelitian dengan sumber pembiayaan luar negeri dalam 3 tahun terakhir.</t>
    </r>
  </si>
  <si>
    <r>
      <t>N</t>
    </r>
    <r>
      <rPr>
        <vertAlign val="subscript"/>
        <sz val="11"/>
        <color theme="1"/>
        <rFont val="Calibri"/>
        <family val="2"/>
        <scheme val="minor"/>
      </rPr>
      <t>N</t>
    </r>
    <r>
      <rPr>
        <sz val="11"/>
        <color theme="1"/>
        <rFont val="Calibri"/>
        <family val="2"/>
        <scheme val="minor"/>
      </rPr>
      <t xml:space="preserve"> = Jumlah penelitian dengan sumber pembiayaan dalam negeri dalam 3 tahun terakhir.</t>
    </r>
  </si>
  <si>
    <r>
      <t>N</t>
    </r>
    <r>
      <rPr>
        <vertAlign val="subscript"/>
        <sz val="11"/>
        <color theme="1"/>
        <rFont val="Calibri"/>
        <family val="2"/>
        <scheme val="minor"/>
      </rPr>
      <t>L</t>
    </r>
    <r>
      <rPr>
        <sz val="11"/>
        <color theme="1"/>
        <rFont val="Calibri"/>
        <family val="2"/>
        <scheme val="minor"/>
      </rPr>
      <t xml:space="preserve"> = Jumlah penelitian dengan sumber pembiayaan PT/mandiri dalam 3 tahun terakhir.</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</si>
  <si>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I</t>
    </r>
    <r>
      <rPr>
        <sz val="11"/>
        <color theme="1"/>
        <rFont val="Calibri"/>
        <family val="2"/>
        <scheme val="minor"/>
      </rPr>
      <t xml:space="preserve"> / 3 / N</t>
    </r>
    <r>
      <rPr>
        <vertAlign val="subscript"/>
        <sz val="11"/>
        <color theme="1"/>
        <rFont val="Calibri"/>
        <family val="2"/>
        <scheme val="minor"/>
      </rPr>
      <t>DTPS</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</si>
  <si>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N</t>
    </r>
    <r>
      <rPr>
        <sz val="11"/>
        <color theme="1"/>
        <rFont val="Calibri"/>
        <family val="2"/>
        <scheme val="minor"/>
      </rPr>
      <t xml:space="preserve"> / 3 / N</t>
    </r>
    <r>
      <rPr>
        <vertAlign val="subscript"/>
        <sz val="11"/>
        <color theme="1"/>
        <rFont val="Calibri"/>
        <family val="2"/>
        <scheme val="minor"/>
      </rPr>
      <t>DTPS</t>
    </r>
  </si>
  <si>
    <r>
      <t>R</t>
    </r>
    <r>
      <rPr>
        <vertAlign val="subscript"/>
        <sz val="11"/>
        <color theme="1"/>
        <rFont val="Calibri"/>
        <family val="2"/>
        <scheme val="minor"/>
      </rPr>
      <t>L</t>
    </r>
    <r>
      <rPr>
        <sz val="11"/>
        <color theme="1"/>
        <rFont val="Calibri"/>
        <family val="2"/>
        <scheme val="minor"/>
      </rPr>
      <t xml:space="preserve"> = N</t>
    </r>
    <r>
      <rPr>
        <vertAlign val="subscript"/>
        <sz val="11"/>
        <color theme="1"/>
        <rFont val="Calibri"/>
        <family val="2"/>
        <scheme val="minor"/>
      </rPr>
      <t>L</t>
    </r>
    <r>
      <rPr>
        <sz val="11"/>
        <color theme="1"/>
        <rFont val="Calibri"/>
        <family val="2"/>
        <scheme val="minor"/>
      </rPr>
      <t xml:space="preserve"> / 3 / N</t>
    </r>
    <r>
      <rPr>
        <vertAlign val="subscript"/>
        <sz val="11"/>
        <color theme="1"/>
        <rFont val="Calibri"/>
        <family val="2"/>
        <scheme val="minor"/>
      </rPr>
      <t>DTPS</t>
    </r>
  </si>
  <si>
    <r>
      <t xml:space="preserve">3-4: RI &lt; a DAN RN </t>
    </r>
    <r>
      <rPr>
        <sz val="11"/>
        <color theme="0"/>
        <rFont val="Calibri"/>
        <family val="2"/>
      </rPr>
      <t>≥</t>
    </r>
    <r>
      <rPr>
        <sz val="11"/>
        <color theme="0"/>
        <rFont val="Calibri"/>
        <family val="2"/>
        <scheme val="minor"/>
      </rPr>
      <t xml:space="preserve"> b</t>
    </r>
  </si>
  <si>
    <t>a) Perguruan Tinggi
b) Mandiri</t>
  </si>
  <si>
    <t>Lembaga Dalam Negeri (di Luar PT)</t>
  </si>
  <si>
    <t>Lembaga Luar Negeri</t>
  </si>
  <si>
    <r>
      <t>N</t>
    </r>
    <r>
      <rPr>
        <vertAlign val="subscript"/>
        <sz val="11"/>
        <color theme="1"/>
        <rFont val="Calibri"/>
        <family val="2"/>
        <scheme val="minor"/>
      </rPr>
      <t>I</t>
    </r>
    <r>
      <rPr>
        <sz val="11"/>
        <color theme="1"/>
        <rFont val="Calibri"/>
        <family val="2"/>
        <scheme val="minor"/>
      </rPr>
      <t xml:space="preserve"> = Jumlah PkM dengan sumber pembiayaan luar negeri dalam 3 tahun terakhir.</t>
    </r>
  </si>
  <si>
    <r>
      <t>N</t>
    </r>
    <r>
      <rPr>
        <vertAlign val="subscript"/>
        <sz val="11"/>
        <color theme="1"/>
        <rFont val="Calibri"/>
        <family val="2"/>
        <scheme val="minor"/>
      </rPr>
      <t>N</t>
    </r>
    <r>
      <rPr>
        <sz val="11"/>
        <color theme="1"/>
        <rFont val="Calibri"/>
        <family val="2"/>
        <scheme val="minor"/>
      </rPr>
      <t xml:space="preserve"> = Jumlah PkM dengan sumber pembiayaan dalam negeri dalam 3 tahun terakhir.</t>
    </r>
  </si>
  <si>
    <r>
      <t>N</t>
    </r>
    <r>
      <rPr>
        <vertAlign val="subscript"/>
        <sz val="11"/>
        <color theme="1"/>
        <rFont val="Calibri"/>
        <family val="2"/>
        <scheme val="minor"/>
      </rPr>
      <t>L</t>
    </r>
    <r>
      <rPr>
        <sz val="11"/>
        <color theme="1"/>
        <rFont val="Calibri"/>
        <family val="2"/>
        <scheme val="minor"/>
      </rPr>
      <t xml:space="preserve"> = Jumlah PkM dengan sumber pembiayaan PT/mandiri dalam 3 tahun terakhir.</t>
    </r>
  </si>
  <si>
    <t>Jumlah Judul</t>
  </si>
  <si>
    <t>Jurnal Nasional Tidak Terakreditasi</t>
  </si>
  <si>
    <t>Jurnal Nasional Terakreditasi</t>
  </si>
  <si>
    <t>Jurnal Internasional</t>
  </si>
  <si>
    <t>Jurnal Internasional Bereputasi</t>
  </si>
  <si>
    <t>Seminar Wilayah/Lokal/ Perguruan Tinggi</t>
  </si>
  <si>
    <t>Seminar Nasional</t>
  </si>
  <si>
    <t>Seminar Internasional</t>
  </si>
  <si>
    <t>Tulisan di Media Massa Wilayah</t>
  </si>
  <si>
    <t>Tulisan di Media Massa Nasional</t>
  </si>
  <si>
    <t>Tulisan di Media Massa Internasional</t>
  </si>
  <si>
    <r>
      <t>N</t>
    </r>
    <r>
      <rPr>
        <vertAlign val="subscript"/>
        <sz val="11"/>
        <color rgb="FF000000"/>
        <rFont val="Calibri"/>
        <family val="2"/>
        <scheme val="minor"/>
      </rPr>
      <t>A1</t>
    </r>
    <r>
      <rPr>
        <sz val="11"/>
        <color indexed="8"/>
        <rFont val="Calibri"/>
        <family val="2"/>
        <scheme val="minor"/>
      </rPr>
      <t xml:space="preserve"> = Jumlah publikasi di jurnal nasional tidak terakreditasi.</t>
    </r>
  </si>
  <si>
    <r>
      <t>N</t>
    </r>
    <r>
      <rPr>
        <vertAlign val="subscript"/>
        <sz val="11"/>
        <color rgb="FF000000"/>
        <rFont val="Calibri"/>
        <family val="2"/>
        <scheme val="minor"/>
      </rPr>
      <t>A2</t>
    </r>
    <r>
      <rPr>
        <sz val="11"/>
        <color indexed="8"/>
        <rFont val="Calibri"/>
        <family val="2"/>
        <scheme val="minor"/>
      </rPr>
      <t xml:space="preserve"> = Jumlah publikasi di jurnal nasional terakreditasi.</t>
    </r>
  </si>
  <si>
    <r>
      <t>N</t>
    </r>
    <r>
      <rPr>
        <vertAlign val="subscript"/>
        <sz val="11"/>
        <color rgb="FF000000"/>
        <rFont val="Calibri"/>
        <family val="2"/>
        <scheme val="minor"/>
      </rPr>
      <t>A3</t>
    </r>
    <r>
      <rPr>
        <sz val="11"/>
        <color indexed="8"/>
        <rFont val="Calibri"/>
        <family val="2"/>
        <scheme val="minor"/>
      </rPr>
      <t xml:space="preserve"> = Jumlah publikasi di jurnal internasional.</t>
    </r>
  </si>
  <si>
    <r>
      <t>N</t>
    </r>
    <r>
      <rPr>
        <vertAlign val="subscript"/>
        <sz val="11"/>
        <color rgb="FF000000"/>
        <rFont val="Calibri"/>
        <family val="2"/>
        <scheme val="minor"/>
      </rPr>
      <t>A4</t>
    </r>
    <r>
      <rPr>
        <sz val="11"/>
        <color indexed="8"/>
        <rFont val="Calibri"/>
        <family val="2"/>
        <scheme val="minor"/>
      </rPr>
      <t xml:space="preserve"> = Jumlah publikasi di jurnal internasional bereputasi.</t>
    </r>
  </si>
  <si>
    <r>
      <t>N</t>
    </r>
    <r>
      <rPr>
        <vertAlign val="subscript"/>
        <sz val="11"/>
        <color rgb="FF000000"/>
        <rFont val="Calibri"/>
        <family val="2"/>
        <scheme val="minor"/>
      </rPr>
      <t>B1</t>
    </r>
    <r>
      <rPr>
        <sz val="11"/>
        <color indexed="8"/>
        <rFont val="Calibri"/>
        <family val="2"/>
        <scheme val="minor"/>
      </rPr>
      <t xml:space="preserve"> = Jumlah publikasi di seminar wilayah/lokal/PT.</t>
    </r>
  </si>
  <si>
    <r>
      <t>N</t>
    </r>
    <r>
      <rPr>
        <vertAlign val="subscript"/>
        <sz val="11"/>
        <color rgb="FF000000"/>
        <rFont val="Calibri"/>
        <family val="2"/>
        <scheme val="minor"/>
      </rPr>
      <t>B2</t>
    </r>
    <r>
      <rPr>
        <sz val="11"/>
        <color indexed="8"/>
        <rFont val="Calibri"/>
        <family val="2"/>
        <scheme val="minor"/>
      </rPr>
      <t xml:space="preserve"> = Jumlah publikasi di seminar nasional.</t>
    </r>
  </si>
  <si>
    <r>
      <t>N</t>
    </r>
    <r>
      <rPr>
        <vertAlign val="subscript"/>
        <sz val="11"/>
        <color rgb="FF000000"/>
        <rFont val="Calibri"/>
        <family val="2"/>
        <scheme val="minor"/>
      </rPr>
      <t>B3</t>
    </r>
    <r>
      <rPr>
        <sz val="11"/>
        <color indexed="8"/>
        <rFont val="Calibri"/>
        <family val="2"/>
        <scheme val="minor"/>
      </rPr>
      <t xml:space="preserve"> = Jumlah publikasi di seminar internasional.</t>
    </r>
  </si>
  <si>
    <r>
      <t>N</t>
    </r>
    <r>
      <rPr>
        <vertAlign val="subscript"/>
        <sz val="11"/>
        <color rgb="FF000000"/>
        <rFont val="Calibri"/>
        <family val="2"/>
        <scheme val="minor"/>
      </rPr>
      <t>C1</t>
    </r>
    <r>
      <rPr>
        <sz val="11"/>
        <color indexed="8"/>
        <rFont val="Calibri"/>
        <family val="2"/>
        <scheme val="minor"/>
      </rPr>
      <t xml:space="preserve"> = Jumlah tulisan di media massa wilayah.</t>
    </r>
  </si>
  <si>
    <r>
      <t>N</t>
    </r>
    <r>
      <rPr>
        <vertAlign val="subscript"/>
        <sz val="11"/>
        <color rgb="FF000000"/>
        <rFont val="Calibri"/>
        <family val="2"/>
        <scheme val="minor"/>
      </rPr>
      <t>C2</t>
    </r>
    <r>
      <rPr>
        <sz val="11"/>
        <color indexed="8"/>
        <rFont val="Calibri"/>
        <family val="2"/>
        <scheme val="minor"/>
      </rPr>
      <t xml:space="preserve"> = Jumlah tulisan di media massa nasional.</t>
    </r>
  </si>
  <si>
    <r>
      <t>N</t>
    </r>
    <r>
      <rPr>
        <vertAlign val="subscript"/>
        <sz val="11"/>
        <color rgb="FF000000"/>
        <rFont val="Calibri"/>
        <family val="2"/>
        <scheme val="minor"/>
      </rPr>
      <t>C3</t>
    </r>
    <r>
      <rPr>
        <sz val="11"/>
        <color indexed="8"/>
        <rFont val="Calibri"/>
        <family val="2"/>
        <scheme val="minor"/>
      </rPr>
      <t xml:space="preserve"> = Jumlah tulisan di media massa internasional.</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</si>
  <si>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A4</t>
    </r>
    <r>
      <rPr>
        <sz val="11"/>
        <color theme="1"/>
        <rFont val="Calibri"/>
        <family val="2"/>
        <scheme val="minor"/>
      </rPr>
      <t xml:space="preserve"> + N</t>
    </r>
    <r>
      <rPr>
        <vertAlign val="subscript"/>
        <sz val="11"/>
        <color theme="1"/>
        <rFont val="Calibri"/>
        <family val="2"/>
        <scheme val="minor"/>
      </rPr>
      <t>B3</t>
    </r>
    <r>
      <rPr>
        <sz val="11"/>
        <color theme="1"/>
        <rFont val="Calibri"/>
        <family val="2"/>
        <scheme val="minor"/>
      </rPr>
      <t xml:space="preserve"> + N</t>
    </r>
    <r>
      <rPr>
        <vertAlign val="subscript"/>
        <sz val="11"/>
        <color theme="1"/>
        <rFont val="Calibri"/>
        <family val="2"/>
        <scheme val="minor"/>
      </rPr>
      <t>C3</t>
    </r>
    <r>
      <rPr>
        <sz val="11"/>
        <color theme="1"/>
        <rFont val="Calibri"/>
        <family val="2"/>
        <scheme val="minor"/>
      </rPr>
      <t>) / N</t>
    </r>
    <r>
      <rPr>
        <vertAlign val="subscript"/>
        <sz val="11"/>
        <color theme="1"/>
        <rFont val="Calibri"/>
        <family val="2"/>
        <scheme val="minor"/>
      </rPr>
      <t>DTPS</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</si>
  <si>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A2</t>
    </r>
    <r>
      <rPr>
        <sz val="11"/>
        <color theme="1"/>
        <rFont val="Calibri"/>
        <family val="2"/>
        <scheme val="minor"/>
      </rPr>
      <t xml:space="preserve"> + N</t>
    </r>
    <r>
      <rPr>
        <vertAlign val="subscript"/>
        <sz val="11"/>
        <color theme="1"/>
        <rFont val="Calibri"/>
        <family val="2"/>
        <scheme val="minor"/>
      </rPr>
      <t>A3</t>
    </r>
    <r>
      <rPr>
        <sz val="11"/>
        <color theme="1"/>
        <rFont val="Calibri"/>
        <family val="2"/>
        <scheme val="minor"/>
      </rPr>
      <t xml:space="preserve"> + N</t>
    </r>
    <r>
      <rPr>
        <vertAlign val="subscript"/>
        <sz val="11"/>
        <color theme="1"/>
        <rFont val="Calibri"/>
        <family val="2"/>
        <scheme val="minor"/>
      </rPr>
      <t>B2</t>
    </r>
    <r>
      <rPr>
        <sz val="11"/>
        <color theme="1"/>
        <rFont val="Calibri"/>
        <family val="2"/>
        <scheme val="minor"/>
      </rPr>
      <t xml:space="preserve"> + N</t>
    </r>
    <r>
      <rPr>
        <vertAlign val="subscript"/>
        <sz val="11"/>
        <color theme="1"/>
        <rFont val="Calibri"/>
        <family val="2"/>
        <scheme val="minor"/>
      </rPr>
      <t>C2</t>
    </r>
    <r>
      <rPr>
        <sz val="11"/>
        <color theme="1"/>
        <rFont val="Calibri"/>
        <family val="2"/>
        <scheme val="minor"/>
      </rPr>
      <t>) / N</t>
    </r>
    <r>
      <rPr>
        <vertAlign val="subscript"/>
        <sz val="11"/>
        <color theme="1"/>
        <rFont val="Calibri"/>
        <family val="2"/>
        <scheme val="minor"/>
      </rPr>
      <t>DTPS</t>
    </r>
  </si>
  <si>
    <r>
      <t>R</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A1</t>
    </r>
    <r>
      <rPr>
        <sz val="11"/>
        <color theme="1"/>
        <rFont val="Calibri"/>
        <family val="2"/>
        <scheme val="minor"/>
      </rPr>
      <t xml:space="preserve"> + N</t>
    </r>
    <r>
      <rPr>
        <vertAlign val="subscript"/>
        <sz val="11"/>
        <color theme="1"/>
        <rFont val="Calibri"/>
        <family val="2"/>
        <scheme val="minor"/>
      </rPr>
      <t>B1</t>
    </r>
    <r>
      <rPr>
        <sz val="11"/>
        <color theme="1"/>
        <rFont val="Calibri"/>
        <family val="2"/>
        <scheme val="minor"/>
      </rPr>
      <t xml:space="preserve"> + N</t>
    </r>
    <r>
      <rPr>
        <vertAlign val="subscript"/>
        <sz val="11"/>
        <color theme="1"/>
        <rFont val="Calibri"/>
        <family val="2"/>
        <scheme val="minor"/>
      </rPr>
      <t>C1</t>
    </r>
    <r>
      <rPr>
        <sz val="11"/>
        <color theme="1"/>
        <rFont val="Calibri"/>
        <family val="2"/>
        <scheme val="minor"/>
      </rPr>
      <t>) / N</t>
    </r>
    <r>
      <rPr>
        <vertAlign val="subscript"/>
        <sz val="11"/>
        <color theme="1"/>
        <rFont val="Calibri"/>
        <family val="2"/>
        <scheme val="minor"/>
      </rPr>
      <t>DTPS</t>
    </r>
  </si>
  <si>
    <t>Skor rata-rata butir Profil Dosen</t>
  </si>
  <si>
    <r>
      <t>N</t>
    </r>
    <r>
      <rPr>
        <vertAlign val="subscript"/>
        <sz val="11"/>
        <rFont val="Calibri"/>
        <family val="2"/>
        <scheme val="minor"/>
      </rPr>
      <t>AS</t>
    </r>
    <r>
      <rPr>
        <sz val="11"/>
        <rFont val="Calibri"/>
        <family val="2"/>
        <scheme val="minor"/>
      </rPr>
      <t xml:space="preserve"> = Jumlah judul artikel yang disitasi.</t>
    </r>
  </si>
  <si>
    <r>
      <t>N</t>
    </r>
    <r>
      <rPr>
        <vertAlign val="subscript"/>
        <sz val="11"/>
        <rFont val="Calibri"/>
        <family val="2"/>
        <scheme val="minor"/>
      </rPr>
      <t>DTPS</t>
    </r>
    <r>
      <rPr>
        <sz val="11"/>
        <rFont val="Calibri"/>
        <family val="2"/>
        <scheme val="minor"/>
      </rPr>
      <t xml:space="preserve"> = Jumlah dosen tetap yang ditugaskan sebagai pengampu mata kuliah dengan bidang keahlian yang sesuai dengan kompetensi inti program studi yang diakreditasi.</t>
    </r>
  </si>
  <si>
    <r>
      <t>R</t>
    </r>
    <r>
      <rPr>
        <vertAlign val="subscript"/>
        <sz val="11"/>
        <rFont val="Calibri"/>
        <family val="2"/>
        <scheme val="minor"/>
      </rPr>
      <t>S</t>
    </r>
    <r>
      <rPr>
        <sz val="11"/>
        <rFont val="Calibri"/>
        <family val="2"/>
        <scheme val="minor"/>
      </rPr>
      <t xml:space="preserve"> = N</t>
    </r>
    <r>
      <rPr>
        <vertAlign val="subscript"/>
        <sz val="11"/>
        <rFont val="Calibri"/>
        <family val="2"/>
        <scheme val="minor"/>
      </rPr>
      <t>AS</t>
    </r>
    <r>
      <rPr>
        <sz val="11"/>
        <rFont val="Calibri"/>
        <family val="2"/>
        <scheme val="minor"/>
      </rPr>
      <t xml:space="preserve"> / N</t>
    </r>
    <r>
      <rPr>
        <vertAlign val="subscript"/>
        <sz val="11"/>
        <rFont val="Calibri"/>
        <family val="2"/>
        <scheme val="minor"/>
      </rPr>
      <t>DTPS</t>
    </r>
  </si>
  <si>
    <r>
      <t>N</t>
    </r>
    <r>
      <rPr>
        <vertAlign val="subscript"/>
        <sz val="11"/>
        <color rgb="FF000000"/>
        <rFont val="Calibri"/>
        <family val="2"/>
        <scheme val="minor"/>
      </rPr>
      <t>A</t>
    </r>
    <r>
      <rPr>
        <sz val="11"/>
        <color indexed="8"/>
        <rFont val="Calibri"/>
        <family val="2"/>
        <scheme val="minor"/>
      </rPr>
      <t xml:space="preserve"> = Jumlah luaran penelitian/PkM yang mendapat pengakuan HKI (Paten, Paten Sederhana)</t>
    </r>
  </si>
  <si>
    <r>
      <t>N</t>
    </r>
    <r>
      <rPr>
        <vertAlign val="subscript"/>
        <sz val="11"/>
        <color rgb="FF000000"/>
        <rFont val="Calibri"/>
        <family val="2"/>
        <scheme val="minor"/>
      </rPr>
      <t>B</t>
    </r>
    <r>
      <rPr>
        <sz val="11"/>
        <color indexed="8"/>
        <rFont val="Calibri"/>
        <family val="2"/>
        <scheme val="minor"/>
      </rPr>
      <t xml:space="preserve"> = Jumlah luaran penelitian/PkM yang mendapat pengakuan HKI (Hak Cipta, Desain Produk Industri, Perlindungan Varietas Tanaman, Desain Tata Letak Sirkuit Terpadu, dll.)</t>
    </r>
  </si>
  <si>
    <r>
      <t>N</t>
    </r>
    <r>
      <rPr>
        <vertAlign val="subscript"/>
        <sz val="11"/>
        <color rgb="FF000000"/>
        <rFont val="Calibri"/>
        <family val="2"/>
        <scheme val="minor"/>
      </rPr>
      <t>C</t>
    </r>
    <r>
      <rPr>
        <sz val="11"/>
        <color indexed="8"/>
        <rFont val="Calibri"/>
        <family val="2"/>
        <scheme val="minor"/>
      </rPr>
      <t xml:space="preserve"> = Jumlah luaran penelitian/PkM dalam bentuk Teknologi Tepat Guna, Produk (Produk Terstandarisasi, Produk Tersertifikasi), Karya Seni, Rekayasa Sosial.</t>
    </r>
  </si>
  <si>
    <r>
      <t>N</t>
    </r>
    <r>
      <rPr>
        <vertAlign val="subscript"/>
        <sz val="11"/>
        <color rgb="FF000000"/>
        <rFont val="Calibri"/>
        <family val="2"/>
        <scheme val="minor"/>
      </rPr>
      <t>D</t>
    </r>
    <r>
      <rPr>
        <sz val="11"/>
        <color indexed="8"/>
        <rFont val="Calibri"/>
        <family val="2"/>
        <scheme val="minor"/>
      </rPr>
      <t xml:space="preserve"> = Jumlah luaran penelitian/PkM yang diterbitkan dalam bentuk Buku ber-ISBN, </t>
    </r>
    <r>
      <rPr>
        <i/>
        <sz val="11"/>
        <color rgb="FF000000"/>
        <rFont val="Calibri"/>
        <family val="2"/>
        <scheme val="minor"/>
      </rPr>
      <t>Book Chapter</t>
    </r>
    <r>
      <rPr>
        <sz val="11"/>
        <color indexed="8"/>
        <rFont val="Calibri"/>
        <family val="2"/>
        <scheme val="minor"/>
      </rPr>
      <t>.</t>
    </r>
  </si>
  <si>
    <r>
      <t>R</t>
    </r>
    <r>
      <rPr>
        <vertAlign val="subscript"/>
        <sz val="11"/>
        <color rgb="FF000000"/>
        <rFont val="Calibri"/>
        <family val="2"/>
        <scheme val="minor"/>
      </rPr>
      <t>LP</t>
    </r>
    <r>
      <rPr>
        <sz val="11"/>
        <color indexed="8"/>
        <rFont val="Calibri"/>
        <family val="2"/>
        <scheme val="minor"/>
      </rPr>
      <t xml:space="preserve"> = (2 x (N</t>
    </r>
    <r>
      <rPr>
        <vertAlign val="subscript"/>
        <sz val="11"/>
        <color rgb="FF000000"/>
        <rFont val="Calibri"/>
        <family val="2"/>
        <scheme val="minor"/>
      </rPr>
      <t>A</t>
    </r>
    <r>
      <rPr>
        <sz val="11"/>
        <color indexed="8"/>
        <rFont val="Calibri"/>
        <family val="2"/>
        <scheme val="minor"/>
      </rPr>
      <t xml:space="preserve"> + N</t>
    </r>
    <r>
      <rPr>
        <vertAlign val="subscript"/>
        <sz val="11"/>
        <color rgb="FF000000"/>
        <rFont val="Calibri"/>
        <family val="2"/>
        <scheme val="minor"/>
      </rPr>
      <t>B</t>
    </r>
    <r>
      <rPr>
        <sz val="11"/>
        <color indexed="8"/>
        <rFont val="Calibri"/>
        <family val="2"/>
        <scheme val="minor"/>
      </rPr>
      <t xml:space="preserve"> + N</t>
    </r>
    <r>
      <rPr>
        <vertAlign val="subscript"/>
        <sz val="11"/>
        <color rgb="FF000000"/>
        <rFont val="Calibri"/>
        <family val="2"/>
        <scheme val="minor"/>
      </rPr>
      <t>C</t>
    </r>
    <r>
      <rPr>
        <sz val="11"/>
        <color rgb="FF000000"/>
        <rFont val="Calibri"/>
        <family val="2"/>
        <scheme val="minor"/>
      </rPr>
      <t>) + N</t>
    </r>
    <r>
      <rPr>
        <vertAlign val="subscript"/>
        <sz val="11"/>
        <color rgb="FF000000"/>
        <rFont val="Calibri"/>
        <family val="2"/>
        <scheme val="minor"/>
      </rPr>
      <t>D</t>
    </r>
    <r>
      <rPr>
        <sz val="11"/>
        <color indexed="8"/>
        <rFont val="Calibri"/>
        <family val="2"/>
        <scheme val="minor"/>
      </rPr>
      <t>) / N</t>
    </r>
    <r>
      <rPr>
        <vertAlign val="subscript"/>
        <sz val="11"/>
        <color rgb="FF000000"/>
        <rFont val="Calibri"/>
        <family val="2"/>
        <scheme val="minor"/>
      </rPr>
      <t>DTPS</t>
    </r>
  </si>
  <si>
    <t>Skor rata-rata butir Profil Dosen, Sarana dan Prasarana</t>
  </si>
  <si>
    <t>Pelampauan SN-DIKTI (indikator kinerja tambahan) yang ditetapkan oleh UPPS pada tiap kriteria.</t>
  </si>
  <si>
    <t>UPPS menetapkan indikator kinerja tambahan berdasarkan standar pendidikan tinggi yang ditetapkan perguruan tinggi. Indikator kinerja tambahan mencakup seluruh kriteria serta menunjukkan daya saing UPPS dan program studi di tingkat inernasional. Data indikator kinerja tambahan telah diukur, dimonitor, dikaji, dan dianalisis untuk perbaikan berkelanjutan.</t>
  </si>
  <si>
    <t>UPPS menetapkan indikator kinerja tambahan berdasarkan standar pendidikan tinggi yang ditetapkan perguruan tinggi. Indikator kinerja tambahan mencakup sebagian kriteria serta menunjukkan daya saing UPPS dan program studi di tingkat nasional. Data indikator kinerja tambahan telah diukur, dimonitor, dikaji, dan dianalisis untuk perbaikan berkelanjutan.</t>
  </si>
  <si>
    <t>UPPS tidak menetapkan indikator kinerja tambahan.</t>
  </si>
  <si>
    <t>Tidak ada Skor kurang dari 2.</t>
  </si>
  <si>
    <t>Analisis keberhasilan dan/atau ketidakberhasilan pencapaian kinerja yang telah ditetapkan institusi yang memenuhi 2 aspek sebagai berikut: 
1) capaian kinerja harus diukur dengan metoda yang tepat, dan hasilnya dianalisis serta dievaluasi, dan
2) analisis terhadap capaian kinerja mencakup identifikasi akar masalah, faktor pendukung keberhasilan dan faktor penghambat ketercapaian standar, dan deskripsi singkat tindak lanjut yang akan dilakukan.</t>
  </si>
  <si>
    <t>Analisis pencapaian kinerja UPPS di tiap kriteria memenuhi 2 aspek, dilaksanakan setiap tahun dan hasilnya dipublikasikan kepada para pemangku kepentingan.</t>
  </si>
  <si>
    <t>Analisis pencapaian kinerja UPPS di tiap kriteria memenuhi 2 aspek dan dilaksanakan setiap tahun.</t>
  </si>
  <si>
    <t xml:space="preserve">Analisis pencapaian kinerja UPPS di tiap kriteria memenuhi 2 aspek. </t>
  </si>
  <si>
    <t xml:space="preserve">UPPS memiliki laporan pencapaian kinerja namun belum dianalisis dan dievaluasi. </t>
  </si>
  <si>
    <t xml:space="preserve">UPPS tidak memiliki laporan pencapaian kinerja. </t>
  </si>
  <si>
    <t>D  Analisis dan Penetapan Program Pengembangan
D.1 
Analisis dan Capaian Kinerja</t>
  </si>
  <si>
    <t>Keserbacakupan (kelengkapan, keluasan, dan kedalaman), ketepatan, ketajaman, dan kesesuaian analisis capaian kinerja serta konsistensi dengan setiap kriteria.</t>
  </si>
  <si>
    <t>UPPS telah melakukan analisis capaian kinerja yang: 
1) analisisnya didukung oleh data/informasi yang relevan (merujuk pada pencapaian standar mutu perguruan tinggi) dan berkualitas (andal dan memadai) yang didukung oleh keberadaan pangkalan data institusi yang terintegrasi.
2) konsisten dengan seluruh kriteria yang diuraikan sebelumnya, 
3) analisisnya dilakukan secara komprehensif, tepat, dan tajam untuk mengidentifikasi akar masalah di  UPPS.
4) hasilnya dipublikasikan kepada para pemangku kepentingan internal dan eksternal serta mudah diakses.</t>
  </si>
  <si>
    <t>UPPS telah melakukan analisis capaian kinerja yang: 
1) analisisnya didukung oleh data/informasi yang relevan (merujuk pada pencapaian standar mutu perguruan tinggi) dan berkualitas (andal dan memadai) yang didukung oleh keberadaan pangkalan data institusi yang belum terintegrasi.
2) konsisten dengan sebagian besar (7 s.d. 8) kriteria yang diuraikan sebelumnya, 
3) analisisnya dilakukan secara komprehensif dan tepat untuk mengidentifikasi akar masalah di UPPS.
4) hasilnya dipublikasikan kepada para pemangku kepentingan internal serta mudah diakses.</t>
  </si>
  <si>
    <t>UPPS telah melakukan analisis capaian kinerja yang: 
1) analisisnya didukung oleh data/informasi yang relevan (merujuk pada pencapaian standar mutu perguruan tinggi) dan berkualitas (andal dan memadai).
2) konsisten dengan sebagian (5 s.d. 6) kriteria yang diuraikan sebelumnya, 
3) analisisnya dilakukan secara komprehensif untuk mengidentifikasi akar masalah di UPPS.
4) hasilnya dipublikasikan kepada para pemangku kepentingan internal.</t>
  </si>
  <si>
    <t>UPPS telah melakukan analisis capaian kinerja yang: 
1) analisisnya tidak sepenuhnya didukung oleh data/informasi yang relevan (merujuk pada pencapaian standar mutu perguruan tinggi) dan berkualitas (andal dan memadai).
2) konsisten dengan sebagian kecil (kurang dari 5) kriteria yang diuraikan sebelumnya, 
3) analisisnya dilakukan tidak secara komprehensif untuk mengidentifikasi akar masalah di UPPS.
4) hasilnya tidak dipublikasikan.</t>
  </si>
  <si>
    <t>UPPS tidak melakukan analisis capaian kinerja.</t>
  </si>
  <si>
    <t>D.2 
Analisis SWOT atau Analisis Lain yang Relevan</t>
  </si>
  <si>
    <t>Ketepatan analisis SWOT atau analisis yang relevan di dalam mengembangkan strategi.</t>
  </si>
  <si>
    <t>UPPS melakukan analisis SWOT atau analisis lain yang relevan, serta memenuhi aspek-aspek sebagai berikut:
1) melakukan identifikasi kekuatan atau faktor pendorong, kelemahan atau faktor penghambat, peluang dan ancaman yang dihadapi UPPS dilakukan secara tepat,
2) memiliki keterkaitan dengan hasil analisis capaian kinerja,
3) merumuskan strategi pengembangan UPPS yang berkesesuaian, dan
4) menghasilkan program-program pengembangan alternatif yang tepat.</t>
  </si>
  <si>
    <t>UPPS melakukan analisis SWOT atau analisis lain yang relevan, serta memenuhi aspek-aspek sebagai berikut:
1) melakukan identifikasi kekuatan atau faktor pendorong, kelemahan atau faktor penghambat, peluang dan ancaman yang dihadapi UPPS dilakukan secara tepat,
2) memiliki keterkaitan dengan hasil analisis capaian kinerja, dan
3) merumuskan strategi pengembangan UPPS yang berkesesuaian.</t>
  </si>
  <si>
    <t>UPPS melakukan analisis SWOT atau analisis lain yang relevan, serta memenuhi aspek-aspek sebagai berikut:
1) melakukan identifikasi kekuatan atau faktor pendorong, kelemahan atau faktor penghambat, peluang dan ancaman yang dihadapi UPPS dilakukan secara tepat, dan 
2) memiliki keterkaitan dengan hasil analisis capaian kinerja.</t>
  </si>
  <si>
    <t>UPPS melakukan analisis SWOT atau analisis lain yang memenuhi aspek-aspek sebagai berikut:
1) melakukan identifikasi kekuatan atau faktor pendorong, kelemahan atau faktor penghambat, peluang dan ancaman yang dihadapi UPPS, dan
2) memiliki keterkaitan dengan hasil analisis capaian kinerja, namun tidak terstruktur dan tidak sistematis.</t>
  </si>
  <si>
    <t>UPPS tidak melakukan analisis untuk mengembangkan strategi.</t>
  </si>
  <si>
    <t>D.3
Program Pengembangan</t>
  </si>
  <si>
    <t>Ketepatan di dalam menetapkan prioritas program pengembangan.</t>
  </si>
  <si>
    <t>UPPS menetapkan prioritas program pengembangan berdasarkan hasil analisis SWOT atau analisis lainnya yang mempertimbangkan secara komprehensif:
1) kapasitas UPPS,
2) kebutuhan UPPS dan PS di masa depan,
3) rencana strategis UPPS yang berlaku,
4) aspirasi dari pemangku kepentingan internal dan eksternal, dan
5) program yang menjamin keberlanjutan.</t>
  </si>
  <si>
    <t>UPPS menetapkan prioritas program pengembangan berdasarkan hasil analisis SWOT atau analisis lainnya yang mempertimbangkan secara komprehensif:
1) kapasitas UPPS,
2) kebutuhan UPPS dan PS di masa depan,
3) rencana strategis UPPS yang berlaku, dan
4) aspirasi dari pemangku kepentingan internal.</t>
  </si>
  <si>
    <t>UPPS menetapkan prioritas program pengembangan berdasarkan hasil analisis SWOT atau analisis lainnya yang mempertimbangkan secara komprehensif:
1) kapasitas UPPS,
2) kebutuhan UPPS dan PS di masa depan, dan
3) rencana strategis UPPS yang berlaku.</t>
  </si>
  <si>
    <t>UPPS menetapkan prioritas program pengembangan namun belum mempertimbangan secara komprehensif:
1) kapasitas UPPS,
2) kebutuhan UPPS dan PS, dan
3) rencana strategis UPPS yang berlaku.</t>
  </si>
  <si>
    <t>UPPS tidak menetapkan prioritas program pengembangan.</t>
  </si>
  <si>
    <t xml:space="preserve">D.4 
Program Keberlanjutan </t>
  </si>
  <si>
    <t>UPPS memiliki kebijakan, ketersediaan sumberdaya, kemampuan melaksanakan, dan kerealistikan program.</t>
  </si>
  <si>
    <t>UPPS memiliki kebijakan dan upaya yang diturunkan ke dalam berbagai peraturan untuk menjamin keberlanjutan program yang mencakup:
1) alokasi sumber daya, 
2) kemampuan melaksanakan,
3) rencana penjaminan mutu yang berkelanjutan, dan 
4) keberadaan dukungan stakeholders eksternal.</t>
  </si>
  <si>
    <t>UPPS memiliki kebijakan dan upaya yang diturunkan ke dalam berbagai peraturan untuk menjamin keberlanjutan program yang mencakup:
1) alokasi sumber daya, 
2) kemampuan melaksanakan, dan
3) rencana penjaminan mutu yang berkelanjutan.</t>
  </si>
  <si>
    <t>UPPS memiliki kebijakan dan upaya untuk menjamin keberlanjutan program yang mencakup:
1) alokasi sumber daya, 
2) kemampuan melaksanakan, dan
3) rencana penjaminan mutu yang berkelanjutan.</t>
  </si>
  <si>
    <t>UPPS memiliki kebijakan dan upaya namun belum cukup untuk menjamin keberlanjutan program.</t>
  </si>
  <si>
    <t>UPPS tidak memiliki kebijakan dan upaya untuk menjamin keberlanjutan program.</t>
  </si>
  <si>
    <t>ELEMEN</t>
  </si>
  <si>
    <r>
      <t xml:space="preserve">Kondisi Eksternal
</t>
    </r>
    <r>
      <rPr>
        <sz val="11"/>
        <color theme="1"/>
        <rFont val="Calibri"/>
        <family val="2"/>
        <scheme val="minor"/>
      </rPr>
      <t>Konsistensi dengan hasil analisis SWOT dan/atau analisis lain serta rencana pengembangan ke depan.</t>
    </r>
  </si>
  <si>
    <t>Unit Pengelola Program Studi (UPPS) mampu:
1) mengidentifikasi kondisi lingkungan dan industri yang relevan secara komprehensif dan strategis,
2) menetapkan posisi relatif program studi terhadap lingkungannya,
3) menggunakan hasil identifikasi dan posisi yang ditetapkan untuk melakukan analisis (SWOT/metoda analisis lain yang relevan) untuk pengembangan program studi, dan
4) merumuskan strategi pengembangan program studi yang berkesesuaian untuk menghasilkan program-program pengembangan alternatif yang tepat.</t>
  </si>
  <si>
    <t>Unit Pengelola Program Studi (UPPS) mampu:
1) mengidentifikasi kondisi lingkungan dan industri yang relevan secara komprehensif,
2) menetapkan posisi relatif program studi terhadap lingkungannya, dan 
3) menggunakan hasil identifikasi dan posisi yang ditetapkan untuk melakukan analisis (SWOT/metoda analisis lain yang relevan) untuk pengembangan program studi.</t>
  </si>
  <si>
    <t>Unit Pengelola Program Studi (UPPS) mampu:
1) mengidentifikasi kondisi lingkungan dan industri yang relevan, dan
2) menetapkan posisi relatif program studi terhadap lingkungannya.</t>
  </si>
  <si>
    <t>Unit Pengelola Program Studi (UPPS) kurang mampu:
1) mengidentifikasi kondisi lingkungan dan industri yang relevan, dan
2) menetapkan posisi relatif program studi terhadap lingkungannya.</t>
  </si>
  <si>
    <t>Unit Pengelola Program Studi (UPPS) tidak mampu:
1) mengidentifikasi kondisi lingkungan dan industri yang relevan, dan
2) menetapkan posisi relatif program studi terhadap lingkungannya.</t>
  </si>
  <si>
    <t>A</t>
  </si>
  <si>
    <t>B</t>
  </si>
  <si>
    <r>
      <t xml:space="preserve">C  Kriteria
C.1 
Visi, Misi, Tujuan dan Strategi
</t>
    </r>
    <r>
      <rPr>
        <sz val="11"/>
        <color theme="1"/>
        <rFont val="Calibri"/>
        <family val="2"/>
        <scheme val="minor"/>
      </rPr>
      <t xml:space="preserve">C.1.4 
Indikator Kinerja Utama
</t>
    </r>
  </si>
  <si>
    <t>Kesesuaian Visi, Misi, Tujuan dan Strategi (VMTS) Unit Pengelola Program Studi (UPPS) terhadap VMTS Perguruan Tinggi (PT) dan visi keilmuan Program Studi (PS) yang dikelolanya.</t>
  </si>
  <si>
    <t>UPPS memiliki:
1) visi yang mencerminkan visi perguruan tinggi dan memayungi visi keilmuan terkait keunikan program studi serta didukung data konsistensi implementasinya,
2) misi, tujuan, dan strategi yang searah dan bersinerji dengan misi, tujuan, dan strategi perguruan tinggi serta mendukung pengembangan program studi dengan data konsistensi implementasinya.</t>
  </si>
  <si>
    <t>UPPS memiliki:
1) visi yang mencerminkan visi perguruan tinggi dan memayungi visi keilmuan terkait keunikan program studi,
2) misi, tujuan, dan strategi yang searah dan bersinerji dengan misi, tujuan, dan strategi perguruan tinggi serta mendukung pengembangan program studi.</t>
  </si>
  <si>
    <t>UPPS memiliki: 
1) visi yang mencerminkan visi perguruan tinggi dan memayungi visi keilmuan terkait program studi,
2) misi, tujuan, dan strategi yang searah dengan misi, tujuan, dan strategi perguruan tinggi serta mendukung pengembangan program studi.</t>
  </si>
  <si>
    <t>UPPS memiliki:
1) visi yang mencerminkan visi perguruan tinggi namun tidak memayungi visi keilmuan terkait program studi,
2) misi, tujuan, dan strategi kurang searah dengan misi, tujuan sasaran, dan strategi perguruan tinggi serta kurang mendukung pengembangan program studi.</t>
  </si>
  <si>
    <t>UPPS memiliki misi, tujuan, dan strategi yang tidak terkait dengan strategi perguruan tinggi dan pengembangan program studi.</t>
  </si>
  <si>
    <t xml:space="preserve">Ada mekanisme dalam penyusunan dan penetapan visi, misi, tujuan dan strategi yang terdokumentasi serta ada keterlibatan pemangku kepentingan internal (dosen, mahasiswa dan tenaga kependidikan) dan pemangku kepentingan eksternal (lulusan dan pengguna lulusan). </t>
  </si>
  <si>
    <t>Ada mekanisme dalam penyusunan dan penetapan visi, misi, tujuan dan strategi yang terdokumentasi serta ada keterlibatan pemangku kepentingan internal (dosen dan mahasiswa) dan pemangku kepentingan eksternal (lulusan).</t>
  </si>
  <si>
    <t>Strategi efektif untuk mencapai tujuan dan disusun berdasarkan analisis yang sistematis dengan menggunakan metoda yang relevan dan terdokumentasi serta pada pelaksanaannya dilakukan pemantauan dan evaluasi dan ditindaklanjuti.</t>
  </si>
  <si>
    <t>Strategi efektif untuk mencapai tujuan dan disusun berdasarkan analisis yang sistematis dengan menggunakan metoda yang relevan dan terdokumentasi serta pada pelaksanaannya dilakukan pemantauan dan evaluasi.</t>
  </si>
  <si>
    <t>Strategi untuk mencapai tujuan dan disusun berdasarkan analisis yang sistematis dengan menggunakan metoda yang relevan serta terdokumentasi namun belum terbukti efektifitasnya.</t>
  </si>
  <si>
    <t>Strategi untuk mencapai tujuan disusun berdasarkan analisis yang kurang sistematis serta tidak menggunakan metoda yang relevan.</t>
  </si>
  <si>
    <t>Tidak memiliki strategi untuk mencapai tujuan.</t>
  </si>
  <si>
    <t>A. Kelengkapan struktur organisasi dan keefektifan penyelenggaraan organisasi.</t>
  </si>
  <si>
    <t>UPPS memiliki dokumen formal struktur organisasi dan tata kerja yang dilengkapi tugas dan fungsinya, serta telah berjalan secara konsisten dan menjamin tata pamong yang baik serta berjalan efektif dan efisien.</t>
  </si>
  <si>
    <t>UPPS memiliki dokumen formal struktur organisasi dan tata kerja yang dilengkapi tugas dan fungsinya, serta telah berjalan secara konsisten dan menjamin tata pamong yang baik.</t>
  </si>
  <si>
    <t xml:space="preserve">UPPS memiliki dokumen formal struktur organisasi dan tata kerja yang dilengkapi tugas dan fungsinya, serta telah berjalan secara konsisten. </t>
  </si>
  <si>
    <t>UPPS memiliki dokumen formal struktur organisasi dan tata kerja  namun tugas dan fungsi belum berjalan secara konsisten.</t>
  </si>
  <si>
    <t>UPPS tidak memiliki dokumen formal struktur organisasi.</t>
  </si>
  <si>
    <t>UPPS memiliki praktek baik (best practices) dalam menerapkan tata pamong yang memenuhi 5 kaidah good governance untuk menjamin penyelenggaraan program studi yang bermutu.</t>
  </si>
  <si>
    <t>UPPS memiliki praktek baik (best practices) dalam menerapkan tata pamong yang memenuhi 4 kaidah good governance untuk menjamin penyelenggaraan program studi yang bermutu.</t>
  </si>
  <si>
    <t>UPPS memiliki praktek baik (best practices) dalam menerapkan tata pamong yang memenuhi 3 kaidah good governance untuk menjamin penyelenggaraan program studi yang bermutu.</t>
  </si>
  <si>
    <t>UPPS memiliki praktek baik (best practices) dalam menerapkan tata pamong yang memenuhi 1 s.d. 2 kaidah good governance untuk menjamin penyelenggaraan program studi yang bermutu.</t>
  </si>
  <si>
    <t>A. Komitmen pimpinan UPPS.</t>
  </si>
  <si>
    <t xml:space="preserve">Terdapat bukti/pengakuan yang sahih bahwa pimpinan UPPS memiliki karakter kepemimpinan operasional, organisasi, dan publik. </t>
  </si>
  <si>
    <t xml:space="preserve">Terdapat bukti/pengakuan yang sahih bahwa pimpinan UPPS memiliki 2 karakter diantara kepemimpinan operasional, organisasi, dan publik. </t>
  </si>
  <si>
    <t xml:space="preserve">Terdapat bukti/pengakuan yang sahih bahwa pimpinan UPPS memiliki salah satu karakter diantara kepemimpinan operasional, organisasi, dan publik. </t>
  </si>
  <si>
    <t>Pimpinan UPPS mampu :
1) melaksanakan 6 fungsi manajemen secara efektif dan efisien,
2) mengantisipasi dan menyelesaikan masalah pada situasi yang tidak terduga,
3) melakukan inovasi untuk menghasilkan nilai tambah.</t>
  </si>
  <si>
    <t>Pimpinan UPPS mampu :
1) melaksanakan 6 fungsi manajemen secara efektif dan efisien,
2) mengantisipasi dan menyelesaikan masalah pada situasi yang tidak terduga.</t>
  </si>
  <si>
    <t>Pimpinan UPPS mampu melaksanakan 6 fungsi manajemen secara efektif.</t>
  </si>
  <si>
    <t>Pimpinan UPPS mampu melaksanakan kurang dari 6 fungsi manajemen.</t>
  </si>
  <si>
    <t>Mutu, manfaat, kepuasan dan keberlanjutan kerjasama pendidikan, penelitian dan PkM yang relevan dengan program studi. UPPS memiliki bukti yang sahih terkait kerjasama yang ada telah memenuhi 3 aspek berikut: 1) memberikan manfaat bagi program studi dalam pemenuhan proses pembelajaran, penelitian, PkM. 2) memberikan peningkatan kinerja tridharma dan fasilitas pendukung program studi. 3) memberikan kepuasan kepada mitra industri dan mitra kerjasama lainnya, serta menjamin keberlanjutan kerjasama dan hasilnya.</t>
  </si>
  <si>
    <t>UPPS memiliki bukti yang sahih terkait kerjasama yang ada telah memenuhi 3 aspek.</t>
  </si>
  <si>
    <t>UPPS memiliki bukti yang sahih terkait kerjasama yang ada telah memenuhi aspek 1 dan 2.</t>
  </si>
  <si>
    <t>UPPS memiliki bukti yang sahih terkait kerjasama yang ada telah memenuhi aspek 1.</t>
  </si>
  <si>
    <t>UPPS tidak memiliki bukti pelaksanaan kerjasama.</t>
  </si>
  <si>
    <t>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5) memiliki external benchmarking dalam peningkatan mutu.</t>
  </si>
  <si>
    <t>UPPS telah melaksanakan SPMI yang memenuhi 5 aspek.</t>
  </si>
  <si>
    <t xml:space="preserve">UPPS telah melaksanakan SPMI yang memenuhi aspek nomor 1 sampai dengan 4. </t>
  </si>
  <si>
    <t>UPPS telah melaksanakan SPMI yang memenuhi aspek nomor 1 sampai dengan 3.</t>
  </si>
  <si>
    <t>UPPS telah melaksanakan SPMI yang memenuhi aspek nomor 1 dan 2, serta siklus kegiatan SPMI baru dilaksanakan pada tahapan penetapan standar dan pelaksanaan standar pendidikan tinggi.</t>
  </si>
  <si>
    <t>UPPS telah memiliki dokumen legal pembentukan unsur pelaksana penjaminan mutu tanpa pelaksanaan SPMI.</t>
  </si>
  <si>
    <t>C.2.7
Penjaminan Mutu</t>
  </si>
  <si>
    <t>C.2.8
Kepuasan pemangku kepentingan</t>
  </si>
  <si>
    <t>Pengukuran kepuasan layanan manajemen terhadap para pemangku kepentingan: mahasiswa, dosen, tenaga kependidikan, lulusan, pengguna dan mitra yang memenuhi aspek-aspek berikut:
1) menggunakan instrumen kepuasan yang sahih, andal, mudah digunakan,
2) dilaksanakan secara berkala, serta datanya terekam secara komprehensif, 
3) dianalisis dengan metode yang tepat serta bermanfaat untuk pengambilan keputusan,
4) tingkat kepuasan dan umpan balik ditindaklanjuti untuk perbaikan dan peningkatan mutu luaran secara berkala dan tersistem,
5) dilakukan review terhadap pelaksanaan pengukuran kepuasan dosen dan mahasiswa, serta
6) hasilnya dipublikasikan dan mudah diakses oleh dosen dan mahasiswa.</t>
  </si>
  <si>
    <t>UPPS melakukan pengukuran kepuasan kepada seluruh pemangku kepentingan terhadap layanan manajemen yang memenuhi seluruh aspek.</t>
  </si>
  <si>
    <t>UPPS melakukan pengukuran kepuasan kepada seluruh pemangku kepentingan terhadap layanan manajemen yang memenuhi aspek 1 s.d 4 dan salah satu dari aspek 5 atau aspek 6.</t>
  </si>
  <si>
    <t>UPPS melakukan pengukuran kepuasan kepada seluruh pemangku kepentingan terhadap layanan manajemen yang memenuhi aspek 1 s.d 4.</t>
  </si>
  <si>
    <t>UPPS melakukan pengukuran kepuasan kepada sebagian pemangku kepentingan terhadap layanan manajemen yang memenuhi aspek 1 s.d. 4.</t>
  </si>
  <si>
    <t>UPPS tidak melakukan pengukuran kepuasan layanan manajemen.</t>
  </si>
  <si>
    <r>
      <t xml:space="preserve">C.3
Mahasiswa
</t>
    </r>
    <r>
      <rPr>
        <sz val="11"/>
        <color theme="1"/>
        <rFont val="Calibri"/>
        <family val="2"/>
        <scheme val="minor"/>
      </rPr>
      <t>C.3.4 
Indikator Kinerja Utama
C.3.4.a) 
Kualitas Input Mahasiswa</t>
    </r>
  </si>
  <si>
    <t>C.3.4.b) Daya Tarik Program Studi</t>
  </si>
  <si>
    <t>A. Ketersediaan layanan kemahasiswaan di bidang: 
1) penalaran, minat dan bakat,
2) kesejahteraan (bimbingan dan konseling, layanan beasiswa, dan layanan kesehatan), dan
3) bimbingan karir dan kewirausahaan.</t>
  </si>
  <si>
    <t>Jenis layanan mencakup bidang penalaran, minat dan bakat,  kesejahteraan (bimbingan dan konseling, layanan beasiswa, dan layanan kesehatan), dan bimbingan karir dan kewirausahaan.</t>
  </si>
  <si>
    <t>B. Akses dan mutu layanan kemahasiswaan.</t>
  </si>
  <si>
    <t>C.3.4.c) 
Layanan Kemahasiswaan</t>
  </si>
  <si>
    <r>
      <t xml:space="preserve">C.4. Sumber Daya Manusia
</t>
    </r>
    <r>
      <rPr>
        <sz val="11"/>
        <color theme="1"/>
        <rFont val="Calibri"/>
        <family val="2"/>
        <scheme val="minor"/>
      </rPr>
      <t>C.4.4. Indikator Kinerja Utama
C.4.4.a) Profil Dosen</t>
    </r>
  </si>
  <si>
    <r>
      <t>N</t>
    </r>
    <r>
      <rPr>
        <vertAlign val="subscript"/>
        <sz val="11"/>
        <color theme="1"/>
        <rFont val="Calibri"/>
        <family val="2"/>
        <scheme val="minor"/>
      </rPr>
      <t>DS3</t>
    </r>
    <r>
      <rPr>
        <sz val="11"/>
        <color theme="1"/>
        <rFont val="Calibri"/>
        <family val="2"/>
        <scheme val="minor"/>
      </rPr>
      <t xml:space="preserve"> = Jumlah DTPS yang berpendidikan tertinggi Doktor/Doktor Terapan/Subspesialis.</t>
    </r>
  </si>
  <si>
    <r>
      <t>P</t>
    </r>
    <r>
      <rPr>
        <vertAlign val="subscript"/>
        <sz val="11"/>
        <color theme="1"/>
        <rFont val="Calibri"/>
        <family val="2"/>
        <scheme val="minor"/>
      </rPr>
      <t>DS3</t>
    </r>
    <r>
      <rPr>
        <sz val="11"/>
        <color theme="1"/>
        <rFont val="Calibri"/>
        <family val="2"/>
        <scheme val="minor"/>
      </rPr>
      <t xml:space="preserve"> = (N</t>
    </r>
    <r>
      <rPr>
        <vertAlign val="subscript"/>
        <sz val="11"/>
        <color theme="1"/>
        <rFont val="Calibri"/>
        <family val="2"/>
        <scheme val="minor"/>
      </rPr>
      <t>DS3</t>
    </r>
    <r>
      <rPr>
        <sz val="11"/>
        <color theme="1"/>
        <rFont val="Calibri"/>
        <family val="2"/>
        <scheme val="minor"/>
      </rPr>
      <t xml:space="preserve"> / N</t>
    </r>
    <r>
      <rPr>
        <vertAlign val="subscript"/>
        <sz val="11"/>
        <color theme="1"/>
        <rFont val="Calibri"/>
        <family val="2"/>
        <scheme val="minor"/>
      </rPr>
      <t>DTPS</t>
    </r>
    <r>
      <rPr>
        <sz val="11"/>
        <color theme="1"/>
        <rFont val="Calibri"/>
        <family val="2"/>
        <scheme val="minor"/>
      </rPr>
      <t>) x 100%</t>
    </r>
  </si>
  <si>
    <t>Jabatan akademik DTPS.</t>
  </si>
  <si>
    <t>Kualifikasi akademik DTPS.</t>
  </si>
  <si>
    <r>
      <t>N</t>
    </r>
    <r>
      <rPr>
        <vertAlign val="subscript"/>
        <sz val="11"/>
        <color theme="1"/>
        <rFont val="Calibri"/>
        <family val="2"/>
        <scheme val="minor"/>
      </rPr>
      <t>DGB</t>
    </r>
    <r>
      <rPr>
        <sz val="11"/>
        <color theme="1"/>
        <rFont val="Calibri"/>
        <family val="2"/>
        <scheme val="minor"/>
      </rPr>
      <t xml:space="preserve"> = Jumlah DTPS yang memiliki jabatan akademik Guru Besar.</t>
    </r>
  </si>
  <si>
    <r>
      <t>N</t>
    </r>
    <r>
      <rPr>
        <vertAlign val="subscript"/>
        <sz val="11"/>
        <color theme="1"/>
        <rFont val="Calibri"/>
        <family val="2"/>
        <scheme val="minor"/>
      </rPr>
      <t>DLK</t>
    </r>
    <r>
      <rPr>
        <sz val="11"/>
        <color theme="1"/>
        <rFont val="Calibri"/>
        <family val="2"/>
        <scheme val="minor"/>
      </rPr>
      <t xml:space="preserve"> = Jumlah DTPS yang memiliki jabatan akademik Lektor Kepala.</t>
    </r>
  </si>
  <si>
    <r>
      <t>N</t>
    </r>
    <r>
      <rPr>
        <vertAlign val="subscript"/>
        <sz val="11"/>
        <color theme="1"/>
        <rFont val="Calibri"/>
        <family val="2"/>
        <scheme val="minor"/>
      </rPr>
      <t>DL</t>
    </r>
    <r>
      <rPr>
        <sz val="11"/>
        <color theme="1"/>
        <rFont val="Calibri"/>
        <family val="2"/>
        <scheme val="minor"/>
      </rPr>
      <t xml:space="preserve"> = Jumlah DTPS tetap yang memiliki jabatan akademik Lektor.</t>
    </r>
  </si>
  <si>
    <r>
      <t>P</t>
    </r>
    <r>
      <rPr>
        <vertAlign val="subscript"/>
        <sz val="11"/>
        <color theme="1"/>
        <rFont val="Calibri"/>
        <family val="2"/>
        <scheme val="minor"/>
      </rPr>
      <t>GBLKL</t>
    </r>
    <r>
      <rPr>
        <sz val="11"/>
        <color theme="1"/>
        <rFont val="Calibri"/>
        <family val="2"/>
        <scheme val="minor"/>
      </rPr>
      <t xml:space="preserve"> = ((N</t>
    </r>
    <r>
      <rPr>
        <vertAlign val="subscript"/>
        <sz val="11"/>
        <color theme="1"/>
        <rFont val="Calibri"/>
        <family val="2"/>
        <scheme val="minor"/>
      </rPr>
      <t>DGB</t>
    </r>
    <r>
      <rPr>
        <sz val="11"/>
        <color theme="1"/>
        <rFont val="Calibri"/>
        <family val="2"/>
        <scheme val="minor"/>
      </rPr>
      <t xml:space="preserve"> + N</t>
    </r>
    <r>
      <rPr>
        <vertAlign val="subscript"/>
        <sz val="11"/>
        <color theme="1"/>
        <rFont val="Calibri"/>
        <family val="2"/>
        <scheme val="minor"/>
      </rPr>
      <t>DLK</t>
    </r>
    <r>
      <rPr>
        <sz val="11"/>
        <color theme="1"/>
        <rFont val="Calibri"/>
        <family val="2"/>
        <scheme val="minor"/>
      </rPr>
      <t xml:space="preserve"> + N</t>
    </r>
    <r>
      <rPr>
        <vertAlign val="subscript"/>
        <sz val="11"/>
        <color theme="1"/>
        <rFont val="Calibri"/>
        <family val="2"/>
        <scheme val="minor"/>
      </rPr>
      <t>DL</t>
    </r>
    <r>
      <rPr>
        <sz val="11"/>
        <color theme="1"/>
        <rFont val="Calibri"/>
        <family val="2"/>
        <scheme val="minor"/>
      </rPr>
      <t>) / N</t>
    </r>
    <r>
      <rPr>
        <vertAlign val="subscript"/>
        <sz val="11"/>
        <color theme="1"/>
        <rFont val="Calibri"/>
        <family val="2"/>
        <scheme val="minor"/>
      </rPr>
      <t>DTPS</t>
    </r>
    <r>
      <rPr>
        <sz val="11"/>
        <color theme="1"/>
        <rFont val="Calibri"/>
        <family val="2"/>
        <scheme val="minor"/>
      </rPr>
      <t>) x 100%</t>
    </r>
  </si>
  <si>
    <t>Rasio jumlah mahasiswa program studi terhadap jumlah DTPS.</t>
  </si>
  <si>
    <r>
      <t>N</t>
    </r>
    <r>
      <rPr>
        <vertAlign val="subscript"/>
        <sz val="11"/>
        <color theme="1"/>
        <rFont val="Calibri"/>
        <family val="2"/>
        <scheme val="minor"/>
      </rPr>
      <t>M</t>
    </r>
    <r>
      <rPr>
        <sz val="11"/>
        <color theme="1"/>
        <rFont val="Calibri"/>
        <family val="2"/>
        <scheme val="minor"/>
      </rPr>
      <t xml:space="preserve"> = Jumlah mahasiswa pada saat TS.</t>
    </r>
  </si>
  <si>
    <r>
      <t>R</t>
    </r>
    <r>
      <rPr>
        <vertAlign val="subscript"/>
        <sz val="11"/>
        <color theme="1"/>
        <rFont val="Calibri"/>
        <family val="2"/>
        <scheme val="minor"/>
      </rPr>
      <t>MD</t>
    </r>
    <r>
      <rPr>
        <sz val="11"/>
        <color theme="1"/>
        <rFont val="Calibri"/>
        <family val="2"/>
        <scheme val="minor"/>
      </rPr>
      <t xml:space="preserve"> = N</t>
    </r>
    <r>
      <rPr>
        <vertAlign val="subscript"/>
        <sz val="11"/>
        <color theme="1"/>
        <rFont val="Calibri"/>
        <family val="2"/>
        <scheme val="minor"/>
      </rPr>
      <t>M</t>
    </r>
    <r>
      <rPr>
        <sz val="11"/>
        <color theme="1"/>
        <rFont val="Calibri"/>
        <family val="2"/>
        <scheme val="minor"/>
      </rPr>
      <t xml:space="preserve"> / N</t>
    </r>
    <r>
      <rPr>
        <vertAlign val="subscript"/>
        <sz val="11"/>
        <color theme="1"/>
        <rFont val="Calibri"/>
        <family val="2"/>
        <scheme val="minor"/>
      </rPr>
      <t>DTPS</t>
    </r>
  </si>
  <si>
    <t>Untuk program studi dengan jumlah kebutuhan lulusan rendah, berlaku Skor = Skor butir Kualitas Input Mahasiswa</t>
  </si>
  <si>
    <t>Penugasan DTPS sebagai pembimbing utama tugas akhir mahasiswa.</t>
  </si>
  <si>
    <t>Dosen tidak tetap.</t>
  </si>
  <si>
    <r>
      <t>N</t>
    </r>
    <r>
      <rPr>
        <vertAlign val="subscript"/>
        <sz val="11"/>
        <color theme="1"/>
        <rFont val="Calibri"/>
        <family val="2"/>
        <scheme val="minor"/>
      </rPr>
      <t>DT</t>
    </r>
    <r>
      <rPr>
        <sz val="11"/>
        <color theme="1"/>
        <rFont val="Calibri"/>
        <family val="2"/>
        <scheme val="minor"/>
      </rPr>
      <t xml:space="preserve"> = Jumlah dosen tetap yang ditugaskan sebagai pengampu mata kuliah di program studi yang diakreditasi.</t>
    </r>
  </si>
  <si>
    <r>
      <t>N</t>
    </r>
    <r>
      <rPr>
        <vertAlign val="subscript"/>
        <sz val="11"/>
        <color theme="1"/>
        <rFont val="Calibri"/>
        <family val="2"/>
        <scheme val="minor"/>
      </rPr>
      <t>DTT</t>
    </r>
    <r>
      <rPr>
        <sz val="11"/>
        <color theme="1"/>
        <rFont val="Calibri"/>
        <family val="2"/>
        <scheme val="minor"/>
      </rPr>
      <t xml:space="preserve"> = Jumlah dosen tidak tetap yang ditugaskan sebagai pengampu mata kuliah di program studi yang diakreditasi.</t>
    </r>
  </si>
  <si>
    <r>
      <t>P</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
    </r>
    <r>
      <rPr>
        <sz val="11"/>
        <color theme="1"/>
        <rFont val="Calibri"/>
        <family val="2"/>
        <scheme val="minor"/>
      </rPr>
      <t>)) x 100%</t>
    </r>
  </si>
  <si>
    <t>C.4.4.b) Kinerja Dosen</t>
  </si>
  <si>
    <r>
      <t>N</t>
    </r>
    <r>
      <rPr>
        <vertAlign val="subscript"/>
        <sz val="11"/>
        <color theme="1"/>
        <rFont val="Calibri"/>
        <family val="2"/>
        <scheme val="minor"/>
      </rPr>
      <t>RD</t>
    </r>
    <r>
      <rPr>
        <sz val="11"/>
        <color theme="1"/>
        <rFont val="Calibri"/>
        <family val="2"/>
        <scheme val="minor"/>
      </rPr>
      <t xml:space="preserve"> = Jumlah pengakuan atas prestasi/kinerja DTPS yang relevan dengan bidang keahlian dalam 3 tahun terakhir.</t>
    </r>
  </si>
  <si>
    <r>
      <t>R</t>
    </r>
    <r>
      <rPr>
        <vertAlign val="subscript"/>
        <sz val="11"/>
        <color theme="1"/>
        <rFont val="Calibri"/>
        <family val="2"/>
        <scheme val="minor"/>
      </rPr>
      <t>RD</t>
    </r>
    <r>
      <rPr>
        <sz val="11"/>
        <color theme="1"/>
        <rFont val="Calibri"/>
        <family val="2"/>
        <scheme val="minor"/>
      </rPr>
      <t xml:space="preserve"> = N</t>
    </r>
    <r>
      <rPr>
        <vertAlign val="subscript"/>
        <sz val="11"/>
        <color theme="1"/>
        <rFont val="Calibri"/>
        <family val="2"/>
        <scheme val="minor"/>
      </rPr>
      <t>RD</t>
    </r>
    <r>
      <rPr>
        <sz val="11"/>
        <color theme="1"/>
        <rFont val="Calibri"/>
        <family val="2"/>
        <scheme val="minor"/>
      </rPr>
      <t xml:space="preserve"> / N</t>
    </r>
    <r>
      <rPr>
        <vertAlign val="subscript"/>
        <sz val="11"/>
        <color theme="1"/>
        <rFont val="Calibri"/>
        <family val="2"/>
        <scheme val="minor"/>
      </rPr>
      <t>DTPS</t>
    </r>
    <r>
      <rPr>
        <sz val="11"/>
        <color theme="1"/>
        <rFont val="Calibri"/>
        <family val="2"/>
        <scheme val="minor"/>
      </rPr>
      <t xml:space="preserve"> </t>
    </r>
  </si>
  <si>
    <t>Pengakuan/rekognisi atas kepakaran/prestasi/kinerja DTPS.
Pengakuan/rekognisi atas kepakaran/prestasi/kinerja DTPS dapat berupa:
a) menjadi visiting lecturer atau visiting scholar di program studi/perguruan tinggi terakreditasi A/Unggul atau program studi/perguruan tinggi internasional bereputasi.
b) menjadi keynote speaker/invited speaker pada pertemuan ilmiah tingkat nasional/ internasional.
c) menjadi editor atau mitra bestari pada jurnal nasional terakreditasi/jurnal internasional bereputasi di bidang yang sesuai dengan bidang program studi.
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e) mendapat penghargaan atas prestasi dan kinerja di tingkat wilayah/nasional/internasional.</t>
  </si>
  <si>
    <t>LEVEL RISIKO</t>
  </si>
  <si>
    <t>IDENTIFIKASI RISIKO</t>
  </si>
  <si>
    <t>MANAJEMEN RISIKO</t>
  </si>
  <si>
    <t>Upaya pengembangan dosen.
Catatan: Jika Skor rata-rata butir Profil Dosen ≥ 3,5 , maka Skor = 4.</t>
  </si>
  <si>
    <t>C.4.4.c) Pengembangan Dosen</t>
  </si>
  <si>
    <t>C.4.4.d) Tenaga Kependidikan</t>
  </si>
  <si>
    <t>A. Kualifikasi dan kecukupan tenaga kependidikan berdasarkan jenis pekerjaannya (administrasi, pustakawan, teknisi, dll.)
Catatan: Penilaian kecukupan tidak hanya ditentukan oleh jumlah tenaga kependidikan, namun keberadaan dan pemanfaatan teknologi informasi dan komputer dalam proses administrasi dapat dijadikan pertimbangan untuk menilai efektifitas pekerjaan dan kebutuhan akan tenaga kependidikan.</t>
  </si>
  <si>
    <t>UPPS memiliki tenaga kependidikan yang memenuhi tingkat kecukupan dan kualifikasi berdasarkan kebutuhan layanan program studi dan mendukung pelaksanaan akademik, fungsi unit pengelola, serta pengembangan program studi.</t>
  </si>
  <si>
    <t>UPPS memiliki tenaga kependidikan yang memenuhi tingkat kecukupan dan kualifikasi berdasarkan kebutuhan layanan program studi dan mendukung pelaksanaan akademik dan fungsi unit pengelola.</t>
  </si>
  <si>
    <t>UPPS memiliki tenaga kependidikan yang memenuhi tingkat kecukupan dan kualifikasi berdasarkan kebutuhan layanan program studi dan mendukung pelaksanaan akademik.</t>
  </si>
  <si>
    <t>UPPS memiliki tenaga kependidikan yang memenuhi tingkat kecukupan dan/atau kualifikasi berdasarkan kebutuhan layanan program studi dan mendukung pelaksanaan akademik.</t>
  </si>
  <si>
    <t>UPPS memiliki tenaga kependidikan yang tidak memenuhi tingkat kecukupan dan kualifikasi berdasarkan kebutuhan layanan program studi.</t>
  </si>
  <si>
    <t>B. Kualifikasi dan kecukupan laboran untuk mendukung proses pembelajaran sesuai dengan kebutuhan program studi.</t>
  </si>
  <si>
    <t>UPPS memiliki jumlah laboran yang cukup terhadap jumlah laboratorium yang digunakan program studi, kualifikasinya sesuai
dengan laboratorium yang menjadi tanggungjawabnya, serta bersertifikat laboran dan bersertifikat kompetensi tertentu sesuai bidang tugasnya.</t>
  </si>
  <si>
    <t>UPPS memiliki jumlah laboran yang cukup terhadap jumlah laboratorium yang digunakan program studi, kualifikasinya sesuai
dengan laboratorium yang menjadi tanggungjawabnya, dan bersertifikat laboran atau bersertifikat kompetensi tertentu sesuai bidang tugasnya.</t>
  </si>
  <si>
    <t>UPPS memiliki jumlah laboran yang cukup terhadap jumlah laboratorium yang digunakan program studi dan kualifikasinya sesuai dengan laboratorium yang menjadi tanggungjawabnya.</t>
  </si>
  <si>
    <t>UPPS memiliki jumlah laboran yang cukup terhadap jumlah
laboratorium yang digunakan program studi.</t>
  </si>
  <si>
    <t>UPPS tidak memiliki laboran.</t>
  </si>
  <si>
    <r>
      <t xml:space="preserve">C.5. Keuangan, Sarana dan Prasarana
</t>
    </r>
    <r>
      <rPr>
        <sz val="11"/>
        <color theme="1"/>
        <rFont val="Calibri"/>
        <family val="2"/>
        <scheme val="minor"/>
      </rPr>
      <t>C.5.4. Indikator Kinerja Utama
C.5.4.a) Keuangan</t>
    </r>
  </si>
  <si>
    <t>Biaya operasional pendidikan.</t>
  </si>
  <si>
    <t>BOP = Biaya operasional pendidikan dalam 3 tahun terakhir.</t>
  </si>
  <si>
    <t>NM = Jumlah mahasiswa aktif pada saat TS.</t>
  </si>
  <si>
    <t>DOP = Rata-rata dana operasional pendidikan/mahasiswa/ tahun dalam 3 tahun terakhir = BOP / 3 / NM</t>
  </si>
  <si>
    <t>Dana penelitian DTPS.</t>
  </si>
  <si>
    <r>
      <t>D</t>
    </r>
    <r>
      <rPr>
        <vertAlign val="subscript"/>
        <sz val="11"/>
        <color theme="1"/>
        <rFont val="Calibri"/>
        <family val="2"/>
        <scheme val="minor"/>
      </rPr>
      <t>P</t>
    </r>
    <r>
      <rPr>
        <sz val="11"/>
        <color theme="1"/>
        <rFont val="Calibri"/>
        <family val="2"/>
        <scheme val="minor"/>
      </rPr>
      <t xml:space="preserve"> = Jumlah dana penelitian yang diperoleh dosen tetap dalam 3 tahun terakhir.</t>
    </r>
  </si>
  <si>
    <r>
      <t>D</t>
    </r>
    <r>
      <rPr>
        <vertAlign val="subscript"/>
        <sz val="11"/>
        <color theme="1"/>
        <rFont val="Calibri"/>
        <family val="2"/>
        <scheme val="minor"/>
      </rPr>
      <t>PD</t>
    </r>
    <r>
      <rPr>
        <sz val="11"/>
        <color theme="1"/>
        <rFont val="Calibri"/>
        <family val="2"/>
        <scheme val="minor"/>
      </rPr>
      <t xml:space="preserve"> = Rata-rata dana penelitian DTPS/ tahun dalam 3 tahun terakhir = D</t>
    </r>
    <r>
      <rPr>
        <vertAlign val="subscript"/>
        <sz val="11"/>
        <color theme="1"/>
        <rFont val="Calibri"/>
        <family val="2"/>
        <scheme val="minor"/>
      </rPr>
      <t>P</t>
    </r>
    <r>
      <rPr>
        <sz val="11"/>
        <color theme="1"/>
        <rFont val="Calibri"/>
        <family val="2"/>
        <scheme val="minor"/>
      </rPr>
      <t xml:space="preserve"> / 3 / N</t>
    </r>
    <r>
      <rPr>
        <vertAlign val="subscript"/>
        <sz val="11"/>
        <color theme="1"/>
        <rFont val="Calibri"/>
        <family val="2"/>
        <scheme val="minor"/>
      </rPr>
      <t>DTPS</t>
    </r>
  </si>
  <si>
    <t>Dana pengabdian kepada masyarakat DTPS.</t>
  </si>
  <si>
    <r>
      <t>D</t>
    </r>
    <r>
      <rPr>
        <vertAlign val="subscript"/>
        <sz val="11"/>
        <color theme="1"/>
        <rFont val="Calibri"/>
        <family val="2"/>
        <scheme val="minor"/>
      </rPr>
      <t>PkM</t>
    </r>
    <r>
      <rPr>
        <sz val="11"/>
        <color theme="1"/>
        <rFont val="Calibri"/>
        <family val="2"/>
        <scheme val="minor"/>
      </rPr>
      <t xml:space="preserve"> = Jumlah dana PkM yang diperoleh dosen tetap dalam 3 tahun terakhir.</t>
    </r>
  </si>
  <si>
    <r>
      <t>D</t>
    </r>
    <r>
      <rPr>
        <vertAlign val="subscript"/>
        <sz val="11"/>
        <color theme="1"/>
        <rFont val="Calibri"/>
        <family val="2"/>
        <scheme val="minor"/>
      </rPr>
      <t>PkMD</t>
    </r>
    <r>
      <rPr>
        <sz val="11"/>
        <color theme="1"/>
        <rFont val="Calibri"/>
        <family val="2"/>
        <scheme val="minor"/>
      </rPr>
      <t xml:space="preserve"> = Rata-rata dana PkM DTPS/ tahun dalam 3 tahun terakhir = D</t>
    </r>
    <r>
      <rPr>
        <vertAlign val="subscript"/>
        <sz val="11"/>
        <color theme="1"/>
        <rFont val="Calibri"/>
        <family val="2"/>
        <scheme val="minor"/>
      </rPr>
      <t>PkM</t>
    </r>
    <r>
      <rPr>
        <sz val="11"/>
        <color theme="1"/>
        <rFont val="Calibri"/>
        <family val="2"/>
        <scheme val="minor"/>
      </rPr>
      <t xml:space="preserve"> / 3 / N</t>
    </r>
    <r>
      <rPr>
        <vertAlign val="subscript"/>
        <sz val="11"/>
        <color theme="1"/>
        <rFont val="Calibri"/>
        <family val="2"/>
        <scheme val="minor"/>
      </rPr>
      <t>DTPS</t>
    </r>
  </si>
  <si>
    <t>Realisasi investasi (SDM, sarana dan prasarana) yang mendukung penyelenggaraan tridharma.
Catatan: Jika Skor rata-rata butir tentang Profil Dosen, Sarana, dan Prasarana ≥ 3,5 , maka Skor butir ini = 4.</t>
  </si>
  <si>
    <t>C.5.4.b) Sarana dan Prasarana</t>
  </si>
  <si>
    <t>Kecukupan, aksesibilitas dan mutu sarana dan prasarana untuk menjamin pencapaian capaian pembelajaran dan meningkatkan suasana akademik.</t>
  </si>
  <si>
    <t>UPPS menyediakan sarana dan prasarana yang mutakhir serta aksesibiltas yang cukup untuk menjamin pencapaian capaian pembelajaran dan meningkatkan suasana akademik.</t>
  </si>
  <si>
    <t>UPPS menyediakan sarana dan prasarana serta aksesibiltas yang cukup untuk menjamin pencapaian capaian pembelajaran dan meningkatkan suasana akademik.</t>
  </si>
  <si>
    <t xml:space="preserve">UPPS menyediakan sarana dan prasarana serta aksesibiltas yang cukup untuk menjamin pencapaian capaian pembelajaran.
</t>
  </si>
  <si>
    <t>UPPS menyediakan sarana dan prasarana serta aksesibiltas yang tidak cukup untuk menjamin pencapaian capaian pembelajaran.</t>
  </si>
  <si>
    <t>UPPS tidak memiliki sarana dan prasarana.</t>
  </si>
  <si>
    <r>
      <rPr>
        <b/>
        <sz val="11"/>
        <color theme="1"/>
        <rFont val="Calibri"/>
        <family val="2"/>
        <scheme val="minor"/>
      </rPr>
      <t>C.6. Pendidikan</t>
    </r>
    <r>
      <rPr>
        <sz val="11"/>
        <color theme="1"/>
        <rFont val="Calibri"/>
        <family val="2"/>
        <scheme val="minor"/>
      </rPr>
      <t xml:space="preserve">
C.6.4. Indikator Kinerja Utama
C.6.4.a) Kurikulum</t>
    </r>
  </si>
  <si>
    <t>A. Keterlibatan pemangku kepentingan dalam proses evaluasi dan pemutakhiran kurikulum.</t>
  </si>
  <si>
    <t>B. Kesesuaian capaian pembelajaran dengan profil lulusan dan jenjang KKNI/SKKNI.</t>
  </si>
  <si>
    <t>Capaian pembelajaran diturunkan dari profil lulusan, mengacu pada hasil kesepakatan dengan asosiasi penyelenggara program studi sejenis dan organisasi profesi, dan memenuhi level KKNI, serta dimutakhirkan secara berkala tiap 4 s.d. 5 tahun sesuai perkembangan ipteks dan kebutuhan pengguna.</t>
  </si>
  <si>
    <t>Capaian pembelajaran diturunkan dari profil lulusan, memenuhi level KKNI, dan dimutakhirkan secara berkala tiap 4 s.d. 5 tahun sesuai perkembangan ipteks atau kebutuhan pengguna.</t>
  </si>
  <si>
    <t>Capaian pembelajaran diturunkan dari profil lulusan dan tidak memenuhi level KKNI.</t>
  </si>
  <si>
    <t>Capaian pembelajaran tidak diturunkan dari profil lulusan dan tidak memenuhi level KKNI.</t>
  </si>
  <si>
    <t>C. Ketepatan struktur kurikulum dalam pembentukan capaian pembelajaran.</t>
  </si>
  <si>
    <t>C.6.4.b) Karakteristik Proses Pembelajaran</t>
  </si>
  <si>
    <t>Pemenuhan karakteristik proses pembelajaran, yang terdiri atas sifat: 1) interaktif, 2) holistik, 3) integratif, 4) saintifik, 5) kontekstual, 6) tematik, 7) efektif, 8) kolaboratif, dan 9) berpusat pada mahasiswa.</t>
  </si>
  <si>
    <t>C.6.4.c) Rencana Proses Pembelajaran</t>
  </si>
  <si>
    <t xml:space="preserve">A. Ketersediaan dan kelengkapan dokumen rencana pembelajaran semester (RPS) </t>
  </si>
  <si>
    <t>B. Kedalaman dan keluasan RPS sesuai dengan capaian pembelajaran lulusan.</t>
  </si>
  <si>
    <t>C.6.4.d) Pelaksanaan Proses Pembelajaran</t>
  </si>
  <si>
    <t>A. Bentuk interaksi antara dosen, mahasiswa dan sumber belajar</t>
  </si>
  <si>
    <t>B. Pemantauan kesesuaian proses terhadap rencana pembelajaran</t>
  </si>
  <si>
    <t>C. Proses pembelajaran yang terkait dengan penelitian harus mengacu SN Dikti Penelitian: 1) hasil penelitian: harus memenuhi pengembangan IPTEKS, meningkatkan kesejahteraan masyarakat, dan daya saing bangsa. 2) isi penelitian: memenuhi kedalaman dan keluasan materi penelitian sesuai capaian pembelajaran. 3) proses penelitian: mencakup perencanaan, pelaksanaan, dan pelaporan. 4) penilaian penelitian memenuhi unsur edukatif, obyektif, akuntabel, dan transparan.</t>
  </si>
  <si>
    <t>Terdapat bukti sahih tentang pemenuhan SN Dikti Penelitian pada proses pembelajaran terkait penelitian serta pemenuhan SN Dikti Penelitian pada proses pembelajaran terkait penelitian.</t>
  </si>
  <si>
    <t>Tidak ada Skor antara 2 dan 4.</t>
  </si>
  <si>
    <t>Terdapat bukti sahih tentang pemenuhan SN Dikti Penelitian pada proses pembelajaran terkait penelitian namun tidak memenuhi SN Dikti Penelitian pada proses pembelajaran terkait penelitian.</t>
  </si>
  <si>
    <t>D. Proses pembelajaran yang terkait dengan PkM harus mengacu SN Dikti PkM: 1) hasil PkM: harus memenuhi pengembangan IPTEKS, meningkatkan kesejahteraan masyarakat, dan daya saing bangsa. 2) isi PkM: memenuhi kedalaman dan keluasan materi PkM sesuai capaian pembelajaran. 3) proses PkM:  mencakup perencanaan, pelaksanaan, dan pelaporan. 4) penilaian PkM memenuhi unsur edukatif, obyektif, akuntabel, dan transparan.</t>
  </si>
  <si>
    <t>Terdapat bukti sahih tentang pemenuhan SN Dikti PkM pada proses pembelajaran terkait PkM serta pemenuhan SN Dikti PkM pada proses pembelajaran terkait PkM.</t>
  </si>
  <si>
    <t>Terdapat bukti sahih tentang pemenuhan SN Dikti PkM pada proses pembelajaran terkait PkM namun tidak memenuhi SN Dikti PkM pada proses pembelajaran terkait PkM.</t>
  </si>
  <si>
    <t>E. Kesesuaian metode pembelajaran dengan capaian pembelajaran. Contoh: RBE (research based education), IBE (industry based education), teaching factory/teaching industry, dll.</t>
  </si>
  <si>
    <t>Terdapat bukti sahih yang menunjukkan metode pembelajaran yang dilaksanakan sesuai dengan capaian pembelajaran yang direncanakan pada 75% s.d. 100% mata kuliah.</t>
  </si>
  <si>
    <t>Terdapat bukti sahih yang menunjukkan metode pembelajaran yang dilaksanakan sesuai dengan capaian pembelajaran yang direncanakan pada 50 s.d. &lt; 75% mata kuliah.</t>
  </si>
  <si>
    <t>Terdapat bukti sahih yang menunjukkan metode pembelajaran yang dilaksanakan sesuai dengan capaian pembelajaran yang direncanakan pada 25 s.d. &lt; 50% mata kuliah.</t>
  </si>
  <si>
    <t>Terdapat bukti sahih yang menunjukkan metode pembelajaran yang dilaksanakan sesuai dengan capaian pembelajaran yang direncanakan pada &lt; 25% mata kuliah.</t>
  </si>
  <si>
    <t>Tidak terdapat bukti sahih yang menunjukkan metode pembelajaran yang dilaksanakan sesuai dengan capaian pembelajaran yang direncanakan.</t>
  </si>
  <si>
    <t>Skor = (A + (2 x B) + (2 x C) + (2 x D) + (2 x E)) / 9</t>
  </si>
  <si>
    <t>Pembelajaran yang dilaksanakan dalam bentuk praktikum, praktik studio, praktik bengkel, atau praktik lapangan.</t>
  </si>
  <si>
    <t>C.6.4.e) Monitoring dan Evaluasi Proses Pembelajaran</t>
  </si>
  <si>
    <t>Monitoring dan evaluasi pelaksanaan proses pembelajaran mencakup karakteristik, perencanaan, pelaksanaan, proses pembelajaran dan beban belajar mahasiswa untuk memperoleh capaian pembelajaran lulusan.</t>
  </si>
  <si>
    <t>UPPS memiliki bukti sahih tentang sistem dan pelaksanaan monitoring dan evaluasi proses pembelajaran mencakup karakteristik, perencanaan, pelaksanaan, proses pembelajaran dan beban belajar mahasiswa yang dilaksanakan secara konsisten dan ditindak lanjuti.</t>
  </si>
  <si>
    <t>UPPS memiliki bukti sahih tentang sistem dan pelaksanaan monitoring dan evaluasi proses pembelajaran mencakup karakteristik, perencanaan, pelaksanaan, proses pembelajaran dan beban belajar mahasiswa yang dilaksanakan secara konsisten.</t>
  </si>
  <si>
    <t>UPPS memiliki bukti sahih tentang sistem dan pelaksanaan monitoring dan evaluasi proses pembelajaran mencakup karakteristik, perencanaan, pelaksanaan, proses pembelajaran dan beban belajar mahasiswa.</t>
  </si>
  <si>
    <t>UPPS telah melaksanakan monitoring dan evaluasi proses pembelajaran mencakup karakteristik, perencanaan, pelaksanaan, proses pembelajaran dan beban belajar mahasiswa namun tidak semua didukung bukti sahih.</t>
  </si>
  <si>
    <t>UPPS tidak melaksanakan monitoring dan evaluasi proses pembelajaran mencakup karakteristik, perencanaan, pelaksanaan, proses pembelajaran dan beban belajar mahasiswa.</t>
  </si>
  <si>
    <t>C.6.4.f) Penilaian Pembelajaran</t>
  </si>
  <si>
    <t>A. Mutu pelaksanaan penilaian pembelajaran (proses dan hasil belajar mahasiswa) untuk mengukur ketercapaian capaian pembelajaran berdasarkan prinsip penilaian yang mencakup: 1) edukatif, 2) otentik, 3) objektif, 4) akuntabel, dan 5) transparan, yang dilakukan secara terintegrasi.</t>
  </si>
  <si>
    <t>B. Pelaksanaan penilaian terdiri atas teknik dan instrumen penilaian. 
Teknik penilaian terdiri dari: 1) observasi, 2) partisipasi, 3) unjuk kerja, 4) test tertulis, 5) test lisan, dan 6) angket.
Instrumen penilaian terdiri dari: 1) penilaian proses dalam bentuk rubrik, dan/ atau; 2) penilaian hasil dalam bentuk portofolio, atau 3) karya disain.</t>
  </si>
  <si>
    <t xml:space="preserve">Terdapat bukti sahih yang menunjukkan kesesuaian teknik dan instrumen penilaian terhadap capaian pembelajaran minimum 75% s.d. 100% dari jumlah matakuliah. </t>
  </si>
  <si>
    <t xml:space="preserve">Terdapat bukti sahih yang menunjukkan kesesuaian teknik dan instrumen penilaian terhadap capaian pembelajaran minimum 50 s.d. &lt; 75% dari jumlah matakuliah.  </t>
  </si>
  <si>
    <t xml:space="preserve">Terdapat bukti sahih yang menunjukkan kesesuaian teknik dan instrumen penilaian terhadap capaian pembelajaran yang dinilai minimum 25 s.d. &lt; 50%  dari jumlah matakuliah.  </t>
  </si>
  <si>
    <t xml:space="preserve">Terdapat bukti sahih yang menunjukkan kesesuaian teknik dan instrumen penilaian terhadap capaian pembelajaran yang dinilai &lt; 25% dari jumlah matakuliah.  </t>
  </si>
  <si>
    <t>C. Pelaksanaan penilaian memuat unsur-unsur sebagai berikut: 1) mempunyai kontrak rencana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pengembalian hasil observasi, dan pemberian nilai akhir, 6) pelaporan penilaian berupa kualifikasi keberhasilan mahasiswa dalam menempuh suatu mata kuliah dalam bentuk huruf dan angka, 7) mempunyai bukti-bukti rencana dan telah melakukan proses perbaikan berdasar hasil monev penilaian.</t>
  </si>
  <si>
    <t>C.6.4.g) Integrasi kegiatan penelitian dan PkM dalam pembelajaran</t>
  </si>
  <si>
    <t>MK = Jumlah mata kuliah yang dikembangkan berdasarkan hasil penelitian/PkM DTPS dalam 3 tahun terakhir.</t>
  </si>
  <si>
    <t>Integrasi kegiatan penelitian dan PkM dalam pembelajaran oleh DTPS dalam 3 tahun terakhir.</t>
  </si>
  <si>
    <t>C.6.4.h) Suasana Akademik</t>
  </si>
  <si>
    <t>Keterlaksanaan dan keberkalaan program dan kegiatan diluar kegiatan pembelajaran terstruktur untuk meningkatkan suasana akademik.
Contoh: kegiatan himpunan mahasiswa, kuliah umum/studium generale, seminar ilmiah, bedah buku.</t>
  </si>
  <si>
    <t>Kegiatan ilmiah yang terjadwal dilaksanakan dua s.d tiga bulan sekali.</t>
  </si>
  <si>
    <t>Kegiatan ilmiah yang terjadwal dilaksanakan empat s.d. enam bulan sekali.</t>
  </si>
  <si>
    <t>Kegiatan ilmiah yang terjadwal dilaksanakan lebih dari enam bulan sekali.</t>
  </si>
  <si>
    <t>C.6.4.i) Kepuasan Mahasiswa</t>
  </si>
  <si>
    <t>A. Tingkat kepuasan mahasiswa terhadap proses pendidikan.
Aspek yang diukur: 1) Keandalan (reliability): kemampuan dosen, tenaga kependidikan, dan pengelola dalam memberikan pelayanan; 2) Daya tanggap (responsiveness): kemauan dari dosen, tenaga kependidikan, dan pengelola dalam membantu mahasiswa dan memberikan jasa dengan cepat; 3) Kepastian (assurance): kemampuan dosen, tenaga kependidikan, dan pengelola untuk memberi keyakinan kepada mahasiswa bahwa pelayanan yang diberikan telah sesuai dengan ketentuan; 4) Empati (empathy): kesediaan/kepedulian dosen, tenaga kependidikan, dan pengelola untuk memberi perhatian kepada mahasiswa; dan 5) Tangible: penilaian mahasiswa terhadap kecukupan, aksesibitas, kualitas sarana dan prasarana.</t>
  </si>
  <si>
    <t>B. Analisis dan tindak lanjut dari hasil pengukuran kepuasan mahasiswa.</t>
  </si>
  <si>
    <r>
      <rPr>
        <b/>
        <sz val="11"/>
        <color theme="1"/>
        <rFont val="Calibri"/>
        <family val="2"/>
        <scheme val="minor"/>
      </rPr>
      <t>C.7
Penelitian</t>
    </r>
    <r>
      <rPr>
        <sz val="11"/>
        <color theme="1"/>
        <rFont val="Calibri"/>
        <family val="2"/>
        <scheme val="minor"/>
      </rPr>
      <t xml:space="preserve">
C.7.4
Indikator Kinerja Utama
C.7.4.a)
Relevansi Penelitian
</t>
    </r>
  </si>
  <si>
    <t>UPPS memenuhi 4 unsur relevansi penelitian dosen dan mahasiswa.</t>
  </si>
  <si>
    <t>UPPS memenuhi  unsur 1, 2, dan 3 relevansi penelitian dosen dan mahasiswa.</t>
  </si>
  <si>
    <t>UPPS memenuhi  unsur 1, dan 2 relevansi penelitian dosen dan mahasiswa.</t>
  </si>
  <si>
    <t>UPPS memenuhi  unsur pertama namun penelitian dosen dan mahasiswa tidak sesuai dengan peta jalan.</t>
  </si>
  <si>
    <t>UPPS tidak mempunyai peta jalan penelitian dosen dan mahasiswa.</t>
  </si>
  <si>
    <t>Relevansi penelitian pada UPPS mencakup unsur-unsur sebagai berikut: 
1) memiliki peta jalan yang memayungi tema penelitian dosen dan mahasiswa,
2) dosen dan mahasiswa melaksanakan penelitian sesuai dengan agenda penelitian dosen yang merujuk kepada peta jalan penelitian. 
3) melakukan evaluasi kesesuaian penelitian dosen dan mahasiswa dengan peta jalan, dan 
4) menggunakan hasil evaluasi untuk perbaikan relevansi penelitian dan pengembangan keilmuan program studi.</t>
  </si>
  <si>
    <t>Persentase judul penelitian DTPS yang dalam pelaksanaannya melibatkan mahasiswa program studi dalam 3 tahun terakhir.</t>
  </si>
  <si>
    <t>Penelitian DTPS yang dalam pelaksanaannya melibatkan mahasiswa program studi dalam 3 tahun terakhir.</t>
  </si>
  <si>
    <t>C.7.4.b) Penelitian Dosen dan Mahasiswa</t>
  </si>
  <si>
    <r>
      <t xml:space="preserve">C.8
Pengabdian kepada Masyarakat
</t>
    </r>
    <r>
      <rPr>
        <sz val="11"/>
        <color theme="1"/>
        <rFont val="Calibri"/>
        <family val="2"/>
        <scheme val="minor"/>
      </rPr>
      <t>C.8.4
Indikator Kinerja Utama
C.8.4.a)
Relevansi PkM</t>
    </r>
  </si>
  <si>
    <t>Relevansi PkM pada UPPS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t>
  </si>
  <si>
    <t>UPPS memenuhi 4 unsur relevansi PkM dosen dan mahasiswa.</t>
  </si>
  <si>
    <t>UPPS memenuhi  unsur 1, 2, dan 3 relevansi PkM dosen dan mahasiswa.</t>
  </si>
  <si>
    <t>UPPS memenuhi  unsur 1, dan 2 relevansi PkM dosen dan mahasiswa.</t>
  </si>
  <si>
    <t>UPPS memenuhi  unsur pertama namun PkM dosen dan mahasiswa tidak sesuai dengan peta jalan.</t>
  </si>
  <si>
    <t>UPPS tidak mempunyai peta jalan PkM dosen dan mahasiswa.</t>
  </si>
  <si>
    <t>Persentase judul PkM DTPS yang dalam pelaksanaannya melibatkan mahasiswa program studi dalam 3 tahun terakhir.</t>
  </si>
  <si>
    <t>PkM DTPS yang dalam pelaksanaannya melibatkan mahasiswa program studi dalam 3 tahun terakhir.</t>
  </si>
  <si>
    <t>C.8.4.b) PkM Dosen dan Mahasiswa</t>
  </si>
  <si>
    <r>
      <t xml:space="preserve">C.9
Luaran dan Capaian Tridharma
</t>
    </r>
    <r>
      <rPr>
        <sz val="11"/>
        <color theme="1"/>
        <rFont val="Calibri"/>
        <family val="2"/>
        <scheme val="minor"/>
      </rPr>
      <t>C.9.4 
Indikator Kinerja Utama
C.9.4.a)
Luaran Dharma Pendidikan</t>
    </r>
  </si>
  <si>
    <t>Analisis pemenuhan capaian pembelajaran lulusan (CPL) yang diukur dengan metoda yang sahih dan relevan, mencakup aspek:
1) keserbacakupan, 
2) kedalaman, dan 
3) kebermanfaatan analisis yang ditunjukkan dengan peningkatan CPL dari waktu ke waktu dalam 3 tahun terakhir.</t>
  </si>
  <si>
    <t xml:space="preserve">Analisis capaian pembelajaran lulusan memenuhi 3 aspek. </t>
  </si>
  <si>
    <t xml:space="preserve">Analisis capaian pembelajaran lulusan memenuhi 2 aspek. </t>
  </si>
  <si>
    <t xml:space="preserve">Analisis capaian pembelajaran lulusan memenuhi 1 aspek. </t>
  </si>
  <si>
    <t xml:space="preserve">Analisis capaian pembelajaran lulusan tidak memenuhi ketiga aspek. </t>
  </si>
  <si>
    <t>IPK lulusan.</t>
  </si>
  <si>
    <t>Prestasi mahasiswa di bidang akademik dalam 3 tahun terakhir.</t>
  </si>
  <si>
    <t>Prestasi mahasiswa di bidang nonakademik dalam 3 tahun terakhir.</t>
  </si>
  <si>
    <t>Masa studi.</t>
  </si>
  <si>
    <t>Kelulusan tepat waktu</t>
  </si>
  <si>
    <t>Keberhasilan studi</t>
  </si>
  <si>
    <t xml:space="preserve">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5) hasilnya disosialisasikan dan digunakan untuk pengembangan kurikulum dan pembelajaran. </t>
  </si>
  <si>
    <t>Tracer study yang dilakukan UPPS telah mencakup 5 aspek.</t>
  </si>
  <si>
    <t>Tracer study yang dilakukan UPPS telah mencakup 4 aspek.</t>
  </si>
  <si>
    <t>Tracer study yang dilakukan UPPS telah mencakup 3 aspek.</t>
  </si>
  <si>
    <t>Tracer study yang dilakukan UPPS telah mencakup 2 aspek.</t>
  </si>
  <si>
    <t>UPPS tidak melaksanakan tracer study.</t>
  </si>
  <si>
    <t>STUDI PENELUSURAN LULUSAN</t>
  </si>
  <si>
    <t>STUDI PENELUSURAN LULUSAN
Kesesuaian bidang kerja</t>
  </si>
  <si>
    <t>STUDI PENELUSURAN LULUSAN
Tingkat dan ukuran tempat kerja lulusan</t>
  </si>
  <si>
    <t>STUDI PENELUSURAN LULUSAN
Tingkat kepuasan pengguna lulusan.</t>
  </si>
  <si>
    <t xml:space="preserve">C.9.4.b) Luaran Dharma Penelitian dan PkM </t>
  </si>
  <si>
    <t>Publikasi ilmiah mahasiswa, yang dihasilkan secara mandiri atau bersama DTPS, dengan judul yang relevan dengan bidang program studi dalam 3 tahun terakhir.</t>
  </si>
  <si>
    <t>Luaran penelitian dan PkM yang dihasilkan mahasiswa, baik secara mandiri atau bersama DTPS dalam 3 tahun terakhir.</t>
  </si>
  <si>
    <t>Peringkat</t>
  </si>
  <si>
    <t>TINGKAT
 KEMUNGKINAN</t>
  </si>
  <si>
    <t>SKALA DAMPAK</t>
  </si>
  <si>
    <t>E</t>
  </si>
  <si>
    <t>EKSTREM</t>
  </si>
  <si>
    <t>T</t>
  </si>
  <si>
    <t>TINGGI</t>
  </si>
  <si>
    <t>M</t>
  </si>
  <si>
    <t>MODERAT</t>
  </si>
  <si>
    <t>R</t>
  </si>
  <si>
    <t>RENDAH</t>
  </si>
  <si>
    <t>E.4</t>
  </si>
  <si>
    <t>E.5</t>
  </si>
  <si>
    <t>D.4</t>
  </si>
  <si>
    <t>D.5</t>
  </si>
  <si>
    <t>C.5</t>
  </si>
  <si>
    <t>B.5</t>
  </si>
  <si>
    <t>E.3</t>
  </si>
  <si>
    <t>D.3</t>
  </si>
  <si>
    <t>C.4</t>
  </si>
  <si>
    <t>C.3</t>
  </si>
  <si>
    <t>B.4</t>
  </si>
  <si>
    <t>A.5</t>
  </si>
  <si>
    <t>A.4</t>
  </si>
  <si>
    <t>E.1</t>
  </si>
  <si>
    <t>E.2</t>
  </si>
  <si>
    <t>D.2</t>
  </si>
  <si>
    <t>C.2</t>
  </si>
  <si>
    <t>B.3</t>
  </si>
  <si>
    <t>A.3</t>
  </si>
  <si>
    <t>D.1</t>
  </si>
  <si>
    <t>C.1</t>
  </si>
  <si>
    <t>B.1</t>
  </si>
  <si>
    <t>B.2</t>
  </si>
  <si>
    <t>A.2</t>
  </si>
  <si>
    <t>A.1</t>
  </si>
  <si>
    <t>D</t>
  </si>
  <si>
    <t>Sangat Besar</t>
  </si>
  <si>
    <t>TINGKAT KEMUNGKINAN</t>
  </si>
  <si>
    <t>Besar</t>
  </si>
  <si>
    <t>Kecil</t>
  </si>
  <si>
    <t>Sangat Kecil</t>
  </si>
  <si>
    <t>Tidak Signifikan</t>
  </si>
  <si>
    <t>Minor</t>
  </si>
  <si>
    <t>Medium</t>
  </si>
  <si>
    <t>Signifikan</t>
  </si>
  <si>
    <t>Malapetaka</t>
  </si>
  <si>
    <t>C</t>
  </si>
  <si>
    <t>PETA RISIKO</t>
  </si>
  <si>
    <t>E1</t>
  </si>
  <si>
    <t>E2</t>
  </si>
  <si>
    <t>E3</t>
  </si>
  <si>
    <t>E4</t>
  </si>
  <si>
    <t>E5</t>
  </si>
  <si>
    <t>D1</t>
  </si>
  <si>
    <t>D2</t>
  </si>
  <si>
    <t>D3</t>
  </si>
  <si>
    <t>D4</t>
  </si>
  <si>
    <t>D5</t>
  </si>
  <si>
    <t>C1</t>
  </si>
  <si>
    <t>C2</t>
  </si>
  <si>
    <t>C3</t>
  </si>
  <si>
    <t>C4</t>
  </si>
  <si>
    <t>C5</t>
  </si>
  <si>
    <t>B1</t>
  </si>
  <si>
    <t>B2</t>
  </si>
  <si>
    <t>B3</t>
  </si>
  <si>
    <t>B4</t>
  </si>
  <si>
    <t>B5</t>
  </si>
  <si>
    <t>A1</t>
  </si>
  <si>
    <t>A2</t>
  </si>
  <si>
    <t>A3</t>
  </si>
  <si>
    <t>A4</t>
  </si>
  <si>
    <t>A5</t>
  </si>
  <si>
    <t>LAPORAN EVALUASI DIRI</t>
  </si>
  <si>
    <r>
      <rPr>
        <b/>
        <sz val="12"/>
        <color theme="0"/>
        <rFont val="Calibri"/>
        <family val="2"/>
        <scheme val="minor"/>
      </rPr>
      <t xml:space="preserve">PETUNJUK PENGISIAN: SEL YANG DIISI PRODI HANYA YANG BERWARNA </t>
    </r>
    <r>
      <rPr>
        <b/>
        <sz val="12"/>
        <color rgb="FFFFFF00"/>
        <rFont val="Calibri"/>
        <family val="2"/>
        <scheme val="minor"/>
      </rPr>
      <t>KUNING</t>
    </r>
  </si>
  <si>
    <t>Deskripsi dan penjelasan tentang indikator yang terkait</t>
  </si>
  <si>
    <t>Deskripsi identifikasi risiko tentang indikator yang terkait</t>
  </si>
  <si>
    <t>KERTAS KERJA AUDIT MUTU INTERNAL</t>
  </si>
  <si>
    <t>AUDIT MUTU INTERNAL</t>
  </si>
  <si>
    <t>(1)Analisis SWOT Fakultas/Departemen yang lengkap (identifikasi faktor, penentuan posisi strategis, perumusan rencana strategis)
(2)Rencana stategis fakultas/departemen</t>
  </si>
  <si>
    <t>(1)Perjanjian kerjasama dalam bidang pembelajaran, penelitian dan PkM
(2)Laporan hasil kerjasama dalam bidang pembelajaran, penelitian dan PkM
(3)Dokumen kepuasan mitra kerjasama
(4)Laporan monitoring evaluasi kerjasama dalam bidang pembelajaran, penelitian dan PkM</t>
  </si>
  <si>
    <t>(1)Perjanjian kerjasama atau MoU dalam bidang pembelajaran, penelitian dan PkM
(2)Laporan pelaksanaan atau IA dalam bidang pembelajaran, penelitian dan PkM</t>
  </si>
  <si>
    <t>(1)Standar tambahan
(2)Indikator kinerja tambahan
(3)Laporan monev ketercapaian indikator kinerja tambahan</t>
  </si>
  <si>
    <t>(1)Laporan evaluasi diri fakultas/departemen dan program studi
(2)Laporan pelaksanaan RTm fakultas/departemen</t>
  </si>
  <si>
    <t>(1)SK UPMF dan GPM
(2)Dokumen SPMI Universitas
(3)Dokumen SPMI Fakultas/Departemen
(4)Laporan tahunan LPM
(5)Laporan tahunan UPMF
(6)Laporan AMI
(7)Laporan RTM Fakultas
(8)Laporan RTM universitas
(9)BA RTM Fakultas
(10)BA RTM Universitas
(11)Laporan kegiatan bencmarking</t>
  </si>
  <si>
    <t>(1)Instrumen survei kepuasan stakehoder terhadap layanan manajemen fakultas
(2)Hasil uji instrumen survei kepuasan stakehoder terhadap layanan manajemen fakultas
(3)Laporan survei kepuasan stakehoder terhadap layanan manajemen fakultas
(4)BA dan notulen rapat tindak lanjut hasil survei kepuasan stakehoder terhadap layanan manajemen fakultas
(5)Bukti publikasi hasil survei kepuasan stakehoder terhadap layanan manajemen fakultas</t>
  </si>
  <si>
    <t>(1)Daftar penerimaan mahasiswa baru</t>
  </si>
  <si>
    <t>(1)Data mahasiswa asing</t>
  </si>
  <si>
    <t>(1)Dokumen rencana pelaksanaan kegiatan layanan kemahasiswaan
(2)Prosedur penyelenggaraan kegiatan layanan kemahasiswaan
(3)Laporan kegiatan layanan kemahasiswaan</t>
  </si>
  <si>
    <t>(1)Hasil survey layanan kemahasiswaan
(2)Daftar pengguna layanan kemahasiswaan
(3)Bukti komplain terhadap layanan kemahasiswaan</t>
  </si>
  <si>
    <t>(1)Data dosen tetap dan tidak tetap
(2)Ijazah dosen tetap dan tidak tetap
(3)SK Jafa dosen tetap dan tidak tetap
(4)Sertifikat pendidik dosen tetap dan tidak tetap</t>
  </si>
  <si>
    <t>(1)Data jumlah dosen program studi
(2)Data jumlah mahasiswa program studi</t>
  </si>
  <si>
    <t>(1)SK pembimbing TA</t>
  </si>
  <si>
    <t>(1)Laporan BKD</t>
  </si>
  <si>
    <t>(1)Data dosen tetap
(2)Ijazah dosen tetap
(3)SK Jafa dosen tetap
(4)Sertifikat pendidik dosen tetap</t>
  </si>
  <si>
    <t>(1)Data dosen tidak tetap
(2)Ijazah dosen tidak tetap
(3)SK Jafa dosen tidak tetap
(4)Sertifikat pendidik dosen tidak tetap</t>
  </si>
  <si>
    <t>(1)Rekap rekognisi dosen
(2)Bukti rekognisi dosen</t>
  </si>
  <si>
    <t>(1)Rekap penelitian DTPS
(2)Bukti sumber dana penelitian DTPS</t>
  </si>
  <si>
    <t>(1)Rekap PkM DTPS
(2)Bukti sumber dana PkM DTPS</t>
  </si>
  <si>
    <t>(1)Rekap publikasi DTPS
(2)Bukti publikasi DTPS</t>
  </si>
  <si>
    <t>(1)Rekap sitasi dosen
(2)Bukti sitasi dosen</t>
  </si>
  <si>
    <t>(1)Rekap luaran penelitian dan PkM DTPS
(2)Bukti luaran penelitian dan PkM DTPS</t>
  </si>
  <si>
    <t>(1)Rencana pengembangan dosen program studi
(2)Bukti kegiatan pengembangan dosen, termasuk SK studi lanjut
(3)Peraturan kepegawaian UKSW
(4)Dokumen standar dan prosedur rekrutmen, seleksi, penempatan, retensi, pengembangan, pemberhentian, dan pensiun</t>
  </si>
  <si>
    <t>(1)Data tenaga non akademik
(2)Ijazah dan sertifikat tenaga non akademik
(3)Laporan evaluasi kinerja pegawai</t>
  </si>
  <si>
    <t>(1)Data tenaga laboran
(2)Ijazah dan sertifikat tenaga laboran
(3)Laporan evaluasi kinerja pegawai</t>
  </si>
  <si>
    <t>(1)Data mahasiswa 3 tahun terakhir
(2)Data realisasi keuangan 3 tahun terakhir</t>
  </si>
  <si>
    <t>(1)Rekap penelitian DTPS 3 tahun terakhir
(2)Bukti sumber dana penelitian DTPS 3 tahun terakhir</t>
  </si>
  <si>
    <t>(1)Rekap PkM DTPS 3 tahun terakhir
(2)Bukti sumber dana PkM DTPS 3 tahun terakhir</t>
  </si>
  <si>
    <t>(1)Renstra fakultas/departemen dan program studi
(2)Rencana operasional fakultas/departemen dan program studi 3 tahun terakhir
(3)Laporan kinerja program studi dan fakultas 3 tahun terakhir
(4)Bukti realisasi investasi bidang SDM, sarana dan prasarana (Laporan keuangan atau bukti rekap dari SIKASA)</t>
  </si>
  <si>
    <t>(1)Rencana strategis fakultas/departemen
(2)Rencana operasional program studi 3 tahun terakhir
(3)Realisasi anggaran 3 tahun terakhir
(4)Laporan kinerja fakultas/departemen dan program studi 3 tahun terakhir</t>
  </si>
  <si>
    <t>(1)Laporan kegiatan pemuthakiran kurikulum
(2)Dokumentasi kegiatan pemutakhiran kurikulum (penjaringan aspirasi stakeholder internal dan eksternal: daftar hadir, undangan rapat, foto, berita acara)
(3)BA Review kurikulum</t>
  </si>
  <si>
    <t>(1)Kurikulum prodi yang disahkan melalui SK Rektor
(2)Dokumen kesepakatan/keputusan asosiasi terkait dengan profil lulusan</t>
  </si>
  <si>
    <t xml:space="preserve">(1)Kurikulum prodi yang disahkan melalui SK Rektor
(2)Bukti kerjasama kegiatan akademik dengan lembaga internasional </t>
  </si>
  <si>
    <t>(1)RPS
(2)Presensi yang berisi : RPS, Daftar hadir mahasiswa dan dosen, CP, berita acara pembelajaran, serta pengesahan kaprodi
(3)Laporan monev pembelajaran
(4)Laporan Evaluasi ketercapaian capaian pembelajaran</t>
  </si>
  <si>
    <t>(1)RPS semua MK prodi yang disahkan pejabat terkait
(2)Laporan pemutakhiran RPS
(3)Bukti publikasi RPS ke mahasiswa
(4)Laporan Monev RPS Fakultas/Departemen dan program studi</t>
  </si>
  <si>
    <t>(1)Materi pembelajaran (Modul, Slide, Media, dll)
(2)Instrumen evaluasi
(3)Produk MK (Makalah, paper, dll)
(4)Petunjuk praktikum
(5)RPS semua MK prodi</t>
  </si>
  <si>
    <t>(1)Panduan pelaksanaan pembelajaran
(2)Panduan penggunaan F-Learn
(3)Bukti penggunaan F-Learn oleh program studi</t>
  </si>
  <si>
    <t>(1)RPS semua MK prodi
(2)Laporan monev pembelajaran
(3)Presensi yang berisi : RPS, Daftar hadir mahasiswa dan dosen, CP, berita acara pembelajaran, serta pengesahan kaprodi
(4)Laporan Monev RPS fakultas/departemen dan program studi</t>
  </si>
  <si>
    <t>(1)Kurikulum program studi
(2)Modul praktikum
(3)Laporan praktikum mahasiswa</t>
  </si>
  <si>
    <t>(1)Instrumen monev pembelajaran
(2)Laporan monev pembelajaran</t>
  </si>
  <si>
    <t>(1)Pedoman penilaian pembelajaran
(2)Laporan monev pembelajaran
(3)Fomulir input nilai
(4)Formulir perubahan nilai
(5)Bukti transparansi penilaian</t>
  </si>
  <si>
    <t>(1)Pedoman penilaian pembelajaran
(2)Laporan monev pembelajaran
(3)Fomulir input nilai
(4)Formulir perubahan nilai
(5)Bukti transparansi penilaian
(6)Instrumen penilaian pembelajaran
(7)Bukti keberadaan bank soal</t>
  </si>
  <si>
    <t>(1)RPS
(2)Pedoman penilaian pembelajaran
(3)Laporan mengajar dosen
(4)Formulir input nilau
(5)Formulir perubahan nilai
(6)Bukti transparansi nilai</t>
  </si>
  <si>
    <t>(1)Standar integrasi penilitian dan PkM ke Pembelajaran
(2)Pedoman teknis pelaksanaan integrasi penelitian dan PkM ke dalam Pembelajaran
(3)Laporan integrasi penelitian dan PkM ke dalam Pembelajaran</t>
  </si>
  <si>
    <t>(1)Rencana operasional fakultas/departemen dan program studi
(2)Rencana kegiatan LK fakultas dan program studi
(3)Laporan pelaksanaan kegiatan fakultas/departemen dan program studi
(4)Laporan pelaksanaan kegiatan LK fakultas/departemen dan program studi</t>
  </si>
  <si>
    <t>(1)Instrumen Survey Kepuasan Mahasiswa terhadap Layanan Pembelajaran
(2)Hasil uji instrumen Survey Kepuasan Mahasiswa terhadap Layanan Pembelajaran
(3)Laporan Survey Kepuasan Mahasiswa terhadap Layanan Pembelajaran</t>
  </si>
  <si>
    <t>(1)Laporan Survey Kepuasan Mahasiswa terhadap Layanan Pembelajaran
(2)BA dan notulen rapat tindak lanjut hasil Survey Kepuasan Mahasiswa terhadap Layanan Pembelajaran</t>
  </si>
  <si>
    <t>(1)Peta jalan penelitian fakultas/departemen dan program studi.
(2)Rekap dan bukti Laporan penelitian DTPS
(3)Laporan monev peta jalan penelitian
(4)BA dan notulen rapat tindak lanjut hasil monev peta jalan penelitian.</t>
  </si>
  <si>
    <t>(1)Rekap penelitian dosen bersama mahasiswa
(2)Bukti laporan penelitian dosen bersama mahasiswa</t>
  </si>
  <si>
    <t>(1)Peta jalan PkM fakultas/departemen dan program studi.
(2)Rekap dan bukti Laporan PkM DTPS
(3)Laporan monev peta jalan PkM
(4)BA dan notulen rapat tindak lanjut hasil monev peta jalan PkM.</t>
  </si>
  <si>
    <t>(1)Rekap PkM dosen bersama mahasiswa
(2)Bukti laporan PkM dosen bersama mahasiswa</t>
  </si>
  <si>
    <t>(1)Instrumen evaluasi CP
(2)Laporan evaluasi CP
(3)Hasil survey kepuasan pengguna lulusan</t>
  </si>
  <si>
    <t>(1)Data IPK lulusan</t>
  </si>
  <si>
    <t>(1)Rekap non prestasi akademik mahasiswa
(2)Bukti prestasi non akademik mahasiswa</t>
  </si>
  <si>
    <t>(1)Rekap prestasi akademik mahasiswa
(2)Bukti prestasi akademik mahasiswa</t>
  </si>
  <si>
    <t>(1)Data jumlah lulusan 6 tahun terakhir
(2)Data masa studi lulusan 6 tahun terakhir</t>
  </si>
  <si>
    <t>(1)Data mahasiswa baru 6 tahun terakhir
(2)Data lulusan 6 tahun terakhir</t>
  </si>
  <si>
    <t>(1)Data mahasiswa aktif
(2)Data mahasiswa DO
(3)Data mahasiswa mengundurkan diri
(4)Data lulusan</t>
  </si>
  <si>
    <t>(1)Instrument tracer study
(2)Laporan uji instrumen tracer study
(3)Data lulusan
(4)Laporan tracer study
(5)Bukti pelibatan hasil tracer study dalam pengembangan kurikulum</t>
  </si>
  <si>
    <t>(1)Data lulusan 4 tahun terakhir
(2)Data waktu tunggu lulusan</t>
  </si>
  <si>
    <t>(1)Data lulusan 4 tahun terakhir
(2)Data jenis pekerjaan lulusan</t>
  </si>
  <si>
    <t>(1)Instrumen survey kepuasan pengguna alumni
(2)Laporan uji instrumen survey kepuasan pengguna alumni
(3)Laporan survey kepuasan pengguna alumni</t>
  </si>
  <si>
    <t>(1)Data jumlah mahasiswa aktif
(2)Rekap publikasi mahasiswa, baik mandiri atau bersama dosen
(3)Bukti publikasi mahasiswa, baik mandiri atau bersama dosen</t>
  </si>
  <si>
    <t>(1)Data jumlah mahasiswa aktif
(2)Rekap luaran penelitian dan PkM mahasiswa, baik mandiri atau bersama dosen
(3)Bukti luaran penelitian dan PkM mahasiswa, baik mandiri atau bersama dosen</t>
  </si>
  <si>
    <t>(1)Laporan kinerja tahunan fakultas/departemen dan program studi
(2)Bukti publikasi laporan kinerja tahunan fakultas/departemen dan program studi</t>
  </si>
  <si>
    <t>(1) Laporan yang berisi analisis internal dan eksternal Fakultas/Departemen yang lengkap (identifikasi faktor, penentuan posisi strategis, perumusan strategi dan arah pengembangan strategik) bisa menggunakan Analisis SWOT dan/atau analisis lainnya.
(2) Rencana stategis fakultas/ departemen yang disahkan dengan SK Rektor.</t>
  </si>
  <si>
    <t>(1)Profil/Katalog fakultas/departemen yang berisi antara lain visi dan misi, dosen, kurikulum, kegiatan kemahasiswaan, kegiatan akademik dan kegiatan pendukung lainnya dalam bentuk softcopy maupun hardcopy.
(2)Profil/Katalog program studi yang berisi antara lain visi dan misi, dosen, kurikulum, kegiatan kemahasiswaan, kegiatan akademik dan kegiatan pendukung lainnya dalam bentuk softcopy maupun hardcopy.
(3) Bukti kerjasama dengan asosiasi/profesi yang terkait dengan program studi/fakultas/departemen.</t>
  </si>
  <si>
    <t>(1) SK Satgas penyusunan/review VMTS
(2) Laporan penyusunan VMTS fakultas/departemen yang memuat latar belakang, tujuan, rasional, mekanisme dan kesesuaian dengan VMTS UKSW
(3) SK Pengesahan VMTS fakultas/departemen dan program studi yang menunjukkan keunikan program studi
(4) Dokumen perumusan capaian pembelajaran dan peta kurikulum yang menunjukkan kesesuaian dengan keunikan program studi
(5) Dokumen SPMI Fakultas dan Universitas
(6) Renstra/Road Map/Peta  riset dan pengabdian masyarakat yang menunjukkan kesesuaian dengan VMTS program studi</t>
  </si>
  <si>
    <t>(1) Standar VMTS fakultas/departemen
(2) Prosedur (SOP) penyusunan dan pengkajian VMTS
(3) Laporan penyusunan VMTS yang memuat pelibatan pemangku kepentingan internal dan eksternal
(4) Berita acara/dokumentasi/notulen keterlibatan pihak internal (dosen, tendik dan pejabat struktural) dalam rapat dengan agenda penyusunan/review VMTS, serta pihak eksternal (alumni, pengguna, asosiasi, pakar, industri/organisasi) yang sesuai dengan bidang ilmu.</t>
  </si>
  <si>
    <t xml:space="preserve">(1) Laporan yang berisi analisis internal dan eksternal Fakultas/Departemen yang lengkap (identifikasi faktor, penentuan posisi strategis, perumusan strategi dan arah pengembangan strategik) bisa menggunakan Analisis SWOT dan/atau analisis lainnya.
(2) Rencana strategis fakultas/departemen yang disahkan dengan SK Rektor.
(3) Rencana operasional fakultas/departemen yang disahkan oleh Rektor/Dekan.
(4) Laporan Evaluasi Diri (laporan Dies/laporan Raker) tahunan fakultas/departemen. </t>
  </si>
  <si>
    <t>(1) Struktur organisasi fakultas/departemen yang lengkap dengan SK pengesahan dan tupoksinya
(2) Laporan tahunan unit-unit dalam fakultas/departemen, Laporan korbidkem, Laporan Satgas, Laporan Pusat Studi di bawah fakultas/departemen.</t>
  </si>
  <si>
    <t>B. Perwujudan good governance dan pemenuhan lima pilar sistem tata pamong, yang mencakup:
1) Kredibel
2) Transparan
3) Akuntabel
4) Bertanggung jawab
5) Adil.</t>
  </si>
  <si>
    <t>(1) Bukti karakter kepemimpinan operasional pimpinan fakultas/departemen (Bukti koordinasi pimpinan fakultas/departemen dengan unit-unit internal UKSW)
(2) Bukti karakter kepemimpinan organisasional pimpinan fakultas/departemen (SK Rektor tentang Struktur Organisasi Fakultas)
(3) Bukti karakter kepemimpinan publik pimpinan fakultas/departemen (SK Pengurus Asosiasi/Organisasi di level lokal,nasional dan internasional, Surat tugas dari pimpinan atas keterlibatan di organisasi publik)</t>
  </si>
  <si>
    <t>(1) Rencana strategis fakultas/departemen yang disahkan oleh Rektor.
(2) Rencana operasional fakultas/departemen yang disahkan oleh Rektor/Dekan.
(3) SK penempatan dosen
(4) SK penempatan tendik
(5) Peraturan Kepegawaian
(6) Laporan tahunan fakultas/departemen
(7) Laporan pelaksanaan kegiatan fakultas/departemen
(8) Arsip Notulen Rapat, Seminar, Workshop dan Kegiatan Akademik lainnya.
(9) Arsip berita acara
(10) Arsip SK dekan
(11) Bukti-bukti penyelesaian masalah
(12) Bukti-bukti inovasi fakultas/departemen
(13) Laporan AMI
(14) Laporan UPMF
(15) Laporan pelaksanaan RTM fakultas/departemen</t>
  </si>
  <si>
    <t xml:space="preserve">B. Kapabilitas pimpinan UPPS, mencakup aspek: 
1) perencanaan, 
2) pengorganisasian, 
3) penempatan personel, 
4) pelaksanaan, 
5) pengendalian dan pengawasan, dan 
6) pelaporan yang menjadi dasar tindak lanjut. </t>
  </si>
  <si>
    <t>(1) Bukti penerapan pilar kredibel pada pengelolaan fakultas/departemen (Statuta, SK Rektor tentang pengangkatan pejabat dibawah Rektor)
(2) Bukti penerapan pilar transparan pada pengelolaan fakultas/departemen (semua sistem informasi yang digunakan dan dapat diakses oleh fakultas contoh SIASAT, SIKASA)
(3) Bukti penerapan pilar akuntabel pada pengelolaan fakultas/departemen (Laporan BKD, Laporan Yudisium, Laporan Evaluasi Diri Fakultas, Laporan Dies, Laporan AMI, Laporan UPMF Laporan Korbidkem, dll)
(4) Bukti penerapan pilar bertanggung jawab pada pengelolaan fakultas/departemen (Laporan Monev UPMF, Laporan DP3, dll)
(5) Bukti penerapan pilar adil pada pengelolaan fakultas/departemen (Informasi Beasiswa, Informasi Studi Lanjut, Informasi Hibah, Peraturan Studi Lanjut, Sarpras untuk penyandang disabilitas, Peraturan Admisi Mahasiswa, Peraturan Akademik, Kebijakan Dispensasi, SK Rektor tentang Insentif Publikasi, dll)</t>
  </si>
  <si>
    <t>Nama Auditor Mutu Internal:</t>
  </si>
  <si>
    <t>DESKRIPSI TEMUAN AUDITOR MUTU INTERNAL</t>
  </si>
  <si>
    <t>REKOMENDASI AUDITOR MUTU INTERNAL</t>
  </si>
  <si>
    <t>SKOR AUDITOR MUTU</t>
  </si>
  <si>
    <t>Deskripsi temuan auditor mutu internal tentang indikator yang terkait</t>
  </si>
  <si>
    <t>Rekomendasi auditor mutu internal berkaitan dengan hasil temuan</t>
  </si>
  <si>
    <t>Prodi A</t>
  </si>
  <si>
    <t>Jumlah dosen tetap yang terlibat dalam penyelenggaraan pendidikan (NDT)</t>
  </si>
  <si>
    <t>Jumlah dosen pengampu matakuliah inti program studi (NDTPS)</t>
  </si>
  <si>
    <t>Dosen DTPS berpendidikan S3</t>
  </si>
  <si>
    <t>Dosen DTPS berjafa GB</t>
  </si>
  <si>
    <t>Dosen DTPS berjafa LK</t>
  </si>
  <si>
    <t>Dosen DTPS berjafa L</t>
  </si>
  <si>
    <t>Dosen DTPS yang memiliki sertifikat kompetensi/ profesi/ industri.</t>
  </si>
  <si>
    <t>Tabel 1 Jumlah Kerjasama Tridharma</t>
  </si>
  <si>
    <t>Tabel 2  Seleksi Mahasiswa Baru</t>
  </si>
  <si>
    <t>Tabel 3 Jumlah Mahasiswa Asing</t>
  </si>
  <si>
    <t>Tabel 4 Jumlah Kegiatan Nonkurikuler Mahasiswa</t>
  </si>
  <si>
    <t>Tabel 7 Keuangan, Sarana dan Prasarana</t>
  </si>
  <si>
    <t>Tabel 8 Jumlah Penelitian berdasarkan Sumber Pendanaannya</t>
  </si>
  <si>
    <t>Tabel 9 Jumlah PkM berdasarkan Sumber Pendanaannya</t>
  </si>
  <si>
    <t>Tabel 10 Jumlah Publikasi Ilmiah DTPS</t>
  </si>
  <si>
    <t xml:space="preserve">Tabel 11 Jumlah Karya ilmiah DTPS yang disitasi </t>
  </si>
  <si>
    <t>Tabel 12 Jumlah Luaran Penelitian dan PkM DTPS</t>
  </si>
  <si>
    <t xml:space="preserve">Tabel 13 Jam Praktikum, Praktik Studio, Praktik Bengkel, atau Praktik Lapangan </t>
  </si>
  <si>
    <t>Tabel 14 Hasil Survei Kepuasan Mahasiswa Terhadap Proses Pendidikan</t>
  </si>
  <si>
    <t>Tabel 15 Jumlah Penelitian dan PKM DTPS yang Melibatkan Mahasiswa</t>
  </si>
  <si>
    <t>Tabel 16 IPK Lulusan</t>
  </si>
  <si>
    <t>Tabel 17 Jumlah Prestasi Akademik</t>
  </si>
  <si>
    <t>Tabel 18 Jumlah Prestasi Non Akademik</t>
  </si>
  <si>
    <t>Tabel 19 Masa Studi Lulusan</t>
  </si>
  <si>
    <t>Tabel 20 Waktu Tunggu Lulusan</t>
  </si>
  <si>
    <t>Tabel 21 Kesesuaian Bidang Kerja Lulusan</t>
  </si>
  <si>
    <t>Tabel 22 Tempat Kerja Lulusan</t>
  </si>
  <si>
    <t>Tabel 23 Hasil Survei Kepuasan Pengguna Lulusan</t>
  </si>
  <si>
    <t>Tabel 24 Publikasi Ilmiah Mahasiswa</t>
  </si>
  <si>
    <t>Tabel 25 Luaran Penelitian dan PkM Mahasiswa</t>
  </si>
  <si>
    <t>Tabel 5 Jumlah Dosen Tetap Program Studi (TS)</t>
  </si>
  <si>
    <t>Jumlah Rekognisi DTPS dalam 3 tahun terakhir (dihitung per DTPS, bisa memilih salah satu)</t>
  </si>
  <si>
    <t>Tabel 6 Dosen Pembimbing Utama Tugas Akhir (TS)</t>
  </si>
  <si>
    <t>Dosen pembimbing utama pada saat TS</t>
  </si>
  <si>
    <t>Mahasiswa bimbingan pada saat TS</t>
  </si>
  <si>
    <t>Total dana operasional pendidikan dalam 3 tahun terakhir (dlm juta)</t>
  </si>
  <si>
    <t>Total perolehan dana penelitian dalam 3 tahun terakhir (dalam juta)</t>
  </si>
  <si>
    <t>Total perolehan dana PkM dala 3 tahun terakhir (dalam juta)</t>
  </si>
  <si>
    <t>(1)Data pendaftar
(2)Data peserta seleksi mahasiswa baru
(3)Data hasil seleksi mahasiswa baru
(4) Dokumen kebijakan, standar, prosedur penerimaan mahasiswa baru</t>
  </si>
  <si>
    <t>Karya ilmiah DTPS yang disitasi dalam 3 tahun terakhir</t>
  </si>
  <si>
    <t>Kecukupan jumlah DTPS.</t>
  </si>
  <si>
    <t>NDTPS = Jumlah dosen tetap yang ditugaskan sebagai pengampu mata kuliah dengan bidang keahlian yang sesuai dengan kompetensi inti program studi yang diakreditasi.</t>
  </si>
  <si>
    <r>
      <t xml:space="preserve">PETUNJUK PENGISIAN: SEL YANG DIISI PRODI HANYA YANG BERWARNA </t>
    </r>
    <r>
      <rPr>
        <b/>
        <sz val="12"/>
        <color rgb="FFFFFF00"/>
        <rFont val="Calibri"/>
        <family val="2"/>
        <scheme val="minor"/>
      </rPr>
      <t>KUNING</t>
    </r>
    <r>
      <rPr>
        <b/>
        <sz val="12"/>
        <color theme="0"/>
        <rFont val="Calibri"/>
        <family val="2"/>
        <scheme val="minor"/>
      </rPr>
      <t xml:space="preserve">, SEL YANG DIISI AUDITOR MUTU INTERNAL HANYA YANG BERWARNA </t>
    </r>
    <r>
      <rPr>
        <b/>
        <sz val="12"/>
        <color rgb="FF00B0F0"/>
        <rFont val="Calibri"/>
        <family val="2"/>
        <scheme val="minor"/>
      </rPr>
      <t>BIRU</t>
    </r>
  </si>
  <si>
    <t>Nama UPPS :</t>
  </si>
  <si>
    <t>Fakultas/Departemen A</t>
  </si>
  <si>
    <t>deskripsi test</t>
  </si>
  <si>
    <t>rekomendasi test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</si>
</sst>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_(* #,##0_);_(* \(#,##0\);_(* &quot;-&quot;_);_(@_)"/>
    <numFmt numFmtId="165" formatCode="_(* #,##0.00_);_(* \(#,##0.00\);_(* &quot;-&quot;??_);_(@_)"/>
    <numFmt numFmtId="166" formatCode="[$-409]d\-mmm\-yyyy;@"/>
    <numFmt numFmtId="167" formatCode="0.0"/>
  </numFmts>
  <fonts count="36"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b/>
      <sz val="12"/>
      <color rgb="FFFFFF00"/>
      <name val="Calibri"/>
      <family val="2"/>
      <scheme val="minor"/>
    </font>
    <font>
      <b/>
      <sz val="11"/>
      <name val="Calibri"/>
      <family val="2"/>
      <scheme val="minor"/>
    </font>
    <font>
      <sz val="11"/>
      <color theme="1"/>
      <name val="Calibri"/>
      <family val="2"/>
      <scheme val="minor"/>
    </font>
    <font>
      <b/>
      <sz val="11"/>
      <color indexed="8"/>
      <name val="Calibri"/>
      <family val="2"/>
      <scheme val="minor"/>
    </font>
    <font>
      <b/>
      <u/>
      <sz val="11"/>
      <color indexed="8"/>
      <name val="Calibri"/>
      <family val="2"/>
      <scheme val="minor"/>
    </font>
    <font>
      <sz val="11"/>
      <color indexed="8"/>
      <name val="Calibri"/>
      <family val="2"/>
      <scheme val="minor"/>
    </font>
    <font>
      <b/>
      <sz val="10"/>
      <color indexed="8"/>
      <name val="Calibri"/>
      <family val="2"/>
      <scheme val="minor"/>
    </font>
    <font>
      <sz val="10"/>
      <color theme="1"/>
      <name val="Calibri"/>
      <family val="2"/>
      <scheme val="minor"/>
    </font>
    <font>
      <sz val="9"/>
      <name val="Calibri"/>
      <family val="2"/>
      <scheme val="minor"/>
    </font>
    <font>
      <b/>
      <sz val="9"/>
      <name val="Calibri"/>
      <family val="2"/>
      <scheme val="minor"/>
    </font>
    <font>
      <sz val="9"/>
      <color indexed="8"/>
      <name val="Calibri"/>
      <family val="2"/>
      <scheme val="minor"/>
    </font>
    <font>
      <sz val="9"/>
      <color theme="1"/>
      <name val="Calibri"/>
      <family val="2"/>
      <scheme val="minor"/>
    </font>
    <font>
      <b/>
      <sz val="9"/>
      <color theme="1"/>
      <name val="Calibri"/>
      <family val="2"/>
      <scheme val="minor"/>
    </font>
    <font>
      <b/>
      <sz val="9"/>
      <color rgb="FF000000"/>
      <name val="Calibri"/>
      <family val="2"/>
      <scheme val="minor"/>
    </font>
    <font>
      <sz val="9"/>
      <color rgb="FF000000"/>
      <name val="Calibri"/>
      <family val="2"/>
      <scheme val="minor"/>
    </font>
    <font>
      <sz val="12"/>
      <color theme="1"/>
      <name val="Calibri"/>
      <family val="2"/>
      <scheme val="minor"/>
    </font>
    <font>
      <u/>
      <sz val="11"/>
      <color theme="10"/>
      <name val="Calibri"/>
      <family val="2"/>
    </font>
    <font>
      <vertAlign val="subscript"/>
      <sz val="11"/>
      <color theme="1"/>
      <name val="Calibri"/>
      <family val="2"/>
      <scheme val="minor"/>
    </font>
    <font>
      <sz val="11"/>
      <color theme="0"/>
      <name val="Calibri"/>
      <family val="2"/>
      <scheme val="minor"/>
    </font>
    <font>
      <sz val="11"/>
      <color theme="0"/>
      <name val="Calibri"/>
      <family val="2"/>
    </font>
    <font>
      <b/>
      <vertAlign val="superscript"/>
      <sz val="11"/>
      <color theme="1"/>
      <name val="Calibri"/>
      <family val="2"/>
      <scheme val="minor"/>
    </font>
    <font>
      <b/>
      <sz val="16"/>
      <color theme="1"/>
      <name val="Calibri"/>
      <family val="2"/>
      <scheme val="minor"/>
    </font>
    <font>
      <vertAlign val="subscript"/>
      <sz val="11"/>
      <color rgb="FF000000"/>
      <name val="Calibri"/>
      <family val="2"/>
      <scheme val="minor"/>
    </font>
    <font>
      <sz val="11"/>
      <name val="Calibri"/>
      <family val="2"/>
      <scheme val="minor"/>
    </font>
    <font>
      <vertAlign val="subscript"/>
      <sz val="11"/>
      <name val="Calibri"/>
      <family val="2"/>
      <scheme val="minor"/>
    </font>
    <font>
      <b/>
      <u/>
      <sz val="11"/>
      <color theme="1"/>
      <name val="Calibri"/>
      <family val="2"/>
      <scheme val="minor"/>
    </font>
    <font>
      <u/>
      <sz val="11"/>
      <color theme="1"/>
      <name val="Calibri"/>
      <family val="2"/>
      <scheme val="minor"/>
    </font>
    <font>
      <i/>
      <sz val="11"/>
      <color rgb="FF000000"/>
      <name val="Calibri"/>
      <family val="2"/>
      <scheme val="minor"/>
    </font>
    <font>
      <sz val="11"/>
      <color rgb="FF000000"/>
      <name val="Calibri"/>
      <family val="2"/>
      <scheme val="minor"/>
    </font>
    <font>
      <u/>
      <sz val="11"/>
      <color indexed="8"/>
      <name val="Calibri"/>
      <family val="2"/>
      <scheme val="minor"/>
    </font>
    <font>
      <b/>
      <sz val="12"/>
      <color rgb="FF00B0F0"/>
      <name val="Calibri"/>
      <family val="2"/>
      <scheme val="minor"/>
    </font>
  </fonts>
  <fills count="22">
    <fill>
      <patternFill patternType="none"/>
    </fill>
    <fill>
      <patternFill patternType="gray125"/>
    </fill>
    <fill>
      <patternFill patternType="solid">
        <fgColor theme="9"/>
        <bgColor indexed="64"/>
      </patternFill>
    </fill>
    <fill>
      <patternFill patternType="solid">
        <fgColor rgb="FF00B05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00B0F0"/>
        <bgColor indexed="64"/>
      </patternFill>
    </fill>
    <fill>
      <patternFill patternType="solid">
        <fgColor rgb="FF0070C0"/>
        <bgColor indexed="64"/>
      </patternFill>
    </fill>
    <fill>
      <patternFill patternType="solid">
        <fgColor theme="0" tint="-0.249977111117893"/>
        <bgColor indexed="64"/>
      </patternFill>
    </fill>
    <fill>
      <patternFill patternType="solid">
        <fgColor rgb="FFFFFFFF"/>
        <bgColor indexed="64"/>
      </patternFill>
    </fill>
    <fill>
      <patternFill patternType="solid">
        <fgColor theme="1"/>
        <bgColor indexed="64"/>
      </patternFill>
    </fill>
    <fill>
      <patternFill patternType="solid">
        <fgColor theme="3" tint="0.59999389629810485"/>
        <bgColor indexed="64"/>
      </patternFill>
    </fill>
    <fill>
      <patternFill patternType="solid">
        <fgColor rgb="FFD9D9D9"/>
        <bgColor indexed="64"/>
      </patternFill>
    </fill>
    <fill>
      <patternFill patternType="solid">
        <fgColor rgb="FFBFBFBF"/>
        <bgColor rgb="FFFFFFFF"/>
      </patternFill>
    </fill>
    <fill>
      <patternFill patternType="solid">
        <fgColor theme="1"/>
        <bgColor rgb="FFFFFFFF"/>
      </patternFill>
    </fill>
    <fill>
      <patternFill patternType="solid">
        <fgColor theme="0"/>
        <bgColor indexed="64"/>
      </patternFill>
    </fill>
    <fill>
      <patternFill patternType="solid">
        <fgColor theme="0" tint="-0.249977111117893"/>
        <bgColor rgb="FFFFFFFF"/>
      </patternFill>
    </fill>
    <fill>
      <patternFill patternType="solid">
        <fgColor rgb="FF92D050"/>
        <bgColor indexed="64"/>
      </patternFill>
    </fill>
    <fill>
      <patternFill patternType="solid">
        <fgColor rgb="FFFF0000"/>
        <bgColor indexed="64"/>
      </patternFill>
    </fill>
    <fill>
      <patternFill patternType="solid">
        <fgColor rgb="FFCCFFFF"/>
        <bgColor indexed="64"/>
      </patternFill>
    </fill>
    <fill>
      <patternFill patternType="solid">
        <fgColor rgb="FF66FF66"/>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right style="medium">
        <color rgb="FF000000"/>
      </right>
      <top/>
      <bottom style="thin">
        <color rgb="FF000000"/>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top style="thin">
        <color indexed="64"/>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7">
    <xf numFmtId="0" fontId="0" fillId="0" borderId="0"/>
    <xf numFmtId="164"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21" fillId="0" borderId="0" applyNumberFormat="0" applyFill="0" applyBorder="0" applyAlignment="0" applyProtection="0">
      <alignment vertical="top"/>
      <protection locked="0"/>
    </xf>
    <xf numFmtId="9" fontId="7" fillId="0" borderId="0" applyFont="0" applyFill="0" applyBorder="0" applyAlignment="0" applyProtection="0"/>
    <xf numFmtId="165" fontId="7" fillId="0" borderId="0" applyFont="0" applyFill="0" applyBorder="0" applyAlignment="0" applyProtection="0"/>
  </cellStyleXfs>
  <cellXfs count="433">
    <xf numFmtId="0" fontId="0" fillId="0" borderId="0" xfId="0"/>
    <xf numFmtId="0" fontId="3" fillId="0" borderId="0" xfId="0" applyFont="1" applyFill="1" applyAlignment="1">
      <alignment horizontal="center" vertical="center"/>
    </xf>
    <xf numFmtId="0" fontId="0" fillId="0" borderId="0" xfId="0" applyFill="1" applyAlignment="1">
      <alignment horizontal="left" vertical="center"/>
    </xf>
    <xf numFmtId="0" fontId="2" fillId="0" borderId="0" xfId="0" applyFont="1" applyFill="1" applyAlignment="1">
      <alignment horizontal="center" vertical="center"/>
    </xf>
    <xf numFmtId="0" fontId="6" fillId="0" borderId="0" xfId="0" applyFont="1" applyFill="1" applyAlignment="1">
      <alignment horizontal="center" vertical="center"/>
    </xf>
    <xf numFmtId="0" fontId="0" fillId="0" borderId="1" xfId="0" applyFont="1" applyBorder="1" applyAlignment="1">
      <alignment vertical="top" wrapText="1"/>
    </xf>
    <xf numFmtId="0" fontId="0" fillId="0" borderId="1" xfId="0" applyBorder="1" applyAlignment="1">
      <alignment horizontal="left" vertical="top" wrapText="1"/>
    </xf>
    <xf numFmtId="0" fontId="0" fillId="6" borderId="1" xfId="0" applyFill="1" applyBorder="1"/>
    <xf numFmtId="0" fontId="0" fillId="0" borderId="1" xfId="0" applyBorder="1" applyAlignment="1">
      <alignment horizontal="center" vertical="center"/>
    </xf>
    <xf numFmtId="0" fontId="0" fillId="0" borderId="0" xfId="0" applyAlignment="1">
      <alignment wrapText="1"/>
    </xf>
    <xf numFmtId="2" fontId="0" fillId="7" borderId="1" xfId="0" applyNumberFormat="1" applyFill="1" applyBorder="1" applyAlignment="1">
      <alignment horizontal="center" vertical="center"/>
    </xf>
    <xf numFmtId="2" fontId="0" fillId="5" borderId="1" xfId="1" applyNumberFormat="1" applyFont="1" applyFill="1" applyBorder="1" applyAlignment="1">
      <alignment horizontal="center"/>
    </xf>
    <xf numFmtId="0" fontId="0" fillId="0" borderId="1" xfId="0" applyBorder="1"/>
    <xf numFmtId="0" fontId="0" fillId="0" borderId="1" xfId="0" applyFill="1" applyBorder="1" applyAlignment="1">
      <alignment horizontal="center" vertical="center"/>
    </xf>
    <xf numFmtId="0" fontId="0" fillId="0" borderId="1" xfId="0" applyBorder="1" applyAlignment="1">
      <alignment wrapText="1"/>
    </xf>
    <xf numFmtId="0" fontId="0" fillId="0" borderId="0" xfId="0" applyFont="1"/>
    <xf numFmtId="0" fontId="8" fillId="0" borderId="0" xfId="0" applyFont="1" applyAlignment="1">
      <alignment vertical="center"/>
    </xf>
    <xf numFmtId="0" fontId="8"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left" vertical="center"/>
    </xf>
    <xf numFmtId="0" fontId="10" fillId="0" borderId="0" xfId="0" applyFont="1" applyAlignment="1">
      <alignment horizontal="center"/>
    </xf>
    <xf numFmtId="0" fontId="0" fillId="0" borderId="0" xfId="0" applyFont="1" applyAlignment="1" applyProtection="1">
      <alignment wrapText="1"/>
      <protection locked="0"/>
    </xf>
    <xf numFmtId="0" fontId="0" fillId="0" borderId="0" xfId="0" applyFont="1" applyAlignment="1" applyProtection="1">
      <alignment horizontal="center" vertical="center"/>
      <protection locked="0"/>
    </xf>
    <xf numFmtId="0" fontId="10" fillId="0" borderId="0" xfId="0" applyFont="1" applyAlignment="1">
      <alignment vertical="top"/>
    </xf>
    <xf numFmtId="0" fontId="10" fillId="0" borderId="0" xfId="0" applyFont="1" applyAlignment="1" applyProtection="1">
      <alignment vertical="top"/>
      <protection locked="0"/>
    </xf>
    <xf numFmtId="0" fontId="0" fillId="0" borderId="0" xfId="0" applyFont="1" applyAlignment="1">
      <alignment vertical="center"/>
    </xf>
    <xf numFmtId="0" fontId="10" fillId="0" borderId="0" xfId="0" applyFont="1" applyAlignment="1" applyProtection="1">
      <alignment horizontal="left" vertical="top" wrapText="1"/>
      <protection locked="0"/>
    </xf>
    <xf numFmtId="166" fontId="10" fillId="0" borderId="0" xfId="0" applyNumberFormat="1" applyFont="1" applyAlignment="1" applyProtection="1">
      <alignment horizontal="left" vertical="top" wrapText="1"/>
      <protection locked="0"/>
    </xf>
    <xf numFmtId="0" fontId="0" fillId="0" borderId="0" xfId="0" applyFont="1" applyAlignment="1" applyProtection="1">
      <alignment horizontal="center"/>
      <protection locked="0"/>
    </xf>
    <xf numFmtId="0" fontId="11" fillId="5" borderId="1" xfId="0" applyFont="1" applyFill="1" applyBorder="1" applyAlignment="1">
      <alignment horizontal="center" vertical="center" wrapText="1"/>
    </xf>
    <xf numFmtId="0" fontId="12" fillId="0" borderId="0" xfId="0" applyFont="1"/>
    <xf numFmtId="0" fontId="13" fillId="0" borderId="1" xfId="0" applyFont="1" applyBorder="1" applyAlignment="1">
      <alignment horizontal="center" vertical="top"/>
    </xf>
    <xf numFmtId="0" fontId="14" fillId="0" borderId="1" xfId="0" applyFont="1" applyBorder="1" applyAlignment="1">
      <alignment horizontal="left" vertical="top" wrapText="1"/>
    </xf>
    <xf numFmtId="2" fontId="15" fillId="0" borderId="1" xfId="0" applyNumberFormat="1" applyFont="1" applyBorder="1" applyAlignment="1">
      <alignment horizontal="center" vertical="top"/>
    </xf>
    <xf numFmtId="2" fontId="16" fillId="0" borderId="0" xfId="0" applyNumberFormat="1" applyFont="1"/>
    <xf numFmtId="2" fontId="16" fillId="0" borderId="1" xfId="0" applyNumberFormat="1" applyFont="1" applyBorder="1" applyAlignment="1">
      <alignment horizontal="center" vertical="top"/>
    </xf>
    <xf numFmtId="0" fontId="16" fillId="0" borderId="1" xfId="0" applyFont="1" applyBorder="1" applyAlignment="1">
      <alignment horizontal="left" vertical="top"/>
    </xf>
    <xf numFmtId="0" fontId="16" fillId="0" borderId="0" xfId="0" applyFont="1"/>
    <xf numFmtId="0" fontId="16" fillId="0" borderId="1" xfId="0" applyFont="1" applyBorder="1" applyAlignment="1">
      <alignment horizontal="center" vertical="top"/>
    </xf>
    <xf numFmtId="2" fontId="13" fillId="0" borderId="1" xfId="0" applyNumberFormat="1" applyFont="1" applyBorder="1" applyAlignment="1">
      <alignment horizontal="center" vertical="top"/>
    </xf>
    <xf numFmtId="0" fontId="13" fillId="0" borderId="1" xfId="0" applyFont="1" applyBorder="1" applyAlignment="1">
      <alignment vertical="top" wrapText="1"/>
    </xf>
    <xf numFmtId="0" fontId="13" fillId="0" borderId="1" xfId="0" applyFont="1" applyBorder="1" applyAlignment="1">
      <alignment horizontal="left" vertical="top" wrapText="1"/>
    </xf>
    <xf numFmtId="0" fontId="16" fillId="0" borderId="1" xfId="0" applyFont="1" applyBorder="1" applyAlignment="1">
      <alignment horizontal="left" vertical="top" wrapText="1"/>
    </xf>
    <xf numFmtId="0" fontId="16" fillId="0" borderId="1" xfId="0" applyFont="1" applyBorder="1" applyAlignment="1">
      <alignment vertical="top" wrapText="1"/>
    </xf>
    <xf numFmtId="2" fontId="16" fillId="0" borderId="1" xfId="0" applyNumberFormat="1" applyFont="1" applyBorder="1" applyAlignment="1" applyProtection="1">
      <alignment horizontal="center" vertical="top"/>
      <protection locked="0"/>
    </xf>
    <xf numFmtId="2" fontId="15" fillId="0" borderId="1" xfId="0" applyNumberFormat="1" applyFont="1" applyBorder="1" applyAlignment="1" applyProtection="1">
      <alignment horizontal="center" vertical="top"/>
      <protection locked="0"/>
    </xf>
    <xf numFmtId="0" fontId="17" fillId="10" borderId="1" xfId="0" applyFont="1" applyFill="1" applyBorder="1" applyAlignment="1">
      <alignment horizontal="left" vertical="top" wrapText="1"/>
    </xf>
    <xf numFmtId="0" fontId="18" fillId="10" borderId="1" xfId="0" applyFont="1" applyFill="1" applyBorder="1" applyAlignment="1">
      <alignment horizontal="left" vertical="top" wrapText="1"/>
    </xf>
    <xf numFmtId="0" fontId="0" fillId="0" borderId="0" xfId="0" applyFont="1" applyAlignment="1">
      <alignment horizontal="center"/>
    </xf>
    <xf numFmtId="0" fontId="0" fillId="0" borderId="0" xfId="0" applyFont="1" applyAlignment="1">
      <alignment horizontal="left" vertical="top" wrapText="1"/>
    </xf>
    <xf numFmtId="0" fontId="0" fillId="0" borderId="0" xfId="0" applyFont="1" applyAlignment="1">
      <alignment horizontal="center" vertical="center"/>
    </xf>
    <xf numFmtId="0" fontId="0" fillId="0" borderId="0" xfId="0" applyFont="1" applyAlignment="1" applyProtection="1">
      <alignment horizontal="left" vertical="top" wrapText="1"/>
      <protection locked="0"/>
    </xf>
    <xf numFmtId="0" fontId="10" fillId="0" borderId="0" xfId="0" applyFont="1" applyAlignment="1" applyProtection="1">
      <alignment horizontal="center" vertical="top" wrapText="1"/>
      <protection locked="0"/>
    </xf>
    <xf numFmtId="0" fontId="0" fillId="0" borderId="0" xfId="0" applyFont="1" applyAlignment="1">
      <alignment horizontal="center" vertical="top" wrapText="1"/>
    </xf>
    <xf numFmtId="0" fontId="20" fillId="0" borderId="0" xfId="0" applyFont="1"/>
    <xf numFmtId="0" fontId="20" fillId="0" borderId="0" xfId="0" applyFont="1" applyAlignment="1">
      <alignment horizontal="center"/>
    </xf>
    <xf numFmtId="0" fontId="20" fillId="0" borderId="0" xfId="0" applyFont="1" applyAlignment="1">
      <alignment wrapText="1"/>
    </xf>
    <xf numFmtId="0" fontId="20" fillId="0" borderId="0" xfId="0" applyFont="1" applyAlignment="1">
      <alignment horizontal="center" vertical="center"/>
    </xf>
    <xf numFmtId="0" fontId="23" fillId="11" borderId="1" xfId="0" applyFont="1" applyFill="1" applyBorder="1" applyAlignment="1">
      <alignment horizontal="left" vertical="center" wrapText="1"/>
    </xf>
    <xf numFmtId="1" fontId="23" fillId="11" borderId="1" xfId="0" applyNumberFormat="1" applyFont="1" applyFill="1" applyBorder="1" applyAlignment="1">
      <alignment horizontal="left" vertical="center"/>
    </xf>
    <xf numFmtId="2" fontId="0" fillId="9" borderId="1" xfId="2" applyNumberFormat="1" applyFont="1" applyFill="1" applyBorder="1" applyAlignment="1">
      <alignment horizontal="center" vertical="center"/>
    </xf>
    <xf numFmtId="2" fontId="23" fillId="11" borderId="1" xfId="2" applyNumberFormat="1" applyFont="1" applyFill="1" applyBorder="1" applyAlignment="1">
      <alignment horizontal="center" vertical="center"/>
    </xf>
    <xf numFmtId="2" fontId="0" fillId="9" borderId="1" xfId="0" applyNumberFormat="1" applyFill="1" applyBorder="1" applyAlignment="1">
      <alignment horizontal="center" vertical="center"/>
    </xf>
    <xf numFmtId="0" fontId="0" fillId="0" borderId="1" xfId="0" applyBorder="1" applyAlignment="1">
      <alignment vertical="top" wrapText="1"/>
    </xf>
    <xf numFmtId="0" fontId="0" fillId="0" borderId="1" xfId="0" applyBorder="1" applyAlignment="1">
      <alignment horizontal="left" vertical="center"/>
    </xf>
    <xf numFmtId="0" fontId="0" fillId="0" borderId="1" xfId="0" applyBorder="1" applyAlignment="1">
      <alignment horizontal="left"/>
    </xf>
    <xf numFmtId="0" fontId="0" fillId="0" borderId="9" xfId="0" applyBorder="1" applyAlignment="1">
      <alignment horizontal="left" vertical="center"/>
    </xf>
    <xf numFmtId="0" fontId="0" fillId="0" borderId="0" xfId="0" applyFont="1" applyAlignment="1">
      <alignment horizontal="center" vertical="center"/>
    </xf>
    <xf numFmtId="0" fontId="2" fillId="12" borderId="1" xfId="0" applyFont="1" applyFill="1" applyBorder="1" applyAlignment="1">
      <alignment horizontal="center" vertical="center" wrapText="1"/>
    </xf>
    <xf numFmtId="0" fontId="2" fillId="12" borderId="7" xfId="0" applyFont="1" applyFill="1" applyBorder="1" applyAlignment="1">
      <alignment horizontal="center" vertical="center" wrapText="1"/>
    </xf>
    <xf numFmtId="0" fontId="0" fillId="13" borderId="1" xfId="0" applyFont="1" applyFill="1" applyBorder="1" applyAlignment="1">
      <alignment horizontal="center" vertical="center" wrapText="1"/>
    </xf>
    <xf numFmtId="0" fontId="0" fillId="13" borderId="7"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4" borderId="1" xfId="0" applyFont="1" applyFill="1" applyBorder="1" applyAlignment="1">
      <alignment horizontal="center" vertical="center" wrapText="1"/>
    </xf>
    <xf numFmtId="0" fontId="0" fillId="4"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vertical="center"/>
    </xf>
    <xf numFmtId="0" fontId="0" fillId="0" borderId="0" xfId="0" applyBorder="1"/>
    <xf numFmtId="10" fontId="0" fillId="5" borderId="1" xfId="2" applyNumberFormat="1" applyFont="1" applyFill="1" applyBorder="1" applyAlignment="1">
      <alignment horizontal="center"/>
    </xf>
    <xf numFmtId="0" fontId="0" fillId="0" borderId="1" xfId="0" applyBorder="1" applyAlignment="1">
      <alignment horizontal="left" vertical="top" wrapText="1"/>
    </xf>
    <xf numFmtId="0" fontId="2" fillId="0" borderId="7" xfId="0" applyFont="1" applyBorder="1" applyAlignment="1">
      <alignment vertical="center" wrapText="1"/>
    </xf>
    <xf numFmtId="0" fontId="2" fillId="0" borderId="0" xfId="0" applyFont="1"/>
    <xf numFmtId="0" fontId="0" fillId="0" borderId="0" xfId="0" applyFont="1" applyAlignment="1" applyProtection="1">
      <alignment horizontal="center" vertical="top" wrapText="1"/>
      <protection locked="0"/>
    </xf>
    <xf numFmtId="0" fontId="1" fillId="3" borderId="1" xfId="0" applyFont="1" applyFill="1" applyBorder="1" applyAlignment="1">
      <alignment horizontal="center" vertical="center" wrapText="1"/>
    </xf>
    <xf numFmtId="0" fontId="0"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0" borderId="0" xfId="0" applyFont="1" applyBorder="1" applyAlignment="1">
      <alignment horizontal="center" vertical="center"/>
    </xf>
    <xf numFmtId="0" fontId="0" fillId="0" borderId="7" xfId="0" applyBorder="1" applyAlignment="1">
      <alignment horizontal="center" vertical="center" wrapText="1"/>
    </xf>
    <xf numFmtId="0" fontId="0" fillId="4" borderId="1" xfId="0" applyFill="1" applyBorder="1" applyAlignment="1">
      <alignment horizontal="center" vertical="center"/>
    </xf>
    <xf numFmtId="0" fontId="2" fillId="9" borderId="1" xfId="0" applyFont="1" applyFill="1" applyBorder="1" applyAlignment="1">
      <alignment horizontal="center" vertical="center"/>
    </xf>
    <xf numFmtId="0" fontId="2" fillId="0" borderId="0" xfId="0" applyFont="1" applyBorder="1" applyAlignment="1">
      <alignment horizontal="left" vertical="center"/>
    </xf>
    <xf numFmtId="0" fontId="2" fillId="0" borderId="1" xfId="0" applyFont="1" applyBorder="1" applyAlignment="1">
      <alignment horizontal="center" vertical="center"/>
    </xf>
    <xf numFmtId="0" fontId="0" fillId="4" borderId="1" xfId="0" applyFill="1" applyBorder="1" applyAlignment="1">
      <alignment horizontal="center" vertical="top"/>
    </xf>
    <xf numFmtId="0" fontId="0" fillId="0" borderId="1" xfId="0" applyBorder="1" applyAlignment="1">
      <alignment horizontal="left" vertical="top" wrapText="1"/>
    </xf>
    <xf numFmtId="0" fontId="0" fillId="0" borderId="1" xfId="0" applyBorder="1"/>
    <xf numFmtId="2" fontId="0" fillId="5" borderId="1" xfId="1" applyNumberFormat="1" applyFont="1" applyFill="1" applyBorder="1" applyAlignment="1">
      <alignment horizontal="center" vertical="top"/>
    </xf>
    <xf numFmtId="10" fontId="0" fillId="5" borderId="1" xfId="2" applyNumberFormat="1" applyFont="1" applyFill="1" applyBorder="1" applyAlignment="1">
      <alignment horizontal="center" vertical="top"/>
    </xf>
    <xf numFmtId="0" fontId="0" fillId="0" borderId="0" xfId="0" applyAlignment="1">
      <alignment horizontal="left" vertical="top"/>
    </xf>
    <xf numFmtId="4" fontId="0" fillId="4" borderId="1" xfId="1" applyNumberFormat="1" applyFont="1" applyFill="1" applyBorder="1" applyAlignment="1">
      <alignment horizontal="center" vertical="top"/>
    </xf>
    <xf numFmtId="0" fontId="0" fillId="0" borderId="1" xfId="0" applyBorder="1" applyAlignment="1">
      <alignment horizontal="left" vertical="top" wrapText="1"/>
    </xf>
    <xf numFmtId="0" fontId="2" fillId="0" borderId="0" xfId="0" applyFont="1" applyFill="1" applyBorder="1" applyAlignment="1"/>
    <xf numFmtId="10" fontId="0" fillId="4" borderId="1" xfId="2" applyNumberFormat="1" applyFont="1" applyFill="1" applyBorder="1" applyAlignment="1">
      <alignment horizontal="center" vertical="top"/>
    </xf>
    <xf numFmtId="0" fontId="28" fillId="0" borderId="1" xfId="0" applyFont="1" applyBorder="1" applyAlignment="1">
      <alignment horizontal="left" vertical="center"/>
    </xf>
    <xf numFmtId="0" fontId="28" fillId="0" borderId="1" xfId="0" applyFont="1" applyBorder="1" applyAlignment="1">
      <alignment horizontal="right" vertical="center"/>
    </xf>
    <xf numFmtId="10" fontId="0" fillId="9" borderId="1" xfId="2" applyNumberFormat="1" applyFont="1" applyFill="1" applyBorder="1" applyAlignment="1">
      <alignment horizontal="center" vertical="center"/>
    </xf>
    <xf numFmtId="0" fontId="0" fillId="0" borderId="1" xfId="0" applyBorder="1" applyAlignment="1">
      <alignment horizontal="left" vertical="top" wrapText="1"/>
    </xf>
    <xf numFmtId="0" fontId="0" fillId="0" borderId="1" xfId="0" applyBorder="1"/>
    <xf numFmtId="0" fontId="2" fillId="0" borderId="0" xfId="0" applyFont="1" applyFill="1" applyBorder="1" applyAlignment="1">
      <alignment wrapText="1"/>
    </xf>
    <xf numFmtId="2" fontId="0" fillId="4" borderId="1" xfId="0" applyNumberFormat="1" applyFont="1" applyFill="1" applyBorder="1" applyAlignment="1">
      <alignment horizontal="center" vertical="center" wrapText="1"/>
    </xf>
    <xf numFmtId="2" fontId="2" fillId="9" borderId="1" xfId="0" applyNumberFormat="1" applyFont="1" applyFill="1" applyBorder="1" applyAlignment="1">
      <alignment horizontal="center" vertical="center" wrapText="1"/>
    </xf>
    <xf numFmtId="1" fontId="0" fillId="14" borderId="1" xfId="0" applyNumberFormat="1" applyFill="1" applyBorder="1" applyAlignment="1" applyProtection="1">
      <alignment horizontal="center" vertical="center"/>
      <protection locked="0"/>
    </xf>
    <xf numFmtId="2" fontId="0" fillId="14" borderId="1" xfId="0" applyNumberFormat="1" applyFill="1" applyBorder="1" applyAlignment="1" applyProtection="1">
      <alignment horizontal="center" vertical="center"/>
      <protection locked="0"/>
    </xf>
    <xf numFmtId="0" fontId="23" fillId="11" borderId="1" xfId="0" applyFont="1" applyFill="1" applyBorder="1" applyAlignment="1">
      <alignment horizontal="left" vertical="top"/>
    </xf>
    <xf numFmtId="0" fontId="23" fillId="11" borderId="1" xfId="0" applyFont="1" applyFill="1" applyBorder="1" applyAlignment="1">
      <alignment horizontal="left" vertical="top" wrapText="1"/>
    </xf>
    <xf numFmtId="2" fontId="23" fillId="15" borderId="1" xfId="0" applyNumberFormat="1" applyFont="1" applyFill="1" applyBorder="1" applyAlignment="1" applyProtection="1">
      <alignment horizontal="center" vertical="center"/>
      <protection locked="0"/>
    </xf>
    <xf numFmtId="10" fontId="0" fillId="14" borderId="1" xfId="2" applyNumberFormat="1" applyFont="1" applyFill="1" applyBorder="1" applyAlignment="1" applyProtection="1">
      <alignment horizontal="center" vertical="center"/>
      <protection locked="0"/>
    </xf>
    <xf numFmtId="1" fontId="0" fillId="14" borderId="1" xfId="0" applyNumberFormat="1" applyFill="1" applyBorder="1" applyAlignment="1">
      <alignment horizontal="center" vertical="center"/>
    </xf>
    <xf numFmtId="0" fontId="23" fillId="11" borderId="1" xfId="0" applyFont="1" applyFill="1" applyBorder="1"/>
    <xf numFmtId="10" fontId="23" fillId="11" borderId="1" xfId="2" applyNumberFormat="1" applyFont="1" applyFill="1" applyBorder="1" applyAlignment="1">
      <alignment horizontal="left" vertical="top"/>
    </xf>
    <xf numFmtId="0" fontId="0" fillId="11" borderId="1" xfId="0" applyFill="1" applyBorder="1"/>
    <xf numFmtId="0" fontId="0" fillId="0" borderId="1" xfId="0" applyBorder="1" applyAlignment="1">
      <alignment horizontal="left" vertical="top" wrapText="1"/>
    </xf>
    <xf numFmtId="0" fontId="0" fillId="0" borderId="1" xfId="0" applyBorder="1"/>
    <xf numFmtId="0" fontId="0" fillId="0" borderId="9" xfId="0" applyBorder="1" applyAlignment="1">
      <alignment horizontal="left" vertical="center"/>
    </xf>
    <xf numFmtId="0" fontId="0" fillId="0" borderId="1" xfId="0" applyBorder="1" applyAlignment="1">
      <alignment horizontal="center" vertical="center" wrapText="1"/>
    </xf>
    <xf numFmtId="0" fontId="0" fillId="6"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10" fontId="23" fillId="15" borderId="1" xfId="2" applyNumberFormat="1" applyFont="1" applyFill="1" applyBorder="1" applyAlignment="1" applyProtection="1">
      <alignment horizontal="center" vertical="center"/>
      <protection locked="0"/>
    </xf>
    <xf numFmtId="0" fontId="0" fillId="9" borderId="1" xfId="0" applyNumberFormat="1" applyFill="1" applyBorder="1" applyAlignment="1" applyProtection="1">
      <alignment horizontal="center" vertical="center"/>
      <protection locked="0"/>
    </xf>
    <xf numFmtId="2" fontId="0" fillId="9" borderId="1" xfId="0" applyNumberFormat="1" applyFill="1" applyBorder="1" applyAlignment="1" applyProtection="1">
      <alignment horizontal="center" vertical="center"/>
      <protection locked="0"/>
    </xf>
    <xf numFmtId="0" fontId="0" fillId="14" borderId="1" xfId="0" applyFill="1" applyBorder="1" applyAlignment="1">
      <alignment horizontal="center" vertical="center"/>
    </xf>
    <xf numFmtId="1" fontId="0" fillId="9" borderId="1" xfId="2" applyNumberFormat="1" applyFont="1" applyFill="1" applyBorder="1" applyAlignment="1">
      <alignment horizontal="center" vertical="center"/>
    </xf>
    <xf numFmtId="10" fontId="28" fillId="9" borderId="1" xfId="2" applyNumberFormat="1" applyFont="1" applyFill="1" applyBorder="1" applyAlignment="1">
      <alignment horizontal="center" vertical="center"/>
    </xf>
    <xf numFmtId="167" fontId="0" fillId="14" borderId="1" xfId="0" applyNumberFormat="1" applyFill="1" applyBorder="1" applyAlignment="1">
      <alignment horizontal="center" vertical="center"/>
    </xf>
    <xf numFmtId="0" fontId="23" fillId="11" borderId="1" xfId="0" applyFont="1" applyFill="1" applyBorder="1" applyAlignment="1">
      <alignment wrapText="1"/>
    </xf>
    <xf numFmtId="0" fontId="2" fillId="0" borderId="10" xfId="0" applyFont="1" applyFill="1" applyBorder="1" applyAlignment="1">
      <alignment horizontal="center" vertical="top"/>
    </xf>
    <xf numFmtId="0" fontId="2" fillId="0" borderId="1" xfId="0" applyFont="1" applyBorder="1" applyAlignment="1">
      <alignment horizontal="left" vertical="top"/>
    </xf>
    <xf numFmtId="0" fontId="0" fillId="0" borderId="1" xfId="0" applyBorder="1" applyAlignment="1">
      <alignment horizontal="left" vertical="top" wrapText="1"/>
    </xf>
    <xf numFmtId="9" fontId="23" fillId="11" borderId="1" xfId="2" applyFont="1" applyFill="1" applyBorder="1" applyAlignment="1">
      <alignment horizontal="left" vertical="top"/>
    </xf>
    <xf numFmtId="0" fontId="10" fillId="0" borderId="1" xfId="0" applyFont="1" applyBorder="1" applyAlignment="1">
      <alignment vertical="center" wrapText="1"/>
    </xf>
    <xf numFmtId="0" fontId="23" fillId="11" borderId="1" xfId="0" applyFont="1" applyFill="1" applyBorder="1" applyAlignment="1">
      <alignment horizontal="center" vertical="center"/>
    </xf>
    <xf numFmtId="0" fontId="2" fillId="0" borderId="0" xfId="0" applyFont="1" applyFill="1" applyBorder="1" applyAlignment="1">
      <alignment horizontal="left" vertical="top"/>
    </xf>
    <xf numFmtId="10" fontId="0" fillId="4" borderId="1" xfId="2" applyNumberFormat="1" applyFont="1" applyFill="1" applyBorder="1" applyAlignment="1">
      <alignment horizontal="center" vertical="center" wrapText="1"/>
    </xf>
    <xf numFmtId="0" fontId="0" fillId="16" borderId="1" xfId="0" applyFont="1" applyFill="1" applyBorder="1" applyAlignment="1">
      <alignment horizontal="left" vertical="top" wrapText="1"/>
    </xf>
    <xf numFmtId="10" fontId="0" fillId="14" borderId="1" xfId="0" applyNumberFormat="1" applyFill="1" applyBorder="1" applyAlignment="1">
      <alignment horizontal="center" vertical="center"/>
    </xf>
    <xf numFmtId="10" fontId="0" fillId="17" borderId="1" xfId="0" applyNumberFormat="1" applyFill="1" applyBorder="1" applyAlignment="1">
      <alignment horizontal="center" vertical="center"/>
    </xf>
    <xf numFmtId="0" fontId="0" fillId="11" borderId="1" xfId="0" applyFill="1" applyBorder="1" applyAlignment="1">
      <alignment horizontal="center"/>
    </xf>
    <xf numFmtId="2" fontId="28" fillId="9" borderId="1" xfId="0" applyNumberFormat="1" applyFont="1" applyFill="1" applyBorder="1" applyAlignment="1">
      <alignment horizontal="center" vertical="center"/>
    </xf>
    <xf numFmtId="0" fontId="0" fillId="0" borderId="1" xfId="0" applyBorder="1" applyAlignment="1">
      <alignment wrapText="1"/>
    </xf>
    <xf numFmtId="0" fontId="10" fillId="0" borderId="1" xfId="0" applyFont="1" applyBorder="1" applyAlignment="1">
      <alignment horizontal="center" vertical="center" wrapText="1"/>
    </xf>
    <xf numFmtId="0" fontId="28" fillId="10" borderId="1" xfId="0" applyFont="1" applyFill="1" applyBorder="1" applyAlignment="1">
      <alignment vertical="top" wrapText="1"/>
    </xf>
    <xf numFmtId="2" fontId="0" fillId="5" borderId="1" xfId="1" applyNumberFormat="1" applyFont="1" applyFill="1" applyBorder="1" applyAlignment="1">
      <alignment horizontal="center" vertical="center"/>
    </xf>
    <xf numFmtId="0" fontId="2" fillId="1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left" vertical="center"/>
    </xf>
    <xf numFmtId="0" fontId="0" fillId="0" borderId="1" xfId="0" applyBorder="1" applyAlignment="1">
      <alignment wrapText="1"/>
    </xf>
    <xf numFmtId="0" fontId="16" fillId="0" borderId="1" xfId="0" applyFont="1" applyFill="1" applyBorder="1" applyAlignment="1">
      <alignment horizontal="center" vertical="top"/>
    </xf>
    <xf numFmtId="0" fontId="13" fillId="0" borderId="1" xfId="0" applyFont="1" applyFill="1" applyBorder="1" applyAlignment="1">
      <alignment horizontal="left" vertical="top" wrapText="1"/>
    </xf>
    <xf numFmtId="2" fontId="13" fillId="0" borderId="1" xfId="0" applyNumberFormat="1" applyFont="1" applyFill="1" applyBorder="1" applyAlignment="1">
      <alignment horizontal="center" vertical="top"/>
    </xf>
    <xf numFmtId="0" fontId="0" fillId="9" borderId="1" xfId="0" applyFill="1" applyBorder="1" applyAlignment="1">
      <alignment horizontal="center" vertical="top"/>
    </xf>
    <xf numFmtId="0" fontId="0" fillId="9" borderId="1" xfId="0" applyFill="1" applyBorder="1" applyAlignment="1">
      <alignment vertical="top" wrapText="1"/>
    </xf>
    <xf numFmtId="2" fontId="23" fillId="11" borderId="1" xfId="0" applyNumberFormat="1" applyFont="1" applyFill="1" applyBorder="1" applyAlignment="1">
      <alignment horizontal="left" vertical="center"/>
    </xf>
    <xf numFmtId="0" fontId="23" fillId="11" borderId="14" xfId="0" applyFont="1" applyFill="1" applyBorder="1" applyAlignment="1">
      <alignment horizontal="left" vertical="center" wrapText="1"/>
    </xf>
    <xf numFmtId="0" fontId="23" fillId="11" borderId="15" xfId="0" applyFont="1" applyFill="1" applyBorder="1" applyAlignment="1">
      <alignment horizontal="left" vertical="center" wrapText="1"/>
    </xf>
    <xf numFmtId="1" fontId="0" fillId="14" borderId="18" xfId="0" applyNumberFormat="1" applyFill="1" applyBorder="1" applyAlignment="1">
      <alignment horizontal="center" vertical="center"/>
    </xf>
    <xf numFmtId="2" fontId="23" fillId="11" borderId="20" xfId="2" applyNumberFormat="1" applyFont="1" applyFill="1" applyBorder="1" applyAlignment="1">
      <alignment horizontal="center" vertical="center"/>
    </xf>
    <xf numFmtId="0" fontId="23" fillId="11" borderId="20" xfId="0" applyFont="1" applyFill="1" applyBorder="1" applyAlignment="1">
      <alignment horizontal="center" vertical="center"/>
    </xf>
    <xf numFmtId="2" fontId="0" fillId="9" borderId="21" xfId="0" applyNumberFormat="1" applyFill="1" applyBorder="1" applyAlignment="1">
      <alignment horizontal="center" vertical="center"/>
    </xf>
    <xf numFmtId="2" fontId="0" fillId="9" borderId="19" xfId="2" applyNumberFormat="1" applyFont="1" applyFill="1" applyBorder="1" applyAlignment="1">
      <alignment horizontal="center" vertical="center"/>
    </xf>
    <xf numFmtId="4" fontId="0" fillId="9" borderId="1" xfId="1" applyNumberFormat="1" applyFont="1" applyFill="1" applyBorder="1" applyAlignment="1">
      <alignment horizontal="center" vertical="top"/>
    </xf>
    <xf numFmtId="2" fontId="28" fillId="9" borderId="1" xfId="2" applyNumberFormat="1" applyFont="1" applyFill="1" applyBorder="1" applyAlignment="1">
      <alignment horizontal="center" vertical="center"/>
    </xf>
    <xf numFmtId="2" fontId="23" fillId="9" borderId="1" xfId="2" applyNumberFormat="1" applyFont="1" applyFill="1" applyBorder="1" applyAlignment="1">
      <alignment horizontal="center" vertical="center"/>
    </xf>
    <xf numFmtId="0" fontId="23" fillId="9" borderId="1" xfId="0" applyFont="1" applyFill="1" applyBorder="1" applyAlignment="1">
      <alignment horizontal="center" vertical="center"/>
    </xf>
    <xf numFmtId="2" fontId="0" fillId="14" borderId="1" xfId="0" applyNumberFormat="1" applyFill="1" applyBorder="1" applyAlignment="1">
      <alignment horizontal="center" vertical="center"/>
    </xf>
    <xf numFmtId="0" fontId="28" fillId="0" borderId="1" xfId="0" applyFont="1" applyBorder="1" applyAlignment="1">
      <alignment vertical="center" wrapText="1"/>
    </xf>
    <xf numFmtId="0" fontId="34" fillId="0" borderId="27" xfId="0" applyFont="1" applyBorder="1" applyAlignment="1">
      <alignment horizontal="center" vertical="center"/>
    </xf>
    <xf numFmtId="0" fontId="10" fillId="0" borderId="27" xfId="0" applyFont="1" applyBorder="1" applyAlignment="1">
      <alignment horizontal="left" vertical="center"/>
    </xf>
    <xf numFmtId="0" fontId="28" fillId="0" borderId="27" xfId="0" applyFont="1" applyBorder="1" applyAlignment="1">
      <alignment horizontal="left" vertical="center"/>
    </xf>
    <xf numFmtId="0" fontId="0" fillId="0" borderId="0" xfId="0" applyAlignment="1">
      <alignment horizontal="center" vertical="center"/>
    </xf>
    <xf numFmtId="0" fontId="0" fillId="0" borderId="0" xfId="0" applyAlignment="1">
      <alignment vertical="center"/>
    </xf>
    <xf numFmtId="0" fontId="28" fillId="0" borderId="0" xfId="0" applyFont="1" applyAlignment="1">
      <alignment vertical="center"/>
    </xf>
    <xf numFmtId="2" fontId="16" fillId="0" borderId="1" xfId="0" applyNumberFormat="1" applyFont="1" applyFill="1" applyBorder="1" applyAlignment="1">
      <alignment horizontal="center" vertical="top"/>
    </xf>
    <xf numFmtId="0" fontId="11" fillId="5" borderId="1" xfId="0" applyFont="1" applyFill="1" applyBorder="1" applyAlignment="1">
      <alignment horizontal="center" vertical="center" wrapText="1"/>
    </xf>
    <xf numFmtId="0" fontId="0" fillId="0" borderId="1" xfId="0" applyBorder="1" applyAlignment="1">
      <alignment horizontal="left" vertical="top"/>
    </xf>
    <xf numFmtId="0" fontId="0" fillId="4" borderId="1" xfId="0" applyFill="1" applyBorder="1" applyAlignment="1">
      <alignment horizontal="left" vertical="top" wrapText="1"/>
    </xf>
    <xf numFmtId="0" fontId="0" fillId="0" borderId="1" xfId="0" applyBorder="1"/>
    <xf numFmtId="0" fontId="0" fillId="0" borderId="9" xfId="0" applyBorder="1" applyAlignment="1">
      <alignment horizontal="left" vertical="top"/>
    </xf>
    <xf numFmtId="0" fontId="0" fillId="4" borderId="1" xfId="0" applyFill="1" applyBorder="1" applyAlignment="1">
      <alignment horizontal="left" vertical="top"/>
    </xf>
    <xf numFmtId="0" fontId="0" fillId="0" borderId="1" xfId="0" applyBorder="1" applyAlignment="1">
      <alignment horizontal="left" vertical="center"/>
    </xf>
    <xf numFmtId="0" fontId="0" fillId="0" borderId="9" xfId="0" applyBorder="1" applyAlignment="1">
      <alignment horizontal="left" vertical="center"/>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0" borderId="1" xfId="0" applyBorder="1" applyAlignment="1">
      <alignment horizontal="left"/>
    </xf>
    <xf numFmtId="0" fontId="10" fillId="0" borderId="9" xfId="0" applyFont="1" applyBorder="1" applyAlignment="1">
      <alignment horizontal="left" vertical="center" wrapText="1"/>
    </xf>
    <xf numFmtId="0" fontId="0" fillId="4" borderId="1" xfId="0" applyFill="1" applyBorder="1" applyAlignment="1">
      <alignment horizontal="center" vertical="top" wrapText="1"/>
    </xf>
    <xf numFmtId="0" fontId="11" fillId="5" borderId="1" xfId="0" applyFont="1" applyFill="1" applyBorder="1" applyAlignment="1">
      <alignment horizontal="center" vertical="center" wrapText="1"/>
    </xf>
    <xf numFmtId="0" fontId="0" fillId="0" borderId="1" xfId="0" applyBorder="1" applyAlignment="1">
      <alignment horizontal="left" vertical="top" wrapText="1"/>
    </xf>
    <xf numFmtId="0" fontId="0" fillId="4" borderId="7" xfId="0" applyFill="1" applyBorder="1" applyAlignment="1">
      <alignment horizontal="left" vertical="top"/>
    </xf>
    <xf numFmtId="0" fontId="0" fillId="0" borderId="14" xfId="0" applyBorder="1" applyAlignment="1">
      <alignment horizontal="left" vertical="top"/>
    </xf>
    <xf numFmtId="0" fontId="28" fillId="0" borderId="1" xfId="0" applyFont="1" applyBorder="1" applyAlignment="1">
      <alignment vertical="top" wrapText="1"/>
    </xf>
    <xf numFmtId="0" fontId="28" fillId="16" borderId="1" xfId="0" applyFont="1" applyFill="1" applyBorder="1" applyAlignment="1">
      <alignment vertical="top" wrapText="1"/>
    </xf>
    <xf numFmtId="0" fontId="0" fillId="0" borderId="0" xfId="0" applyFont="1" applyBorder="1" applyAlignment="1">
      <alignment vertical="top" wrapText="1"/>
    </xf>
    <xf numFmtId="0" fontId="28" fillId="0" borderId="1" xfId="0" applyFont="1" applyBorder="1" applyAlignment="1">
      <alignment wrapText="1"/>
    </xf>
    <xf numFmtId="0" fontId="0" fillId="4" borderId="2" xfId="0" applyFill="1" applyBorder="1" applyAlignment="1">
      <alignment horizontal="center" vertical="center" wrapText="1"/>
    </xf>
    <xf numFmtId="0" fontId="1" fillId="19" borderId="0" xfId="0" applyFont="1" applyFill="1" applyAlignment="1">
      <alignment horizontal="center" vertical="center"/>
    </xf>
    <xf numFmtId="165" fontId="1" fillId="19" borderId="0" xfId="6" applyFont="1" applyFill="1" applyAlignment="1">
      <alignment vertical="center"/>
    </xf>
    <xf numFmtId="0" fontId="28" fillId="4" borderId="0" xfId="0" applyFont="1" applyFill="1" applyAlignment="1">
      <alignment horizontal="center" vertical="center"/>
    </xf>
    <xf numFmtId="165" fontId="28" fillId="4" borderId="0" xfId="6" applyFont="1" applyFill="1" applyAlignment="1">
      <alignment vertical="center"/>
    </xf>
    <xf numFmtId="0" fontId="28" fillId="20" borderId="0" xfId="0" applyFont="1" applyFill="1" applyAlignment="1">
      <alignment horizontal="center" vertical="center"/>
    </xf>
    <xf numFmtId="165" fontId="28" fillId="20" borderId="0" xfId="6" applyFont="1" applyFill="1" applyAlignment="1">
      <alignment vertical="center"/>
    </xf>
    <xf numFmtId="0" fontId="28" fillId="21" borderId="0" xfId="0" applyFont="1" applyFill="1" applyAlignment="1">
      <alignment horizontal="center" vertical="center"/>
    </xf>
    <xf numFmtId="165" fontId="28" fillId="21" borderId="0" xfId="6" applyFont="1" applyFill="1" applyAlignment="1">
      <alignment vertical="center"/>
    </xf>
    <xf numFmtId="0" fontId="0" fillId="5" borderId="2" xfId="0" applyFill="1" applyBorder="1" applyAlignment="1">
      <alignment horizontal="center" vertical="center" wrapText="1"/>
    </xf>
    <xf numFmtId="0" fontId="15" fillId="0" borderId="1" xfId="0" applyFont="1" applyBorder="1" applyAlignment="1">
      <alignment horizontal="center" vertical="top"/>
    </xf>
    <xf numFmtId="0" fontId="16" fillId="0" borderId="1" xfId="0" applyFont="1" applyBorder="1" applyAlignment="1" applyProtection="1">
      <alignment horizontal="center" vertical="top"/>
      <protection locked="0"/>
    </xf>
    <xf numFmtId="0" fontId="15" fillId="0" borderId="1" xfId="0" applyNumberFormat="1" applyFont="1" applyBorder="1" applyAlignment="1" applyProtection="1">
      <alignment horizontal="center" vertical="top"/>
      <protection locked="0"/>
    </xf>
    <xf numFmtId="0" fontId="0" fillId="0" borderId="0" xfId="0" applyFill="1"/>
    <xf numFmtId="165" fontId="0" fillId="0" borderId="7" xfId="6" applyFont="1" applyBorder="1" applyAlignment="1">
      <alignment vertical="center" wrapText="1"/>
    </xf>
    <xf numFmtId="0" fontId="3" fillId="0" borderId="20" xfId="0" applyFont="1" applyBorder="1" applyAlignment="1">
      <alignment horizontal="center" vertical="center" wrapText="1"/>
    </xf>
    <xf numFmtId="0" fontId="0" fillId="20" borderId="29" xfId="0" applyFill="1" applyBorder="1" applyAlignment="1">
      <alignment horizontal="center" vertical="center" wrapText="1"/>
    </xf>
    <xf numFmtId="0" fontId="0" fillId="20" borderId="30" xfId="0" applyFill="1" applyBorder="1" applyAlignment="1">
      <alignment horizontal="center" vertical="center" wrapText="1"/>
    </xf>
    <xf numFmtId="0" fontId="0" fillId="4" borderId="30" xfId="0" applyFill="1" applyBorder="1" applyAlignment="1">
      <alignment horizontal="center" vertical="center" wrapText="1"/>
    </xf>
    <xf numFmtId="0" fontId="23" fillId="19" borderId="30" xfId="0" applyFont="1" applyFill="1" applyBorder="1" applyAlignment="1">
      <alignment horizontal="center" vertical="center" wrapText="1"/>
    </xf>
    <xf numFmtId="0" fontId="23" fillId="19" borderId="31" xfId="0" applyFont="1" applyFill="1" applyBorder="1" applyAlignment="1">
      <alignment horizontal="center" vertical="center" wrapText="1"/>
    </xf>
    <xf numFmtId="0" fontId="0" fillId="21" borderId="32" xfId="0" applyFill="1" applyBorder="1" applyAlignment="1">
      <alignment horizontal="center" vertical="center" wrapText="1"/>
    </xf>
    <xf numFmtId="0" fontId="0" fillId="20" borderId="33" xfId="0" applyFill="1" applyBorder="1" applyAlignment="1">
      <alignment horizontal="center" vertical="center" wrapText="1"/>
    </xf>
    <xf numFmtId="0" fontId="0" fillId="4" borderId="33" xfId="0" applyFill="1" applyBorder="1" applyAlignment="1">
      <alignment horizontal="center" vertical="center" wrapText="1"/>
    </xf>
    <xf numFmtId="0" fontId="23" fillId="19" borderId="33" xfId="0" applyFont="1" applyFill="1" applyBorder="1" applyAlignment="1">
      <alignment horizontal="center" vertical="center" wrapText="1"/>
    </xf>
    <xf numFmtId="0" fontId="23" fillId="19" borderId="34" xfId="0" applyFont="1" applyFill="1" applyBorder="1" applyAlignment="1">
      <alignment horizontal="center" vertical="center" wrapText="1"/>
    </xf>
    <xf numFmtId="0" fontId="0" fillId="21" borderId="33" xfId="0" applyFill="1" applyBorder="1" applyAlignment="1">
      <alignment horizontal="center" vertical="center" wrapText="1"/>
    </xf>
    <xf numFmtId="0" fontId="0" fillId="21" borderId="35" xfId="0" applyFill="1" applyBorder="1" applyAlignment="1">
      <alignment horizontal="center" vertical="center" wrapText="1"/>
    </xf>
    <xf numFmtId="0" fontId="0" fillId="21" borderId="36" xfId="0" applyFill="1" applyBorder="1" applyAlignment="1">
      <alignment horizontal="center" vertical="center" wrapText="1"/>
    </xf>
    <xf numFmtId="0" fontId="0" fillId="20" borderId="36" xfId="0" applyFill="1" applyBorder="1" applyAlignment="1">
      <alignment horizontal="center" vertical="center" wrapText="1"/>
    </xf>
    <xf numFmtId="0" fontId="0" fillId="4" borderId="36" xfId="0" applyFill="1" applyBorder="1" applyAlignment="1">
      <alignment horizontal="center" vertical="center" wrapText="1"/>
    </xf>
    <xf numFmtId="0" fontId="0" fillId="4" borderId="37" xfId="0" applyFill="1" applyBorder="1" applyAlignment="1">
      <alignment horizontal="center" vertical="center" wrapText="1"/>
    </xf>
    <xf numFmtId="0" fontId="2" fillId="0" borderId="0" xfId="0" applyFont="1" applyAlignment="1">
      <alignment horizontal="center" vertical="center"/>
    </xf>
    <xf numFmtId="165" fontId="2" fillId="0" borderId="28" xfId="6" applyFont="1" applyBorder="1" applyAlignment="1">
      <alignment horizontal="center" vertical="center" wrapText="1"/>
    </xf>
    <xf numFmtId="0" fontId="2" fillId="0" borderId="15" xfId="0" applyFont="1" applyBorder="1" applyAlignment="1">
      <alignment horizontal="center" vertical="center" wrapText="1"/>
    </xf>
    <xf numFmtId="0" fontId="3" fillId="0" borderId="17" xfId="0" applyFont="1" applyBorder="1" applyAlignment="1">
      <alignment horizontal="center" vertical="center" wrapText="1"/>
    </xf>
    <xf numFmtId="165" fontId="0" fillId="0" borderId="0" xfId="6" applyFont="1" applyBorder="1" applyAlignment="1">
      <alignment vertical="center" wrapText="1"/>
    </xf>
    <xf numFmtId="0" fontId="2" fillId="0" borderId="11" xfId="0" applyFont="1" applyBorder="1" applyAlignment="1">
      <alignment horizontal="center" vertical="center" wrapText="1"/>
    </xf>
    <xf numFmtId="0" fontId="0" fillId="0" borderId="4" xfId="0" applyBorder="1" applyAlignment="1">
      <alignment horizontal="center" vertical="center" wrapText="1"/>
    </xf>
    <xf numFmtId="0" fontId="1" fillId="0" borderId="0" xfId="0" applyFont="1" applyFill="1" applyAlignment="1">
      <alignment horizontal="center" vertical="center"/>
    </xf>
    <xf numFmtId="0" fontId="15" fillId="0" borderId="1" xfId="0" applyFont="1" applyBorder="1" applyAlignment="1">
      <alignment horizontal="left" vertical="top" wrapText="1"/>
    </xf>
    <xf numFmtId="0" fontId="16" fillId="0" borderId="1" xfId="0" applyFont="1" applyFill="1" applyBorder="1" applyAlignment="1">
      <alignment horizontal="left" vertical="top" wrapText="1"/>
    </xf>
    <xf numFmtId="0" fontId="16" fillId="0" borderId="1" xfId="0" applyFont="1" applyBorder="1" applyAlignment="1" applyProtection="1">
      <alignment horizontal="left" vertical="top" wrapText="1"/>
      <protection locked="0"/>
    </xf>
    <xf numFmtId="0" fontId="15" fillId="0" borderId="1" xfId="0" applyNumberFormat="1" applyFont="1" applyBorder="1" applyAlignment="1" applyProtection="1">
      <alignment horizontal="left" vertical="top" wrapText="1"/>
      <protection locked="0"/>
    </xf>
    <xf numFmtId="0" fontId="0" fillId="0" borderId="0" xfId="0" applyAlignment="1">
      <alignment horizontal="left" vertical="top" wrapText="1"/>
    </xf>
    <xf numFmtId="49" fontId="15" fillId="0" borderId="1" xfId="0" applyNumberFormat="1" applyFont="1" applyBorder="1" applyAlignment="1" applyProtection="1">
      <alignment horizontal="left" vertical="top" wrapText="1"/>
      <protection locked="0"/>
    </xf>
    <xf numFmtId="2" fontId="16" fillId="0" borderId="1" xfId="0" applyNumberFormat="1" applyFont="1" applyBorder="1" applyAlignment="1" applyProtection="1">
      <alignment horizontal="left" vertical="top" wrapText="1"/>
      <protection locked="0"/>
    </xf>
    <xf numFmtId="0" fontId="0" fillId="0" borderId="1" xfId="0" applyBorder="1" applyAlignment="1">
      <alignment horizontal="left" vertical="top" wrapText="1"/>
    </xf>
    <xf numFmtId="0" fontId="0" fillId="0" borderId="1" xfId="0" applyBorder="1" applyAlignment="1">
      <alignment vertical="center" wrapText="1"/>
    </xf>
    <xf numFmtId="1" fontId="0" fillId="4" borderId="1" xfId="0" applyNumberFormat="1" applyFill="1" applyBorder="1" applyAlignment="1">
      <alignment horizontal="center" vertical="top"/>
    </xf>
    <xf numFmtId="3" fontId="0" fillId="4" borderId="1" xfId="1" applyNumberFormat="1" applyFont="1" applyFill="1" applyBorder="1" applyAlignment="1">
      <alignment horizontal="center" vertical="top"/>
    </xf>
    <xf numFmtId="0" fontId="2" fillId="0" borderId="10" xfId="0" applyFont="1" applyFill="1" applyBorder="1" applyAlignment="1">
      <alignment horizontal="left" vertical="top"/>
    </xf>
    <xf numFmtId="0" fontId="16" fillId="11" borderId="1" xfId="0" applyFont="1" applyFill="1" applyBorder="1" applyAlignment="1">
      <alignment horizontal="center" vertical="top"/>
    </xf>
    <xf numFmtId="0" fontId="13" fillId="11" borderId="1" xfId="0" applyFont="1" applyFill="1" applyBorder="1" applyAlignment="1">
      <alignment horizontal="left" vertical="top" wrapText="1"/>
    </xf>
    <xf numFmtId="0" fontId="16" fillId="11" borderId="1" xfId="0" applyFont="1" applyFill="1" applyBorder="1" applyAlignment="1">
      <alignment horizontal="left" vertical="top" wrapText="1"/>
    </xf>
    <xf numFmtId="2" fontId="13" fillId="11" borderId="1" xfId="0" applyNumberFormat="1" applyFont="1" applyFill="1" applyBorder="1" applyAlignment="1">
      <alignment horizontal="center" vertical="top"/>
    </xf>
    <xf numFmtId="2" fontId="16" fillId="11" borderId="1" xfId="0" applyNumberFormat="1" applyFont="1" applyFill="1" applyBorder="1" applyAlignment="1">
      <alignment horizontal="center" vertical="top"/>
    </xf>
    <xf numFmtId="0" fontId="16" fillId="11" borderId="1" xfId="0" applyFont="1" applyFill="1" applyBorder="1" applyAlignment="1" applyProtection="1">
      <alignment horizontal="left" vertical="top" wrapText="1"/>
      <protection locked="0"/>
    </xf>
    <xf numFmtId="2" fontId="16" fillId="11" borderId="1" xfId="0" applyNumberFormat="1" applyFont="1" applyFill="1" applyBorder="1" applyAlignment="1" applyProtection="1">
      <alignment horizontal="center" vertical="top"/>
      <protection locked="0"/>
    </xf>
    <xf numFmtId="0" fontId="16" fillId="11" borderId="1" xfId="0" applyFont="1" applyFill="1" applyBorder="1" applyAlignment="1">
      <alignment vertical="top" wrapText="1"/>
    </xf>
    <xf numFmtId="0" fontId="16" fillId="11" borderId="1" xfId="0" applyFont="1" applyFill="1" applyBorder="1" applyAlignment="1" applyProtection="1">
      <alignment horizontal="center" vertical="top"/>
      <protection locked="0"/>
    </xf>
    <xf numFmtId="0" fontId="10" fillId="7" borderId="0" xfId="0" applyFont="1" applyFill="1" applyAlignment="1" applyProtection="1">
      <alignment vertical="top"/>
      <protection locked="0"/>
    </xf>
    <xf numFmtId="0" fontId="10" fillId="7" borderId="0" xfId="0" applyFont="1" applyFill="1" applyAlignment="1" applyProtection="1">
      <alignment horizontal="left" vertical="top" wrapText="1"/>
      <protection locked="0"/>
    </xf>
    <xf numFmtId="166" fontId="10" fillId="7" borderId="0" xfId="0" applyNumberFormat="1" applyFont="1" applyFill="1" applyAlignment="1" applyProtection="1">
      <alignment horizontal="left" vertical="top" wrapText="1"/>
      <protection locked="0"/>
    </xf>
    <xf numFmtId="0" fontId="0" fillId="0" borderId="1" xfId="0" applyBorder="1" applyAlignment="1">
      <alignment wrapText="1"/>
    </xf>
    <xf numFmtId="0" fontId="2" fillId="4" borderId="1" xfId="0" applyFont="1" applyFill="1" applyBorder="1"/>
    <xf numFmtId="0" fontId="3" fillId="11" borderId="0" xfId="0" applyFont="1" applyFill="1" applyAlignment="1">
      <alignmen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12" borderId="7" xfId="0" applyFont="1" applyFill="1" applyBorder="1" applyAlignment="1">
      <alignment horizontal="center" vertical="center" wrapText="1"/>
    </xf>
    <xf numFmtId="0" fontId="2" fillId="12" borderId="8" xfId="0" applyFont="1" applyFill="1" applyBorder="1" applyAlignment="1">
      <alignment horizontal="center" vertical="center" wrapText="1"/>
    </xf>
    <xf numFmtId="0" fontId="2" fillId="12" borderId="9"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6" fillId="0" borderId="0" xfId="0" applyFont="1" applyAlignment="1">
      <alignment horizontal="center"/>
    </xf>
    <xf numFmtId="0" fontId="2" fillId="0" borderId="10" xfId="0" applyFont="1" applyBorder="1" applyAlignment="1">
      <alignment horizontal="center" vertical="center"/>
    </xf>
    <xf numFmtId="0" fontId="0" fillId="0" borderId="2" xfId="0"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9" borderId="7"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2" fillId="0" borderId="1" xfId="0" applyFont="1" applyBorder="1"/>
    <xf numFmtId="0" fontId="2" fillId="0" borderId="1" xfId="0" applyFont="1"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1" xfId="0" applyBorder="1" applyAlignment="1">
      <alignment horizontal="left" vertical="top" wrapText="1"/>
    </xf>
    <xf numFmtId="0" fontId="2" fillId="0" borderId="7" xfId="0" applyFont="1" applyBorder="1" applyAlignment="1">
      <alignment horizontal="left" vertical="top" wrapText="1"/>
    </xf>
    <xf numFmtId="0" fontId="2" fillId="0" borderId="9" xfId="0" applyFont="1" applyBorder="1" applyAlignment="1">
      <alignment horizontal="left" vertical="top" wrapText="1"/>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4" borderId="1" xfId="0" applyFill="1" applyBorder="1" applyAlignment="1">
      <alignment horizontal="left" vertical="top" wrapText="1"/>
    </xf>
    <xf numFmtId="0" fontId="0" fillId="4" borderId="2"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0" borderId="1" xfId="0" applyBorder="1" applyAlignment="1">
      <alignment horizontal="left" vertical="top"/>
    </xf>
    <xf numFmtId="0" fontId="10" fillId="0" borderId="7" xfId="0" applyFont="1" applyBorder="1" applyAlignment="1">
      <alignment horizontal="left" vertical="center" wrapText="1"/>
    </xf>
    <xf numFmtId="0" fontId="10" fillId="0" borderId="9" xfId="0" applyFont="1" applyBorder="1" applyAlignment="1">
      <alignment horizontal="left" vertical="center" wrapText="1"/>
    </xf>
    <xf numFmtId="0" fontId="10" fillId="0" borderId="1" xfId="0" applyFont="1" applyBorder="1" applyAlignment="1">
      <alignment horizontal="left" vertical="center" wrapText="1"/>
    </xf>
    <xf numFmtId="0" fontId="0" fillId="0" borderId="1" xfId="0" applyBorder="1"/>
    <xf numFmtId="0" fontId="8" fillId="0" borderId="1" xfId="0" applyFont="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wrapText="1"/>
    </xf>
    <xf numFmtId="0" fontId="0" fillId="0" borderId="4" xfId="0" applyBorder="1" applyAlignment="1">
      <alignment horizontal="left" vertical="top" wrapText="1"/>
    </xf>
    <xf numFmtId="0" fontId="2" fillId="0" borderId="1" xfId="0" applyFont="1" applyBorder="1" applyAlignment="1">
      <alignment horizontal="center" vertical="top"/>
    </xf>
    <xf numFmtId="0" fontId="0" fillId="0" borderId="1" xfId="0" applyBorder="1" applyAlignment="1">
      <alignment horizontal="center" vertical="top" wrapText="1"/>
    </xf>
    <xf numFmtId="0" fontId="0" fillId="0" borderId="2" xfId="0" applyFont="1" applyBorder="1" applyAlignment="1">
      <alignment horizontal="center" vertical="top" wrapText="1"/>
    </xf>
    <xf numFmtId="0" fontId="0" fillId="0" borderId="3" xfId="0" applyFont="1" applyBorder="1" applyAlignment="1">
      <alignment horizontal="center" vertical="top" wrapText="1"/>
    </xf>
    <xf numFmtId="0" fontId="0" fillId="0" borderId="4" xfId="0" applyFont="1" applyBorder="1" applyAlignment="1">
      <alignment horizontal="center" vertical="top" wrapText="1"/>
    </xf>
    <xf numFmtId="0" fontId="0" fillId="0" borderId="6" xfId="0" applyFont="1" applyBorder="1" applyAlignment="1">
      <alignment horizontal="center" vertical="top" wrapText="1"/>
    </xf>
    <xf numFmtId="0" fontId="0" fillId="0" borderId="26" xfId="0" applyFont="1" applyBorder="1" applyAlignment="1">
      <alignment horizontal="center" vertical="top" wrapText="1"/>
    </xf>
    <xf numFmtId="0" fontId="0" fillId="4" borderId="1" xfId="0" applyFill="1"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7" borderId="1" xfId="0" applyFill="1" applyBorder="1" applyAlignment="1">
      <alignment horizontal="left" vertical="top" wrapText="1"/>
    </xf>
    <xf numFmtId="0" fontId="0" fillId="0" borderId="1" xfId="0" applyBorder="1" applyAlignment="1">
      <alignment horizontal="left" wrapText="1"/>
    </xf>
    <xf numFmtId="0" fontId="0" fillId="0" borderId="1" xfId="0" applyBorder="1" applyAlignment="1">
      <alignment wrapText="1"/>
    </xf>
    <xf numFmtId="0" fontId="0" fillId="0" borderId="5"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2" fillId="0" borderId="6" xfId="0" applyFont="1" applyBorder="1" applyAlignment="1">
      <alignment horizontal="center" vertical="top" wrapText="1"/>
    </xf>
    <xf numFmtId="0" fontId="2" fillId="0" borderId="3" xfId="0" applyFont="1" applyBorder="1" applyAlignment="1">
      <alignment horizontal="center" vertical="top" wrapText="1"/>
    </xf>
    <xf numFmtId="0" fontId="2" fillId="0" borderId="26" xfId="0" applyFont="1" applyBorder="1" applyAlignment="1">
      <alignment horizontal="center" vertical="top" wrapText="1"/>
    </xf>
    <xf numFmtId="0" fontId="10" fillId="0" borderId="22" xfId="0" applyFont="1" applyBorder="1" applyAlignment="1">
      <alignment horizontal="left" vertical="center" wrapText="1"/>
    </xf>
    <xf numFmtId="0" fontId="10" fillId="0" borderId="23" xfId="0" applyFont="1" applyBorder="1" applyAlignment="1">
      <alignment horizontal="left" vertical="center" wrapText="1"/>
    </xf>
    <xf numFmtId="0" fontId="0" fillId="0" borderId="2" xfId="0" applyFont="1" applyFill="1" applyBorder="1" applyAlignment="1">
      <alignment horizontal="center" vertical="top" wrapText="1"/>
    </xf>
    <xf numFmtId="0" fontId="0" fillId="0" borderId="3" xfId="0" applyFont="1" applyFill="1" applyBorder="1" applyAlignment="1">
      <alignment horizontal="center" vertical="top" wrapText="1"/>
    </xf>
    <xf numFmtId="0" fontId="0" fillId="0" borderId="4" xfId="0" applyFont="1" applyFill="1" applyBorder="1" applyAlignment="1">
      <alignment horizontal="center" vertical="top" wrapText="1"/>
    </xf>
    <xf numFmtId="0" fontId="0" fillId="0" borderId="1" xfId="0" applyBorder="1" applyAlignment="1">
      <alignment horizontal="center" vertical="top"/>
    </xf>
    <xf numFmtId="0" fontId="28" fillId="0" borderId="1" xfId="0" applyFont="1" applyFill="1" applyBorder="1" applyAlignment="1">
      <alignment horizontal="left" vertical="center" wrapText="1"/>
    </xf>
    <xf numFmtId="0" fontId="0" fillId="0" borderId="9" xfId="0" applyFont="1" applyBorder="1" applyAlignment="1">
      <alignment horizontal="left" vertical="top" wrapText="1"/>
    </xf>
    <xf numFmtId="0" fontId="3" fillId="2" borderId="0" xfId="0" applyFont="1" applyFill="1" applyAlignment="1">
      <alignment horizontal="center" vertical="center"/>
    </xf>
    <xf numFmtId="0" fontId="4" fillId="11" borderId="0" xfId="0" applyFont="1" applyFill="1" applyAlignment="1">
      <alignment vertical="center"/>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7" borderId="2" xfId="0" applyFill="1" applyBorder="1" applyAlignment="1">
      <alignment horizontal="left" vertical="top" wrapText="1"/>
    </xf>
    <xf numFmtId="0" fontId="0" fillId="7" borderId="3" xfId="0" applyFill="1" applyBorder="1" applyAlignment="1">
      <alignment horizontal="left" vertical="top" wrapText="1"/>
    </xf>
    <xf numFmtId="0" fontId="0" fillId="7" borderId="4" xfId="0" applyFill="1" applyBorder="1" applyAlignment="1">
      <alignment horizontal="left" vertical="top" wrapText="1"/>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10" fillId="0" borderId="8" xfId="0" applyFont="1" applyBorder="1" applyAlignment="1">
      <alignment horizontal="left" vertical="center" wrapText="1"/>
    </xf>
    <xf numFmtId="0" fontId="8" fillId="0" borderId="1" xfId="0" applyFont="1" applyFill="1" applyBorder="1" applyAlignment="1">
      <alignment horizontal="left" vertical="center" wrapText="1"/>
    </xf>
    <xf numFmtId="0" fontId="2" fillId="0" borderId="1" xfId="0" applyFont="1" applyFill="1" applyBorder="1" applyAlignment="1">
      <alignment horizontal="center" vertical="top"/>
    </xf>
    <xf numFmtId="0" fontId="0" fillId="0" borderId="7" xfId="0" applyFont="1" applyBorder="1" applyAlignment="1">
      <alignment horizontal="left" vertical="top" wrapText="1"/>
    </xf>
    <xf numFmtId="0" fontId="6" fillId="0" borderId="1" xfId="0" applyFont="1" applyFill="1" applyBorder="1" applyAlignment="1">
      <alignment horizontal="left" vertical="center" wrapText="1"/>
    </xf>
    <xf numFmtId="0" fontId="16" fillId="0" borderId="1" xfId="0" applyFont="1" applyBorder="1" applyAlignment="1">
      <alignment horizontal="center" vertical="center" textRotation="90" wrapText="1"/>
    </xf>
    <xf numFmtId="0" fontId="10" fillId="0" borderId="1" xfId="0" applyFont="1" applyBorder="1" applyAlignment="1">
      <alignment horizontal="center" vertical="center" textRotation="90"/>
    </xf>
    <xf numFmtId="0" fontId="10" fillId="0" borderId="1" xfId="0" applyFont="1" applyBorder="1" applyAlignment="1">
      <alignment horizontal="center" vertical="center" textRotation="90" wrapText="1"/>
    </xf>
    <xf numFmtId="0" fontId="28" fillId="0" borderId="1" xfId="0" applyFont="1" applyBorder="1" applyAlignment="1">
      <alignment horizontal="left" vertical="top" wrapText="1"/>
    </xf>
    <xf numFmtId="0" fontId="0" fillId="0" borderId="1" xfId="0" applyFont="1" applyBorder="1" applyAlignment="1">
      <alignment horizontal="center" vertical="top" wrapText="1"/>
    </xf>
    <xf numFmtId="0" fontId="0" fillId="0" borderId="1" xfId="0" applyFill="1" applyBorder="1" applyAlignment="1">
      <alignment horizontal="center" vertical="top"/>
    </xf>
    <xf numFmtId="0" fontId="28" fillId="10" borderId="2" xfId="0" applyFont="1" applyFill="1" applyBorder="1" applyAlignment="1">
      <alignment horizontal="left" vertical="center" wrapText="1"/>
    </xf>
    <xf numFmtId="0" fontId="28" fillId="10" borderId="4" xfId="0" applyFont="1" applyFill="1" applyBorder="1" applyAlignment="1">
      <alignment horizontal="left" vertical="center" wrapText="1"/>
    </xf>
    <xf numFmtId="0" fontId="0" fillId="7" borderId="1" xfId="0" applyFill="1" applyBorder="1" applyAlignment="1">
      <alignment horizontal="left" vertical="top"/>
    </xf>
    <xf numFmtId="0" fontId="2" fillId="18" borderId="1" xfId="0" applyFont="1" applyFill="1" applyBorder="1" applyAlignment="1">
      <alignment horizontal="center" vertical="top"/>
    </xf>
    <xf numFmtId="0" fontId="0" fillId="0" borderId="1" xfId="0" applyBorder="1" applyAlignment="1">
      <alignment horizontal="left" vertical="center" wrapText="1"/>
    </xf>
    <xf numFmtId="0" fontId="0" fillId="0" borderId="6" xfId="0" applyBorder="1" applyAlignment="1">
      <alignment horizontal="center" vertical="top" wrapText="1"/>
    </xf>
    <xf numFmtId="0" fontId="0" fillId="0" borderId="3" xfId="0" applyBorder="1" applyAlignment="1">
      <alignment horizontal="center" vertical="top" wrapText="1"/>
    </xf>
    <xf numFmtId="0" fontId="0" fillId="0" borderId="26" xfId="0" applyBorder="1" applyAlignment="1">
      <alignment horizontal="center" vertical="top" wrapText="1"/>
    </xf>
    <xf numFmtId="0" fontId="28" fillId="0" borderId="7" xfId="0" applyFont="1" applyFill="1" applyBorder="1" applyAlignment="1">
      <alignment horizontal="left" vertical="center" wrapText="1"/>
    </xf>
    <xf numFmtId="0" fontId="28" fillId="0" borderId="9" xfId="0" applyFont="1" applyFill="1" applyBorder="1" applyAlignment="1">
      <alignment horizontal="left" vertical="center" wrapText="1"/>
    </xf>
    <xf numFmtId="0" fontId="0" fillId="0" borderId="1" xfId="0" applyFont="1" applyFill="1" applyBorder="1" applyAlignment="1">
      <alignment horizontal="center" vertical="top" wrapText="1"/>
    </xf>
    <xf numFmtId="0" fontId="8" fillId="0" borderId="17" xfId="0" applyFont="1" applyBorder="1" applyAlignment="1">
      <alignment horizontal="left" vertical="center" wrapText="1"/>
    </xf>
    <xf numFmtId="0" fontId="10" fillId="0" borderId="7" xfId="0" applyFont="1" applyBorder="1" applyAlignment="1">
      <alignment horizontal="left" vertical="top" wrapText="1"/>
    </xf>
    <xf numFmtId="0" fontId="10" fillId="0" borderId="9" xfId="0" applyFont="1" applyBorder="1" applyAlignment="1">
      <alignment horizontal="left" vertical="top" wrapText="1"/>
    </xf>
    <xf numFmtId="0" fontId="28" fillId="0" borderId="7" xfId="0" applyFont="1" applyBorder="1" applyAlignment="1">
      <alignment horizontal="left" vertical="center" wrapText="1"/>
    </xf>
    <xf numFmtId="0" fontId="28" fillId="0" borderId="9" xfId="0" applyFont="1" applyBorder="1" applyAlignment="1">
      <alignment horizontal="left" vertical="center" wrapText="1"/>
    </xf>
    <xf numFmtId="0" fontId="2" fillId="0" borderId="1" xfId="0" applyFont="1" applyBorder="1" applyAlignment="1">
      <alignment horizontal="center" vertical="top" wrapText="1"/>
    </xf>
    <xf numFmtId="0" fontId="0" fillId="4" borderId="1" xfId="0" applyFill="1" applyBorder="1" applyAlignment="1">
      <alignment vertical="top" wrapText="1"/>
    </xf>
    <xf numFmtId="0" fontId="0" fillId="0" borderId="1" xfId="0" applyBorder="1" applyAlignment="1"/>
    <xf numFmtId="0" fontId="0" fillId="0" borderId="1" xfId="0" applyBorder="1" applyAlignment="1">
      <alignment horizontal="left"/>
    </xf>
    <xf numFmtId="0" fontId="0" fillId="0" borderId="1" xfId="0" applyBorder="1" applyAlignment="1">
      <alignment horizontal="left" vertical="center"/>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8" fillId="0" borderId="1" xfId="0" applyFont="1" applyBorder="1" applyAlignment="1">
      <alignment horizontal="left" vertical="center" wrapText="1"/>
    </xf>
    <xf numFmtId="0" fontId="0" fillId="0" borderId="2" xfId="0" applyFont="1" applyBorder="1" applyAlignment="1">
      <alignment horizontal="center" vertical="top"/>
    </xf>
    <xf numFmtId="0" fontId="0" fillId="0" borderId="3" xfId="0" applyFont="1" applyBorder="1" applyAlignment="1">
      <alignment horizontal="center" vertical="top"/>
    </xf>
    <xf numFmtId="0" fontId="0" fillId="0" borderId="4" xfId="0" applyFont="1" applyBorder="1" applyAlignment="1">
      <alignment horizontal="center" vertical="top"/>
    </xf>
    <xf numFmtId="0" fontId="0" fillId="0" borderId="3" xfId="0" applyBorder="1"/>
    <xf numFmtId="0" fontId="0" fillId="0" borderId="4" xfId="0" applyBorder="1"/>
    <xf numFmtId="0" fontId="10" fillId="11" borderId="1" xfId="0" applyFont="1" applyFill="1" applyBorder="1" applyAlignment="1">
      <alignment horizontal="left" vertical="center"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0" fillId="0" borderId="11" xfId="0" applyBorder="1" applyAlignment="1">
      <alignment horizontal="left" vertical="top" wrapText="1"/>
    </xf>
    <xf numFmtId="0" fontId="0" fillId="0" borderId="16" xfId="0" applyBorder="1" applyAlignment="1">
      <alignment horizontal="left" vertical="top" wrapText="1"/>
    </xf>
    <xf numFmtId="0" fontId="0" fillId="0" borderId="12" xfId="0" applyBorder="1" applyAlignment="1">
      <alignment horizontal="left" vertical="top" wrapText="1"/>
    </xf>
    <xf numFmtId="2" fontId="0" fillId="5" borderId="2" xfId="1" applyNumberFormat="1" applyFont="1" applyFill="1" applyBorder="1" applyAlignment="1">
      <alignment horizontal="center" vertical="top"/>
    </xf>
    <xf numFmtId="2" fontId="0" fillId="5" borderId="3" xfId="1" applyNumberFormat="1" applyFont="1" applyFill="1" applyBorder="1" applyAlignment="1">
      <alignment horizontal="center" vertical="top"/>
    </xf>
    <xf numFmtId="2" fontId="0" fillId="5" borderId="4" xfId="1" applyNumberFormat="1" applyFont="1" applyFill="1" applyBorder="1" applyAlignment="1">
      <alignment horizontal="center" vertical="top"/>
    </xf>
    <xf numFmtId="49" fontId="0" fillId="7" borderId="2" xfId="0" applyNumberFormat="1" applyFill="1" applyBorder="1" applyAlignment="1">
      <alignment horizontal="left" vertical="top" wrapText="1"/>
    </xf>
    <xf numFmtId="49" fontId="0" fillId="7" borderId="3" xfId="0" applyNumberFormat="1" applyFill="1" applyBorder="1" applyAlignment="1">
      <alignment horizontal="left" vertical="top" wrapText="1"/>
    </xf>
    <xf numFmtId="49" fontId="0" fillId="7" borderId="4" xfId="0" applyNumberFormat="1" applyFill="1" applyBorder="1" applyAlignment="1">
      <alignment horizontal="left" vertical="top" wrapText="1"/>
    </xf>
    <xf numFmtId="0" fontId="1" fillId="3" borderId="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2" xfId="0" applyFont="1" applyFill="1" applyBorder="1" applyAlignment="1">
      <alignment horizontal="center" vertical="center" wrapText="1"/>
    </xf>
    <xf numFmtId="2" fontId="1" fillId="8" borderId="0" xfId="0" applyNumberFormat="1" applyFont="1" applyFill="1" applyAlignment="1">
      <alignment horizontal="center" vertical="center"/>
    </xf>
    <xf numFmtId="0" fontId="8" fillId="0" borderId="0" xfId="0" applyFont="1" applyAlignment="1">
      <alignment horizontal="center" vertical="center"/>
    </xf>
    <xf numFmtId="0" fontId="9" fillId="0" borderId="0" xfId="0" applyFont="1" applyAlignment="1">
      <alignment horizontal="center"/>
    </xf>
    <xf numFmtId="0" fontId="0" fillId="0" borderId="0" xfId="0" applyFont="1" applyAlignment="1">
      <alignment horizontal="center" vertical="center"/>
    </xf>
    <xf numFmtId="0" fontId="0" fillId="0" borderId="0" xfId="0" applyFont="1" applyAlignment="1">
      <alignment horizontal="center" vertical="top" wrapText="1"/>
    </xf>
    <xf numFmtId="0" fontId="0" fillId="0" borderId="0" xfId="0" applyFont="1" applyAlignment="1">
      <alignment horizontal="center" vertical="center" wrapText="1"/>
    </xf>
    <xf numFmtId="0" fontId="11" fillId="5" borderId="7"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0" fillId="0" borderId="0" xfId="0" applyFont="1" applyAlignment="1" applyProtection="1">
      <alignment horizontal="center" vertical="top" wrapText="1"/>
      <protection locked="0"/>
    </xf>
    <xf numFmtId="0" fontId="10" fillId="0" borderId="0" xfId="0" applyFont="1" applyAlignment="1">
      <alignment vertical="top"/>
    </xf>
    <xf numFmtId="0" fontId="2" fillId="0" borderId="0" xfId="0" applyFont="1" applyAlignment="1">
      <alignment horizontal="center"/>
    </xf>
    <xf numFmtId="0" fontId="2" fillId="0" borderId="2" xfId="0" applyFont="1" applyBorder="1" applyAlignment="1">
      <alignment horizontal="center" vertical="center" textRotation="90"/>
    </xf>
    <xf numFmtId="0" fontId="2" fillId="0" borderId="3" xfId="0" applyFont="1" applyBorder="1" applyAlignment="1">
      <alignment horizontal="center" vertical="center" textRotation="90"/>
    </xf>
    <xf numFmtId="0" fontId="2" fillId="0" borderId="4" xfId="0" applyFont="1" applyBorder="1" applyAlignment="1">
      <alignment horizontal="center" vertical="center" textRotation="90"/>
    </xf>
  </cellXfs>
  <cellStyles count="7">
    <cellStyle name="Comma" xfId="6" builtinId="3"/>
    <cellStyle name="Comma [0]" xfId="1" builtinId="6"/>
    <cellStyle name="Comma 2" xfId="3"/>
    <cellStyle name="Hyperlink 2" xfId="4"/>
    <cellStyle name="Normal" xfId="0" builtinId="0"/>
    <cellStyle name="Percent" xfId="2" builtinId="5"/>
    <cellStyle name="Percent 2" xfId="5"/>
  </cellStyles>
  <dxfs count="47">
    <dxf>
      <fill>
        <patternFill>
          <bgColor rgb="FFFF0000"/>
        </patternFill>
      </fill>
    </dxf>
    <dxf>
      <fill>
        <patternFill>
          <bgColor rgb="FFFFFF00"/>
        </patternFill>
      </fill>
    </dxf>
    <dxf>
      <fill>
        <patternFill>
          <bgColor theme="8" tint="0.59996337778862885"/>
        </patternFill>
      </fill>
    </dxf>
    <dxf>
      <fill>
        <patternFill>
          <bgColor rgb="FF92D050"/>
        </patternFill>
      </fill>
    </dxf>
    <dxf>
      <fill>
        <patternFill>
          <bgColor theme="0" tint="-0.14996795556505021"/>
        </patternFill>
      </fill>
    </dxf>
    <dxf>
      <fill>
        <patternFill>
          <bgColor theme="1"/>
        </patternFill>
      </fill>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color theme="0"/>
      </font>
      <fill>
        <patternFill>
          <bgColor rgb="FF00B050"/>
        </patternFill>
      </fill>
    </dxf>
    <dxf>
      <font>
        <b/>
        <i val="0"/>
        <color theme="0"/>
      </font>
      <fill>
        <patternFill>
          <bgColor rgb="FFFF0000"/>
        </patternFill>
      </fill>
    </dxf>
    <dxf>
      <font>
        <color theme="0"/>
      </font>
      <fill>
        <patternFill>
          <bgColor rgb="FF00B050"/>
        </patternFill>
      </fill>
    </dxf>
    <dxf>
      <font>
        <b/>
        <i val="0"/>
        <color theme="0"/>
      </font>
      <fill>
        <patternFill>
          <bgColor rgb="FFFF0000"/>
        </patternFill>
      </fill>
    </dxf>
    <dxf>
      <font>
        <b/>
        <i val="0"/>
        <color rgb="FF00B050"/>
      </font>
    </dxf>
    <dxf>
      <font>
        <b/>
        <i val="0"/>
        <color rgb="FFFF000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996662</xdr:colOff>
      <xdr:row>12</xdr:row>
      <xdr:rowOff>25977</xdr:rowOff>
    </xdr:from>
    <xdr:to>
      <xdr:col>4</xdr:col>
      <xdr:colOff>1143866</xdr:colOff>
      <xdr:row>12</xdr:row>
      <xdr:rowOff>155863</xdr:rowOff>
    </xdr:to>
    <xdr:sp macro="" textlink="">
      <xdr:nvSpPr>
        <xdr:cNvPr id="2" name="Rectangle 1">
          <a:extLst>
            <a:ext uri="{FF2B5EF4-FFF2-40B4-BE49-F238E27FC236}">
              <a16:creationId xmlns="" xmlns:a16="http://schemas.microsoft.com/office/drawing/2014/main" id="{00000000-0008-0000-0500-000010000000}"/>
            </a:ext>
          </a:extLst>
        </xdr:cNvPr>
        <xdr:cNvSpPr/>
      </xdr:nvSpPr>
      <xdr:spPr>
        <a:xfrm>
          <a:off x="3282662" y="5645727"/>
          <a:ext cx="147204" cy="129886"/>
        </a:xfrm>
        <a:prstGeom prst="rect">
          <a:avLst/>
        </a:prstGeom>
        <a:solidFill>
          <a:srgbClr val="66FF66"/>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1010516</xdr:colOff>
      <xdr:row>12</xdr:row>
      <xdr:rowOff>31174</xdr:rowOff>
    </xdr:from>
    <xdr:to>
      <xdr:col>7</xdr:col>
      <xdr:colOff>1157720</xdr:colOff>
      <xdr:row>12</xdr:row>
      <xdr:rowOff>161060</xdr:rowOff>
    </xdr:to>
    <xdr:sp macro="" textlink="">
      <xdr:nvSpPr>
        <xdr:cNvPr id="3" name="Rectangle 2">
          <a:extLst>
            <a:ext uri="{FF2B5EF4-FFF2-40B4-BE49-F238E27FC236}">
              <a16:creationId xmlns="" xmlns:a16="http://schemas.microsoft.com/office/drawing/2014/main" id="{00000000-0008-0000-0500-000011000000}"/>
            </a:ext>
          </a:extLst>
        </xdr:cNvPr>
        <xdr:cNvSpPr/>
      </xdr:nvSpPr>
      <xdr:spPr>
        <a:xfrm>
          <a:off x="6839816" y="5650924"/>
          <a:ext cx="147204" cy="129886"/>
        </a:xfrm>
        <a:prstGeom prst="rect">
          <a:avLst/>
        </a:prstGeom>
        <a:solidFill>
          <a:srgbClr val="FF00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995795</xdr:colOff>
      <xdr:row>12</xdr:row>
      <xdr:rowOff>27709</xdr:rowOff>
    </xdr:from>
    <xdr:to>
      <xdr:col>5</xdr:col>
      <xdr:colOff>1142999</xdr:colOff>
      <xdr:row>12</xdr:row>
      <xdr:rowOff>157595</xdr:rowOff>
    </xdr:to>
    <xdr:sp macro="" textlink="">
      <xdr:nvSpPr>
        <xdr:cNvPr id="4" name="Rectangle 3">
          <a:extLst>
            <a:ext uri="{FF2B5EF4-FFF2-40B4-BE49-F238E27FC236}">
              <a16:creationId xmlns="" xmlns:a16="http://schemas.microsoft.com/office/drawing/2014/main" id="{00000000-0008-0000-0500-000012000000}"/>
            </a:ext>
          </a:extLst>
        </xdr:cNvPr>
        <xdr:cNvSpPr/>
      </xdr:nvSpPr>
      <xdr:spPr>
        <a:xfrm>
          <a:off x="4462895" y="5647459"/>
          <a:ext cx="147204" cy="129886"/>
        </a:xfrm>
        <a:prstGeom prst="rect">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1000126</xdr:colOff>
      <xdr:row>12</xdr:row>
      <xdr:rowOff>24246</xdr:rowOff>
    </xdr:from>
    <xdr:to>
      <xdr:col>6</xdr:col>
      <xdr:colOff>1147330</xdr:colOff>
      <xdr:row>12</xdr:row>
      <xdr:rowOff>154132</xdr:rowOff>
    </xdr:to>
    <xdr:sp macro="" textlink="">
      <xdr:nvSpPr>
        <xdr:cNvPr id="5" name="Rectangle 4">
          <a:extLst>
            <a:ext uri="{FF2B5EF4-FFF2-40B4-BE49-F238E27FC236}">
              <a16:creationId xmlns="" xmlns:a16="http://schemas.microsoft.com/office/drawing/2014/main" id="{00000000-0008-0000-0500-000013000000}"/>
            </a:ext>
          </a:extLst>
        </xdr:cNvPr>
        <xdr:cNvSpPr/>
      </xdr:nvSpPr>
      <xdr:spPr>
        <a:xfrm>
          <a:off x="5648326" y="5643996"/>
          <a:ext cx="147204" cy="129886"/>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Kerjaan/LPM/AMI/2021/AKREDITASI-Kertas%20Kerja%20Sarja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Kertas Kerja"/>
      <sheetName val="Lap AK Individual"/>
    </sheetNames>
    <sheetDataSet>
      <sheetData sheetId="0">
        <row r="5">
          <cell r="A5" t="str">
            <v>PROGRAM SARJANA</v>
          </cell>
        </row>
      </sheetData>
      <sheetData sheetId="1">
        <row r="7">
          <cell r="A7">
            <v>1</v>
          </cell>
        </row>
        <row r="204">
          <cell r="H204">
            <v>0</v>
          </cell>
        </row>
        <row r="209">
          <cell r="E209">
            <v>0</v>
          </cell>
        </row>
        <row r="267">
          <cell r="H267">
            <v>0</v>
          </cell>
        </row>
        <row r="272">
          <cell r="E272">
            <v>0</v>
          </cell>
        </row>
        <row r="349">
          <cell r="H349">
            <v>0</v>
          </cell>
        </row>
        <row r="354">
          <cell r="E354">
            <v>0</v>
          </cell>
        </row>
        <row r="626">
          <cell r="H626">
            <v>0</v>
          </cell>
        </row>
        <row r="631">
          <cell r="E631">
            <v>0</v>
          </cell>
        </row>
        <row r="919">
          <cell r="H919">
            <v>0</v>
          </cell>
        </row>
        <row r="922">
          <cell r="E922">
            <v>0</v>
          </cell>
        </row>
        <row r="924">
          <cell r="H924">
            <v>0</v>
          </cell>
        </row>
        <row r="927">
          <cell r="E927">
            <v>0</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270"/>
  <sheetViews>
    <sheetView topLeftCell="A19" zoomScale="130" zoomScaleNormal="130" workbookViewId="0">
      <selection activeCell="A8" sqref="A8:B8"/>
    </sheetView>
  </sheetViews>
  <sheetFormatPr defaultRowHeight="15" x14ac:dyDescent="0.25"/>
  <cols>
    <col min="1" max="1" width="24.5703125" bestFit="1" customWidth="1"/>
    <col min="2" max="2" width="25.7109375" customWidth="1"/>
    <col min="3" max="11" width="15.7109375" customWidth="1"/>
  </cols>
  <sheetData>
    <row r="1" spans="1:16383" ht="21" x14ac:dyDescent="0.35">
      <c r="A1" s="281" t="s">
        <v>166</v>
      </c>
      <c r="B1" s="281"/>
      <c r="C1" s="281"/>
      <c r="D1" s="281"/>
      <c r="E1" s="281"/>
      <c r="F1" s="281"/>
      <c r="G1" s="281"/>
      <c r="H1" s="281"/>
    </row>
    <row r="3" spans="1:16383" ht="15.75" x14ac:dyDescent="0.25">
      <c r="A3" s="269" t="s">
        <v>992</v>
      </c>
      <c r="B3" s="269"/>
      <c r="C3" s="269"/>
      <c r="D3" s="269"/>
      <c r="E3" s="269"/>
      <c r="F3" s="269"/>
      <c r="G3" s="269"/>
      <c r="H3" s="269"/>
      <c r="I3" s="269"/>
      <c r="J3" s="269"/>
      <c r="K3" s="269"/>
      <c r="L3" s="269"/>
      <c r="M3" s="269"/>
    </row>
    <row r="5" spans="1:16383" x14ac:dyDescent="0.25">
      <c r="A5" s="290" t="s">
        <v>170</v>
      </c>
      <c r="B5" s="290"/>
      <c r="C5" s="268" t="s">
        <v>1080</v>
      </c>
    </row>
    <row r="6" spans="1:16383" x14ac:dyDescent="0.25">
      <c r="A6" s="290" t="s">
        <v>1124</v>
      </c>
      <c r="B6" s="290"/>
      <c r="C6" s="268" t="s">
        <v>1125</v>
      </c>
    </row>
    <row r="7" spans="1:16383" ht="45" customHeight="1" x14ac:dyDescent="0.25">
      <c r="A7" s="291" t="s">
        <v>598</v>
      </c>
      <c r="B7" s="291"/>
      <c r="C7" s="252"/>
    </row>
    <row r="8" spans="1:16383" ht="30" customHeight="1" x14ac:dyDescent="0.25">
      <c r="A8" s="291" t="s">
        <v>595</v>
      </c>
      <c r="B8" s="291"/>
      <c r="C8" s="252"/>
    </row>
    <row r="10" spans="1:16383" x14ac:dyDescent="0.25">
      <c r="A10" s="282" t="s">
        <v>1088</v>
      </c>
      <c r="B10" s="282"/>
      <c r="C10" s="282"/>
      <c r="D10" s="282"/>
      <c r="E10" s="282"/>
      <c r="F10" s="77"/>
      <c r="G10" s="77"/>
      <c r="H10" s="77"/>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c r="CR10" s="78"/>
      <c r="CS10" s="78"/>
      <c r="CT10" s="78"/>
      <c r="CU10" s="78"/>
      <c r="CV10" s="78"/>
      <c r="CW10" s="78"/>
      <c r="CX10" s="78"/>
      <c r="CY10" s="78"/>
      <c r="CZ10" s="78"/>
      <c r="DA10" s="78"/>
      <c r="DB10" s="78"/>
      <c r="DC10" s="78"/>
      <c r="DD10" s="78"/>
      <c r="DE10" s="78"/>
      <c r="DF10" s="78"/>
      <c r="DG10" s="78"/>
      <c r="DH10" s="78"/>
      <c r="DI10" s="78"/>
      <c r="DJ10" s="78"/>
      <c r="DK10" s="78"/>
      <c r="DL10" s="78"/>
      <c r="DM10" s="78"/>
      <c r="DN10" s="78"/>
      <c r="DO10" s="78"/>
      <c r="DP10" s="78"/>
      <c r="DQ10" s="78"/>
      <c r="DR10" s="78"/>
      <c r="DS10" s="78"/>
      <c r="DT10" s="78"/>
      <c r="DU10" s="78"/>
      <c r="DV10" s="78"/>
      <c r="DW10" s="78"/>
      <c r="DX10" s="78"/>
      <c r="DY10" s="78"/>
      <c r="DZ10" s="78"/>
      <c r="EA10" s="78"/>
      <c r="EB10" s="78"/>
      <c r="EC10" s="78"/>
      <c r="ED10" s="78"/>
      <c r="EE10" s="78"/>
      <c r="EF10" s="78"/>
      <c r="EG10" s="78"/>
      <c r="EH10" s="78"/>
      <c r="EI10" s="78"/>
      <c r="EJ10" s="78"/>
      <c r="EK10" s="78"/>
      <c r="EL10" s="78"/>
      <c r="EM10" s="78"/>
      <c r="EN10" s="78"/>
      <c r="EO10" s="78"/>
      <c r="EP10" s="78"/>
      <c r="EQ10" s="78"/>
      <c r="ER10" s="78"/>
      <c r="ES10" s="78"/>
      <c r="ET10" s="78"/>
      <c r="EU10" s="78"/>
      <c r="EV10" s="78"/>
      <c r="EW10" s="78"/>
      <c r="EX10" s="78"/>
      <c r="EY10" s="78"/>
      <c r="EZ10" s="78"/>
      <c r="FA10" s="78"/>
      <c r="FB10" s="78"/>
      <c r="FC10" s="78"/>
      <c r="FD10" s="78"/>
      <c r="FE10" s="78"/>
      <c r="FF10" s="78"/>
      <c r="FG10" s="78"/>
      <c r="FH10" s="78"/>
      <c r="FI10" s="78"/>
      <c r="FJ10" s="78"/>
      <c r="FK10" s="78"/>
      <c r="FL10" s="78"/>
      <c r="FM10" s="78"/>
      <c r="FN10" s="78"/>
      <c r="FO10" s="78"/>
      <c r="FP10" s="78"/>
      <c r="FQ10" s="78"/>
      <c r="FR10" s="78"/>
      <c r="FS10" s="78"/>
      <c r="FT10" s="78"/>
      <c r="FU10" s="78"/>
      <c r="FV10" s="78"/>
      <c r="FW10" s="78"/>
      <c r="FX10" s="78"/>
      <c r="FY10" s="78"/>
      <c r="FZ10" s="78"/>
      <c r="GA10" s="78"/>
      <c r="GB10" s="78"/>
      <c r="GC10" s="78"/>
      <c r="GD10" s="78"/>
      <c r="GE10" s="78"/>
      <c r="GF10" s="78"/>
      <c r="GG10" s="78"/>
      <c r="GH10" s="78"/>
      <c r="GI10" s="78"/>
      <c r="GJ10" s="78"/>
      <c r="GK10" s="78"/>
      <c r="GL10" s="78"/>
      <c r="GM10" s="78"/>
      <c r="GN10" s="78"/>
      <c r="GO10" s="78"/>
      <c r="GP10" s="78"/>
      <c r="GQ10" s="78"/>
      <c r="GR10" s="78"/>
      <c r="GS10" s="78"/>
      <c r="GT10" s="78"/>
      <c r="GU10" s="78"/>
      <c r="GV10" s="78"/>
      <c r="GW10" s="78"/>
      <c r="GX10" s="78"/>
      <c r="GY10" s="78"/>
      <c r="GZ10" s="78"/>
      <c r="HA10" s="78"/>
      <c r="HB10" s="78"/>
      <c r="HC10" s="78"/>
      <c r="HD10" s="78"/>
      <c r="HE10" s="78"/>
      <c r="HF10" s="78"/>
      <c r="HG10" s="78"/>
      <c r="HH10" s="78"/>
      <c r="HI10" s="78"/>
      <c r="HJ10" s="78"/>
      <c r="HK10" s="78"/>
      <c r="HL10" s="78"/>
      <c r="HM10" s="78"/>
      <c r="HN10" s="78"/>
      <c r="HO10" s="78"/>
      <c r="HP10" s="78"/>
      <c r="HQ10" s="78"/>
      <c r="HR10" s="78"/>
      <c r="HS10" s="78"/>
      <c r="HT10" s="78"/>
      <c r="HU10" s="78"/>
      <c r="HV10" s="78"/>
      <c r="HW10" s="78"/>
      <c r="HX10" s="78"/>
      <c r="HY10" s="78"/>
      <c r="HZ10" s="78"/>
      <c r="IA10" s="78"/>
      <c r="IB10" s="78"/>
      <c r="IC10" s="78"/>
      <c r="ID10" s="78"/>
      <c r="IE10" s="78"/>
      <c r="IF10" s="78"/>
      <c r="IG10" s="78"/>
      <c r="IH10" s="78"/>
      <c r="II10" s="78"/>
      <c r="IJ10" s="78"/>
      <c r="IK10" s="78"/>
      <c r="IL10" s="78"/>
      <c r="IM10" s="78"/>
      <c r="IN10" s="78"/>
      <c r="IO10" s="78"/>
      <c r="IP10" s="78"/>
      <c r="IQ10" s="78"/>
      <c r="IR10" s="78"/>
      <c r="IS10" s="78"/>
      <c r="IT10" s="78"/>
      <c r="IU10" s="78"/>
      <c r="IV10" s="78"/>
      <c r="IW10" s="78"/>
      <c r="IX10" s="78"/>
      <c r="IY10" s="78"/>
      <c r="IZ10" s="78"/>
      <c r="JA10" s="78"/>
      <c r="JB10" s="78"/>
      <c r="JC10" s="78"/>
      <c r="JD10" s="78"/>
      <c r="JE10" s="78"/>
      <c r="JF10" s="78"/>
      <c r="JG10" s="78"/>
      <c r="JH10" s="78"/>
      <c r="JI10" s="78"/>
      <c r="JJ10" s="78"/>
      <c r="JK10" s="78"/>
      <c r="JL10" s="78"/>
      <c r="JM10" s="78"/>
      <c r="JN10" s="78"/>
      <c r="JO10" s="78"/>
      <c r="JP10" s="78"/>
      <c r="JQ10" s="78"/>
      <c r="JR10" s="78"/>
      <c r="JS10" s="78"/>
      <c r="JT10" s="78"/>
      <c r="JU10" s="78"/>
      <c r="JV10" s="78"/>
      <c r="JW10" s="78"/>
      <c r="JX10" s="78"/>
      <c r="JY10" s="78"/>
      <c r="JZ10" s="78"/>
      <c r="KA10" s="78"/>
      <c r="KB10" s="78"/>
      <c r="KC10" s="78"/>
      <c r="KD10" s="78"/>
      <c r="KE10" s="78"/>
      <c r="KF10" s="78"/>
      <c r="KG10" s="78"/>
      <c r="KH10" s="78"/>
      <c r="KI10" s="78"/>
      <c r="KJ10" s="78"/>
      <c r="KK10" s="78"/>
      <c r="KL10" s="78"/>
      <c r="KM10" s="78"/>
      <c r="KN10" s="78"/>
      <c r="KO10" s="78"/>
      <c r="KP10" s="78"/>
      <c r="KQ10" s="78"/>
      <c r="KR10" s="78"/>
      <c r="KS10" s="78"/>
      <c r="KT10" s="78"/>
      <c r="KU10" s="78"/>
      <c r="KV10" s="78"/>
      <c r="KW10" s="78"/>
      <c r="KX10" s="78"/>
      <c r="KY10" s="78"/>
      <c r="KZ10" s="78"/>
      <c r="LA10" s="78"/>
      <c r="LB10" s="78"/>
      <c r="LC10" s="78"/>
      <c r="LD10" s="78"/>
      <c r="LE10" s="78"/>
      <c r="LF10" s="78"/>
      <c r="LG10" s="78"/>
      <c r="LH10" s="78"/>
      <c r="LI10" s="78"/>
      <c r="LJ10" s="78"/>
      <c r="LK10" s="78"/>
      <c r="LL10" s="78"/>
      <c r="LM10" s="78"/>
      <c r="LN10" s="78"/>
      <c r="LO10" s="78"/>
      <c r="LP10" s="78"/>
      <c r="LQ10" s="78"/>
      <c r="LR10" s="78"/>
      <c r="LS10" s="78"/>
      <c r="LT10" s="78"/>
      <c r="LU10" s="78"/>
      <c r="LV10" s="78"/>
      <c r="LW10" s="78"/>
      <c r="LX10" s="78"/>
      <c r="LY10" s="78"/>
      <c r="LZ10" s="78"/>
      <c r="MA10" s="78"/>
      <c r="MB10" s="78"/>
      <c r="MC10" s="78"/>
      <c r="MD10" s="78"/>
      <c r="ME10" s="78"/>
      <c r="MF10" s="78"/>
      <c r="MG10" s="78"/>
      <c r="MH10" s="78"/>
      <c r="MI10" s="78"/>
      <c r="MJ10" s="78"/>
      <c r="MK10" s="78"/>
      <c r="ML10" s="78"/>
      <c r="MM10" s="78"/>
      <c r="MN10" s="78"/>
      <c r="MO10" s="78"/>
      <c r="MP10" s="78"/>
      <c r="MQ10" s="78"/>
      <c r="MR10" s="78"/>
      <c r="MS10" s="78"/>
      <c r="MT10" s="78"/>
      <c r="MU10" s="78"/>
      <c r="MV10" s="78"/>
      <c r="MW10" s="78"/>
      <c r="MX10" s="78"/>
      <c r="MY10" s="78"/>
      <c r="MZ10" s="78"/>
      <c r="NA10" s="78"/>
      <c r="NB10" s="78"/>
      <c r="NC10" s="78"/>
      <c r="ND10" s="78"/>
      <c r="NE10" s="78"/>
      <c r="NF10" s="78"/>
      <c r="NG10" s="78"/>
      <c r="NH10" s="78"/>
      <c r="NI10" s="78"/>
      <c r="NJ10" s="78"/>
      <c r="NK10" s="78"/>
      <c r="NL10" s="78"/>
      <c r="NM10" s="78"/>
      <c r="NN10" s="78"/>
      <c r="NO10" s="78"/>
      <c r="NP10" s="78"/>
      <c r="NQ10" s="78"/>
      <c r="NR10" s="78"/>
      <c r="NS10" s="78"/>
      <c r="NT10" s="78"/>
      <c r="NU10" s="78"/>
      <c r="NV10" s="78"/>
      <c r="NW10" s="78"/>
      <c r="NX10" s="78"/>
      <c r="NY10" s="78"/>
      <c r="NZ10" s="78"/>
      <c r="OA10" s="78"/>
      <c r="OB10" s="78"/>
      <c r="OC10" s="78"/>
      <c r="OD10" s="78"/>
      <c r="OE10" s="78"/>
      <c r="OF10" s="78"/>
      <c r="OG10" s="78"/>
      <c r="OH10" s="78"/>
      <c r="OI10" s="78"/>
      <c r="OJ10" s="78"/>
      <c r="OK10" s="78"/>
      <c r="OL10" s="78"/>
      <c r="OM10" s="78"/>
      <c r="ON10" s="78"/>
      <c r="OO10" s="78"/>
      <c r="OP10" s="78"/>
      <c r="OQ10" s="78"/>
      <c r="OR10" s="78"/>
      <c r="OS10" s="78"/>
      <c r="OT10" s="78"/>
      <c r="OU10" s="78"/>
      <c r="OV10" s="78"/>
      <c r="OW10" s="78"/>
      <c r="OX10" s="78"/>
      <c r="OY10" s="78"/>
      <c r="OZ10" s="78"/>
      <c r="PA10" s="78"/>
      <c r="PB10" s="78"/>
      <c r="PC10" s="78"/>
      <c r="PD10" s="78"/>
      <c r="PE10" s="78"/>
      <c r="PF10" s="78"/>
      <c r="PG10" s="78"/>
      <c r="PH10" s="78"/>
      <c r="PI10" s="78"/>
      <c r="PJ10" s="78"/>
      <c r="PK10" s="78"/>
      <c r="PL10" s="78"/>
      <c r="PM10" s="78"/>
      <c r="PN10" s="78"/>
      <c r="PO10" s="78"/>
      <c r="PP10" s="78"/>
      <c r="PQ10" s="78"/>
      <c r="PR10" s="78"/>
      <c r="PS10" s="78"/>
      <c r="PT10" s="78"/>
      <c r="PU10" s="78"/>
      <c r="PV10" s="78"/>
      <c r="PW10" s="78"/>
      <c r="PX10" s="78"/>
      <c r="PY10" s="78"/>
      <c r="PZ10" s="78"/>
      <c r="QA10" s="78"/>
      <c r="QB10" s="78"/>
      <c r="QC10" s="78"/>
      <c r="QD10" s="78"/>
      <c r="QE10" s="78"/>
      <c r="QF10" s="78"/>
      <c r="QG10" s="78"/>
      <c r="QH10" s="78"/>
      <c r="QI10" s="78"/>
      <c r="QJ10" s="78"/>
      <c r="QK10" s="78"/>
      <c r="QL10" s="78"/>
      <c r="QM10" s="78"/>
      <c r="QN10" s="78"/>
      <c r="QO10" s="78"/>
      <c r="QP10" s="78"/>
      <c r="QQ10" s="78"/>
      <c r="QR10" s="78"/>
      <c r="QS10" s="78"/>
      <c r="QT10" s="78"/>
      <c r="QU10" s="78"/>
      <c r="QV10" s="78"/>
      <c r="QW10" s="78"/>
      <c r="QX10" s="78"/>
      <c r="QY10" s="78"/>
      <c r="QZ10" s="78"/>
      <c r="RA10" s="78"/>
      <c r="RB10" s="78"/>
      <c r="RC10" s="78"/>
      <c r="RD10" s="78"/>
      <c r="RE10" s="78"/>
      <c r="RF10" s="78"/>
      <c r="RG10" s="78"/>
      <c r="RH10" s="78"/>
      <c r="RI10" s="78"/>
      <c r="RJ10" s="78"/>
      <c r="RK10" s="78"/>
      <c r="RL10" s="78"/>
      <c r="RM10" s="78"/>
      <c r="RN10" s="78"/>
      <c r="RO10" s="78"/>
      <c r="RP10" s="78"/>
      <c r="RQ10" s="78"/>
      <c r="RR10" s="78"/>
      <c r="RS10" s="78"/>
      <c r="RT10" s="78"/>
      <c r="RU10" s="78"/>
      <c r="RV10" s="78"/>
      <c r="RW10" s="78"/>
      <c r="RX10" s="78"/>
      <c r="RY10" s="78"/>
      <c r="RZ10" s="78"/>
      <c r="SA10" s="78"/>
      <c r="SB10" s="78"/>
      <c r="SC10" s="78"/>
      <c r="SD10" s="78"/>
      <c r="SE10" s="78"/>
      <c r="SF10" s="78"/>
      <c r="SG10" s="78"/>
      <c r="SH10" s="78"/>
      <c r="SI10" s="78"/>
      <c r="SJ10" s="78"/>
      <c r="SK10" s="78"/>
      <c r="SL10" s="78"/>
      <c r="SM10" s="78"/>
      <c r="SN10" s="78"/>
      <c r="SO10" s="78"/>
      <c r="SP10" s="78"/>
      <c r="SQ10" s="78"/>
      <c r="SR10" s="78"/>
      <c r="SS10" s="78"/>
      <c r="ST10" s="78"/>
      <c r="SU10" s="78"/>
      <c r="SV10" s="78"/>
      <c r="SW10" s="78"/>
      <c r="SX10" s="78"/>
      <c r="SY10" s="78"/>
      <c r="SZ10" s="78"/>
      <c r="TA10" s="78"/>
      <c r="TB10" s="78"/>
      <c r="TC10" s="78"/>
      <c r="TD10" s="78"/>
      <c r="TE10" s="78"/>
      <c r="TF10" s="78"/>
      <c r="TG10" s="78"/>
      <c r="TH10" s="78"/>
      <c r="TI10" s="78"/>
      <c r="TJ10" s="78"/>
      <c r="TK10" s="78"/>
      <c r="TL10" s="78"/>
      <c r="TM10" s="78"/>
      <c r="TN10" s="78"/>
      <c r="TO10" s="78"/>
      <c r="TP10" s="78"/>
      <c r="TQ10" s="78"/>
      <c r="TR10" s="78"/>
      <c r="TS10" s="78"/>
      <c r="TT10" s="78"/>
      <c r="TU10" s="78"/>
      <c r="TV10" s="78"/>
      <c r="TW10" s="78"/>
      <c r="TX10" s="78"/>
      <c r="TY10" s="78"/>
      <c r="TZ10" s="78"/>
      <c r="UA10" s="78"/>
      <c r="UB10" s="78"/>
      <c r="UC10" s="78"/>
      <c r="UD10" s="78"/>
      <c r="UE10" s="78"/>
      <c r="UF10" s="78"/>
      <c r="UG10" s="78"/>
      <c r="UH10" s="78"/>
      <c r="UI10" s="78"/>
      <c r="UJ10" s="78"/>
      <c r="UK10" s="78"/>
      <c r="UL10" s="78"/>
      <c r="UM10" s="78"/>
      <c r="UN10" s="78"/>
      <c r="UO10" s="78"/>
      <c r="UP10" s="78"/>
      <c r="UQ10" s="78"/>
      <c r="UR10" s="78"/>
      <c r="US10" s="78"/>
      <c r="UT10" s="78"/>
      <c r="UU10" s="78"/>
      <c r="UV10" s="78"/>
      <c r="UW10" s="78"/>
      <c r="UX10" s="78"/>
      <c r="UY10" s="78"/>
      <c r="UZ10" s="78"/>
      <c r="VA10" s="78"/>
      <c r="VB10" s="78"/>
      <c r="VC10" s="78"/>
      <c r="VD10" s="78"/>
      <c r="VE10" s="78"/>
      <c r="VF10" s="78"/>
      <c r="VG10" s="78"/>
      <c r="VH10" s="78"/>
      <c r="VI10" s="78"/>
      <c r="VJ10" s="78"/>
      <c r="VK10" s="78"/>
      <c r="VL10" s="78"/>
      <c r="VM10" s="78"/>
      <c r="VN10" s="78"/>
      <c r="VO10" s="78"/>
      <c r="VP10" s="78"/>
      <c r="VQ10" s="78"/>
      <c r="VR10" s="78"/>
      <c r="VS10" s="78"/>
      <c r="VT10" s="78"/>
      <c r="VU10" s="78"/>
      <c r="VV10" s="78"/>
      <c r="VW10" s="78"/>
      <c r="VX10" s="78"/>
      <c r="VY10" s="78"/>
      <c r="VZ10" s="78"/>
      <c r="WA10" s="78"/>
      <c r="WB10" s="78"/>
      <c r="WC10" s="78"/>
      <c r="WD10" s="78"/>
      <c r="WE10" s="78"/>
      <c r="WF10" s="78"/>
      <c r="WG10" s="78"/>
      <c r="WH10" s="78"/>
      <c r="WI10" s="78"/>
      <c r="WJ10" s="78"/>
      <c r="WK10" s="78"/>
      <c r="WL10" s="78"/>
      <c r="WM10" s="78"/>
      <c r="WN10" s="78"/>
      <c r="WO10" s="78"/>
      <c r="WP10" s="78"/>
      <c r="WQ10" s="78"/>
      <c r="WR10" s="78"/>
      <c r="WS10" s="78"/>
      <c r="WT10" s="78"/>
      <c r="WU10" s="78"/>
      <c r="WV10" s="78"/>
      <c r="WW10" s="78"/>
      <c r="WX10" s="78"/>
      <c r="WY10" s="78"/>
      <c r="WZ10" s="78"/>
      <c r="XA10" s="78"/>
      <c r="XB10" s="78"/>
      <c r="XC10" s="78"/>
      <c r="XD10" s="78"/>
      <c r="XE10" s="78"/>
      <c r="XF10" s="78"/>
      <c r="XG10" s="78"/>
      <c r="XH10" s="78"/>
      <c r="XI10" s="78"/>
      <c r="XJ10" s="78"/>
      <c r="XK10" s="78"/>
      <c r="XL10" s="78"/>
      <c r="XM10" s="78"/>
      <c r="XN10" s="78"/>
      <c r="XO10" s="78"/>
      <c r="XP10" s="78"/>
      <c r="XQ10" s="78"/>
      <c r="XR10" s="78"/>
      <c r="XS10" s="78"/>
      <c r="XT10" s="78"/>
      <c r="XU10" s="78"/>
      <c r="XV10" s="78"/>
      <c r="XW10" s="78"/>
      <c r="XX10" s="78"/>
      <c r="XY10" s="78"/>
      <c r="XZ10" s="78"/>
      <c r="YA10" s="78"/>
      <c r="YB10" s="78"/>
      <c r="YC10" s="78"/>
      <c r="YD10" s="78"/>
      <c r="YE10" s="78"/>
      <c r="YF10" s="78"/>
      <c r="YG10" s="78"/>
      <c r="YH10" s="78"/>
      <c r="YI10" s="78"/>
      <c r="YJ10" s="78"/>
      <c r="YK10" s="78"/>
      <c r="YL10" s="78"/>
      <c r="YM10" s="78"/>
      <c r="YN10" s="78"/>
      <c r="YO10" s="78"/>
      <c r="YP10" s="78"/>
      <c r="YQ10" s="78"/>
      <c r="YR10" s="78"/>
      <c r="YS10" s="78"/>
      <c r="YT10" s="78"/>
      <c r="YU10" s="78"/>
      <c r="YV10" s="78"/>
      <c r="YW10" s="78"/>
      <c r="YX10" s="78"/>
      <c r="YY10" s="78"/>
      <c r="YZ10" s="78"/>
      <c r="ZA10" s="78"/>
      <c r="ZB10" s="78"/>
      <c r="ZC10" s="78"/>
      <c r="ZD10" s="78"/>
      <c r="ZE10" s="78"/>
      <c r="ZF10" s="78"/>
      <c r="ZG10" s="78"/>
      <c r="ZH10" s="78"/>
      <c r="ZI10" s="78"/>
      <c r="ZJ10" s="78"/>
      <c r="ZK10" s="78"/>
      <c r="ZL10" s="78"/>
      <c r="ZM10" s="78"/>
      <c r="ZN10" s="78"/>
      <c r="ZO10" s="78"/>
      <c r="ZP10" s="78"/>
      <c r="ZQ10" s="78"/>
      <c r="ZR10" s="78"/>
      <c r="ZS10" s="78"/>
      <c r="ZT10" s="78"/>
      <c r="ZU10" s="78"/>
      <c r="ZV10" s="78"/>
      <c r="ZW10" s="78"/>
      <c r="ZX10" s="78"/>
      <c r="ZY10" s="78"/>
      <c r="ZZ10" s="78"/>
      <c r="AAA10" s="78"/>
      <c r="AAB10" s="78"/>
      <c r="AAC10" s="78"/>
      <c r="AAD10" s="78"/>
      <c r="AAE10" s="78"/>
      <c r="AAF10" s="78"/>
      <c r="AAG10" s="78"/>
      <c r="AAH10" s="78"/>
      <c r="AAI10" s="78"/>
      <c r="AAJ10" s="78"/>
      <c r="AAK10" s="78"/>
      <c r="AAL10" s="78"/>
      <c r="AAM10" s="78"/>
      <c r="AAN10" s="78"/>
      <c r="AAO10" s="78"/>
      <c r="AAP10" s="78"/>
      <c r="AAQ10" s="78"/>
      <c r="AAR10" s="78"/>
      <c r="AAS10" s="78"/>
      <c r="AAT10" s="78"/>
      <c r="AAU10" s="78"/>
      <c r="AAV10" s="78"/>
      <c r="AAW10" s="78"/>
      <c r="AAX10" s="78"/>
      <c r="AAY10" s="78"/>
      <c r="AAZ10" s="78"/>
      <c r="ABA10" s="78"/>
      <c r="ABB10" s="78"/>
      <c r="ABC10" s="78"/>
      <c r="ABD10" s="78"/>
      <c r="ABE10" s="78"/>
      <c r="ABF10" s="78"/>
      <c r="ABG10" s="78"/>
      <c r="ABH10" s="78"/>
      <c r="ABI10" s="78"/>
      <c r="ABJ10" s="78"/>
      <c r="ABK10" s="78"/>
      <c r="ABL10" s="78"/>
      <c r="ABM10" s="78"/>
      <c r="ABN10" s="78"/>
      <c r="ABO10" s="78"/>
      <c r="ABP10" s="78"/>
      <c r="ABQ10" s="78"/>
      <c r="ABR10" s="78"/>
      <c r="ABS10" s="78"/>
      <c r="ABT10" s="78"/>
      <c r="ABU10" s="78"/>
      <c r="ABV10" s="78"/>
      <c r="ABW10" s="78"/>
      <c r="ABX10" s="78"/>
      <c r="ABY10" s="78"/>
      <c r="ABZ10" s="78"/>
      <c r="ACA10" s="78"/>
      <c r="ACB10" s="78"/>
      <c r="ACC10" s="78"/>
      <c r="ACD10" s="78"/>
      <c r="ACE10" s="78"/>
      <c r="ACF10" s="78"/>
      <c r="ACG10" s="78"/>
      <c r="ACH10" s="78"/>
      <c r="ACI10" s="78"/>
      <c r="ACJ10" s="78"/>
      <c r="ACK10" s="78"/>
      <c r="ACL10" s="78"/>
      <c r="ACM10" s="78"/>
      <c r="ACN10" s="78"/>
      <c r="ACO10" s="78"/>
      <c r="ACP10" s="78"/>
      <c r="ACQ10" s="78"/>
      <c r="ACR10" s="78"/>
      <c r="ACS10" s="78"/>
      <c r="ACT10" s="78"/>
      <c r="ACU10" s="78"/>
      <c r="ACV10" s="78"/>
      <c r="ACW10" s="78"/>
      <c r="ACX10" s="78"/>
      <c r="ACY10" s="78"/>
      <c r="ACZ10" s="78"/>
      <c r="ADA10" s="78"/>
      <c r="ADB10" s="78"/>
      <c r="ADC10" s="78"/>
      <c r="ADD10" s="78"/>
      <c r="ADE10" s="78"/>
      <c r="ADF10" s="78"/>
      <c r="ADG10" s="78"/>
      <c r="ADH10" s="78"/>
      <c r="ADI10" s="78"/>
      <c r="ADJ10" s="78"/>
      <c r="ADK10" s="78"/>
      <c r="ADL10" s="78"/>
      <c r="ADM10" s="78"/>
      <c r="ADN10" s="78"/>
      <c r="ADO10" s="78"/>
      <c r="ADP10" s="78"/>
      <c r="ADQ10" s="78"/>
      <c r="ADR10" s="78"/>
      <c r="ADS10" s="78"/>
      <c r="ADT10" s="78"/>
      <c r="ADU10" s="78"/>
      <c r="ADV10" s="78"/>
      <c r="ADW10" s="78"/>
      <c r="ADX10" s="78"/>
      <c r="ADY10" s="78"/>
      <c r="ADZ10" s="78"/>
      <c r="AEA10" s="78"/>
      <c r="AEB10" s="78"/>
      <c r="AEC10" s="78"/>
      <c r="AED10" s="78"/>
      <c r="AEE10" s="78"/>
      <c r="AEF10" s="78"/>
      <c r="AEG10" s="78"/>
      <c r="AEH10" s="78"/>
      <c r="AEI10" s="78"/>
      <c r="AEJ10" s="78"/>
      <c r="AEK10" s="78"/>
      <c r="AEL10" s="78"/>
      <c r="AEM10" s="78"/>
      <c r="AEN10" s="78"/>
      <c r="AEO10" s="78"/>
      <c r="AEP10" s="78"/>
      <c r="AEQ10" s="78"/>
      <c r="AER10" s="78"/>
      <c r="AES10" s="78"/>
      <c r="AET10" s="78"/>
      <c r="AEU10" s="78"/>
      <c r="AEV10" s="78"/>
      <c r="AEW10" s="78"/>
      <c r="AEX10" s="78"/>
      <c r="AEY10" s="78"/>
      <c r="AEZ10" s="78"/>
      <c r="AFA10" s="78"/>
      <c r="AFB10" s="78"/>
      <c r="AFC10" s="78"/>
      <c r="AFD10" s="78"/>
      <c r="AFE10" s="78"/>
      <c r="AFF10" s="78"/>
      <c r="AFG10" s="78"/>
      <c r="AFH10" s="78"/>
      <c r="AFI10" s="78"/>
      <c r="AFJ10" s="78"/>
      <c r="AFK10" s="78"/>
      <c r="AFL10" s="78"/>
      <c r="AFM10" s="78"/>
      <c r="AFN10" s="78"/>
      <c r="AFO10" s="78"/>
      <c r="AFP10" s="78"/>
      <c r="AFQ10" s="78"/>
      <c r="AFR10" s="78"/>
      <c r="AFS10" s="78"/>
      <c r="AFT10" s="78"/>
      <c r="AFU10" s="78"/>
      <c r="AFV10" s="78"/>
      <c r="AFW10" s="78"/>
      <c r="AFX10" s="78"/>
      <c r="AFY10" s="78"/>
      <c r="AFZ10" s="78"/>
      <c r="AGA10" s="78"/>
      <c r="AGB10" s="78"/>
      <c r="AGC10" s="78"/>
      <c r="AGD10" s="78"/>
      <c r="AGE10" s="78"/>
      <c r="AGF10" s="78"/>
      <c r="AGG10" s="78"/>
      <c r="AGH10" s="78"/>
      <c r="AGI10" s="78"/>
      <c r="AGJ10" s="78"/>
      <c r="AGK10" s="78"/>
      <c r="AGL10" s="78"/>
      <c r="AGM10" s="78"/>
      <c r="AGN10" s="78"/>
      <c r="AGO10" s="78"/>
      <c r="AGP10" s="78"/>
      <c r="AGQ10" s="78"/>
      <c r="AGR10" s="78"/>
      <c r="AGS10" s="78"/>
      <c r="AGT10" s="78"/>
      <c r="AGU10" s="78"/>
      <c r="AGV10" s="78"/>
      <c r="AGW10" s="78"/>
      <c r="AGX10" s="78"/>
      <c r="AGY10" s="78"/>
      <c r="AGZ10" s="78"/>
      <c r="AHA10" s="78"/>
      <c r="AHB10" s="78"/>
      <c r="AHC10" s="78"/>
      <c r="AHD10" s="78"/>
      <c r="AHE10" s="78"/>
      <c r="AHF10" s="78"/>
      <c r="AHG10" s="78"/>
      <c r="AHH10" s="78"/>
      <c r="AHI10" s="78"/>
      <c r="AHJ10" s="78"/>
      <c r="AHK10" s="78"/>
      <c r="AHL10" s="78"/>
      <c r="AHM10" s="78"/>
      <c r="AHN10" s="78"/>
      <c r="AHO10" s="78"/>
      <c r="AHP10" s="78"/>
      <c r="AHQ10" s="78"/>
      <c r="AHR10" s="78"/>
      <c r="AHS10" s="78"/>
      <c r="AHT10" s="78"/>
      <c r="AHU10" s="78"/>
      <c r="AHV10" s="78"/>
      <c r="AHW10" s="78"/>
      <c r="AHX10" s="78"/>
      <c r="AHY10" s="78"/>
      <c r="AHZ10" s="78"/>
      <c r="AIA10" s="78"/>
      <c r="AIB10" s="78"/>
      <c r="AIC10" s="78"/>
      <c r="AID10" s="78"/>
      <c r="AIE10" s="78"/>
      <c r="AIF10" s="78"/>
      <c r="AIG10" s="78"/>
      <c r="AIH10" s="78"/>
      <c r="AII10" s="78"/>
      <c r="AIJ10" s="78"/>
      <c r="AIK10" s="78"/>
      <c r="AIL10" s="78"/>
      <c r="AIM10" s="78"/>
      <c r="AIN10" s="78"/>
      <c r="AIO10" s="78"/>
      <c r="AIP10" s="78"/>
      <c r="AIQ10" s="78"/>
      <c r="AIR10" s="78"/>
      <c r="AIS10" s="78"/>
      <c r="AIT10" s="78"/>
      <c r="AIU10" s="78"/>
      <c r="AIV10" s="78"/>
      <c r="AIW10" s="78"/>
      <c r="AIX10" s="78"/>
      <c r="AIY10" s="78"/>
      <c r="AIZ10" s="78"/>
      <c r="AJA10" s="78"/>
      <c r="AJB10" s="78"/>
      <c r="AJC10" s="78"/>
      <c r="AJD10" s="78"/>
      <c r="AJE10" s="78"/>
      <c r="AJF10" s="78"/>
      <c r="AJG10" s="78"/>
      <c r="AJH10" s="78"/>
      <c r="AJI10" s="78"/>
      <c r="AJJ10" s="78"/>
      <c r="AJK10" s="78"/>
      <c r="AJL10" s="78"/>
      <c r="AJM10" s="78"/>
      <c r="AJN10" s="78"/>
      <c r="AJO10" s="78"/>
      <c r="AJP10" s="78"/>
      <c r="AJQ10" s="78"/>
      <c r="AJR10" s="78"/>
      <c r="AJS10" s="78"/>
      <c r="AJT10" s="78"/>
      <c r="AJU10" s="78"/>
      <c r="AJV10" s="78"/>
      <c r="AJW10" s="78"/>
      <c r="AJX10" s="78"/>
      <c r="AJY10" s="78"/>
      <c r="AJZ10" s="78"/>
      <c r="AKA10" s="78"/>
      <c r="AKB10" s="78"/>
      <c r="AKC10" s="78"/>
      <c r="AKD10" s="78"/>
      <c r="AKE10" s="78"/>
      <c r="AKF10" s="78"/>
      <c r="AKG10" s="78"/>
      <c r="AKH10" s="78"/>
      <c r="AKI10" s="78"/>
      <c r="AKJ10" s="78"/>
      <c r="AKK10" s="78"/>
      <c r="AKL10" s="78"/>
      <c r="AKM10" s="78"/>
      <c r="AKN10" s="78"/>
      <c r="AKO10" s="78"/>
      <c r="AKP10" s="78"/>
      <c r="AKQ10" s="78"/>
      <c r="AKR10" s="78"/>
      <c r="AKS10" s="78"/>
      <c r="AKT10" s="78"/>
      <c r="AKU10" s="78"/>
      <c r="AKV10" s="78"/>
      <c r="AKW10" s="78"/>
      <c r="AKX10" s="78"/>
      <c r="AKY10" s="78"/>
      <c r="AKZ10" s="78"/>
      <c r="ALA10" s="78"/>
      <c r="ALB10" s="78"/>
      <c r="ALC10" s="78"/>
      <c r="ALD10" s="78"/>
      <c r="ALE10" s="78"/>
      <c r="ALF10" s="78"/>
      <c r="ALG10" s="78"/>
      <c r="ALH10" s="78"/>
      <c r="ALI10" s="78"/>
      <c r="ALJ10" s="78"/>
      <c r="ALK10" s="78"/>
      <c r="ALL10" s="78"/>
      <c r="ALM10" s="78"/>
      <c r="ALN10" s="78"/>
      <c r="ALO10" s="78"/>
      <c r="ALP10" s="78"/>
      <c r="ALQ10" s="78"/>
      <c r="ALR10" s="78"/>
      <c r="ALS10" s="78"/>
      <c r="ALT10" s="78"/>
      <c r="ALU10" s="78"/>
      <c r="ALV10" s="78"/>
      <c r="ALW10" s="78"/>
      <c r="ALX10" s="78"/>
      <c r="ALY10" s="78"/>
      <c r="ALZ10" s="78"/>
      <c r="AMA10" s="78"/>
      <c r="AMB10" s="78"/>
      <c r="AMC10" s="78"/>
      <c r="AMD10" s="78"/>
      <c r="AME10" s="78"/>
      <c r="AMF10" s="78"/>
      <c r="AMG10" s="78"/>
      <c r="AMH10" s="78"/>
      <c r="AMI10" s="78"/>
      <c r="AMJ10" s="78"/>
      <c r="AMK10" s="78"/>
      <c r="AML10" s="78"/>
      <c r="AMM10" s="78"/>
      <c r="AMN10" s="78"/>
      <c r="AMO10" s="78"/>
      <c r="AMP10" s="78"/>
      <c r="AMQ10" s="78"/>
      <c r="AMR10" s="78"/>
      <c r="AMS10" s="78"/>
      <c r="AMT10" s="78"/>
      <c r="AMU10" s="78"/>
      <c r="AMV10" s="78"/>
      <c r="AMW10" s="78"/>
      <c r="AMX10" s="78"/>
      <c r="AMY10" s="78"/>
      <c r="AMZ10" s="78"/>
      <c r="ANA10" s="78"/>
      <c r="ANB10" s="78"/>
      <c r="ANC10" s="78"/>
      <c r="AND10" s="78"/>
      <c r="ANE10" s="78"/>
      <c r="ANF10" s="78"/>
      <c r="ANG10" s="78"/>
      <c r="ANH10" s="78"/>
      <c r="ANI10" s="78"/>
      <c r="ANJ10" s="78"/>
      <c r="ANK10" s="78"/>
      <c r="ANL10" s="78"/>
      <c r="ANM10" s="78"/>
      <c r="ANN10" s="78"/>
      <c r="ANO10" s="78"/>
      <c r="ANP10" s="78"/>
      <c r="ANQ10" s="78"/>
      <c r="ANR10" s="78"/>
      <c r="ANS10" s="78"/>
      <c r="ANT10" s="78"/>
      <c r="ANU10" s="78"/>
      <c r="ANV10" s="78"/>
      <c r="ANW10" s="78"/>
      <c r="ANX10" s="78"/>
      <c r="ANY10" s="78"/>
      <c r="ANZ10" s="78"/>
      <c r="AOA10" s="78"/>
      <c r="AOB10" s="78"/>
      <c r="AOC10" s="78"/>
      <c r="AOD10" s="78"/>
      <c r="AOE10" s="78"/>
      <c r="AOF10" s="78"/>
      <c r="AOG10" s="78"/>
      <c r="AOH10" s="78"/>
      <c r="AOI10" s="78"/>
      <c r="AOJ10" s="78"/>
      <c r="AOK10" s="78"/>
      <c r="AOL10" s="78"/>
      <c r="AOM10" s="78"/>
      <c r="AON10" s="78"/>
      <c r="AOO10" s="78"/>
      <c r="AOP10" s="78"/>
      <c r="AOQ10" s="78"/>
      <c r="AOR10" s="78"/>
      <c r="AOS10" s="78"/>
      <c r="AOT10" s="78"/>
      <c r="AOU10" s="78"/>
      <c r="AOV10" s="78"/>
      <c r="AOW10" s="78"/>
      <c r="AOX10" s="78"/>
      <c r="AOY10" s="78"/>
      <c r="AOZ10" s="78"/>
      <c r="APA10" s="78"/>
      <c r="APB10" s="78"/>
      <c r="APC10" s="78"/>
      <c r="APD10" s="78"/>
      <c r="APE10" s="78"/>
      <c r="APF10" s="78"/>
      <c r="APG10" s="78"/>
      <c r="APH10" s="78"/>
      <c r="API10" s="78"/>
      <c r="APJ10" s="78"/>
      <c r="APK10" s="78"/>
      <c r="APL10" s="78"/>
      <c r="APM10" s="78"/>
      <c r="APN10" s="78"/>
      <c r="APO10" s="78"/>
      <c r="APP10" s="78"/>
      <c r="APQ10" s="78"/>
      <c r="APR10" s="78"/>
      <c r="APS10" s="78"/>
      <c r="APT10" s="78"/>
      <c r="APU10" s="78"/>
      <c r="APV10" s="78"/>
      <c r="APW10" s="78"/>
      <c r="APX10" s="78"/>
      <c r="APY10" s="78"/>
      <c r="APZ10" s="78"/>
      <c r="AQA10" s="78"/>
      <c r="AQB10" s="78"/>
      <c r="AQC10" s="78"/>
      <c r="AQD10" s="78"/>
      <c r="AQE10" s="78"/>
      <c r="AQF10" s="78"/>
      <c r="AQG10" s="78"/>
      <c r="AQH10" s="78"/>
      <c r="AQI10" s="78"/>
      <c r="AQJ10" s="78"/>
      <c r="AQK10" s="78"/>
      <c r="AQL10" s="78"/>
      <c r="AQM10" s="78"/>
      <c r="AQN10" s="78"/>
      <c r="AQO10" s="78"/>
      <c r="AQP10" s="78"/>
      <c r="AQQ10" s="78"/>
      <c r="AQR10" s="78"/>
      <c r="AQS10" s="78"/>
      <c r="AQT10" s="78"/>
      <c r="AQU10" s="78"/>
      <c r="AQV10" s="78"/>
      <c r="AQW10" s="78"/>
      <c r="AQX10" s="78"/>
      <c r="AQY10" s="78"/>
      <c r="AQZ10" s="78"/>
      <c r="ARA10" s="78"/>
      <c r="ARB10" s="78"/>
      <c r="ARC10" s="78"/>
      <c r="ARD10" s="78"/>
      <c r="ARE10" s="78"/>
      <c r="ARF10" s="78"/>
      <c r="ARG10" s="78"/>
      <c r="ARH10" s="78"/>
      <c r="ARI10" s="78"/>
      <c r="ARJ10" s="78"/>
      <c r="ARK10" s="78"/>
      <c r="ARL10" s="78"/>
      <c r="ARM10" s="78"/>
      <c r="ARN10" s="78"/>
      <c r="ARO10" s="78"/>
      <c r="ARP10" s="78"/>
      <c r="ARQ10" s="78"/>
      <c r="ARR10" s="78"/>
      <c r="ARS10" s="78"/>
      <c r="ART10" s="78"/>
      <c r="ARU10" s="78"/>
      <c r="ARV10" s="78"/>
      <c r="ARW10" s="78"/>
      <c r="ARX10" s="78"/>
      <c r="ARY10" s="78"/>
      <c r="ARZ10" s="78"/>
      <c r="ASA10" s="78"/>
      <c r="ASB10" s="78"/>
      <c r="ASC10" s="78"/>
      <c r="ASD10" s="78"/>
      <c r="ASE10" s="78"/>
      <c r="ASF10" s="78"/>
      <c r="ASG10" s="78"/>
      <c r="ASH10" s="78"/>
      <c r="ASI10" s="78"/>
      <c r="ASJ10" s="78"/>
      <c r="ASK10" s="78"/>
      <c r="ASL10" s="78"/>
      <c r="ASM10" s="78"/>
      <c r="ASN10" s="78"/>
      <c r="ASO10" s="78"/>
      <c r="ASP10" s="78"/>
      <c r="ASQ10" s="78"/>
      <c r="ASR10" s="78"/>
      <c r="ASS10" s="78"/>
      <c r="AST10" s="78"/>
      <c r="ASU10" s="78"/>
      <c r="ASV10" s="78"/>
      <c r="ASW10" s="78"/>
      <c r="ASX10" s="78"/>
      <c r="ASY10" s="78"/>
      <c r="ASZ10" s="78"/>
      <c r="ATA10" s="78"/>
      <c r="ATB10" s="78"/>
      <c r="ATC10" s="78"/>
      <c r="ATD10" s="78"/>
      <c r="ATE10" s="78"/>
      <c r="ATF10" s="78"/>
      <c r="ATG10" s="78"/>
      <c r="ATH10" s="78"/>
      <c r="ATI10" s="78"/>
      <c r="ATJ10" s="78"/>
      <c r="ATK10" s="78"/>
      <c r="ATL10" s="78"/>
      <c r="ATM10" s="78"/>
      <c r="ATN10" s="78"/>
      <c r="ATO10" s="78"/>
      <c r="ATP10" s="78"/>
      <c r="ATQ10" s="78"/>
      <c r="ATR10" s="78"/>
      <c r="ATS10" s="78"/>
      <c r="ATT10" s="78"/>
      <c r="ATU10" s="78"/>
      <c r="ATV10" s="78"/>
      <c r="ATW10" s="78"/>
      <c r="ATX10" s="78"/>
      <c r="ATY10" s="78"/>
      <c r="ATZ10" s="78"/>
      <c r="AUA10" s="78"/>
      <c r="AUB10" s="78"/>
      <c r="AUC10" s="78"/>
      <c r="AUD10" s="78"/>
      <c r="AUE10" s="78"/>
      <c r="AUF10" s="78"/>
      <c r="AUG10" s="78"/>
      <c r="AUH10" s="78"/>
      <c r="AUI10" s="78"/>
      <c r="AUJ10" s="78"/>
      <c r="AUK10" s="78"/>
      <c r="AUL10" s="78"/>
      <c r="AUM10" s="78"/>
      <c r="AUN10" s="78"/>
      <c r="AUO10" s="78"/>
      <c r="AUP10" s="78"/>
      <c r="AUQ10" s="78"/>
      <c r="AUR10" s="78"/>
      <c r="AUS10" s="78"/>
      <c r="AUT10" s="78"/>
      <c r="AUU10" s="78"/>
      <c r="AUV10" s="78"/>
      <c r="AUW10" s="78"/>
      <c r="AUX10" s="78"/>
      <c r="AUY10" s="78"/>
      <c r="AUZ10" s="78"/>
      <c r="AVA10" s="78"/>
      <c r="AVB10" s="78"/>
      <c r="AVC10" s="78"/>
      <c r="AVD10" s="78"/>
      <c r="AVE10" s="78"/>
      <c r="AVF10" s="78"/>
      <c r="AVG10" s="78"/>
      <c r="AVH10" s="78"/>
      <c r="AVI10" s="78"/>
      <c r="AVJ10" s="78"/>
      <c r="AVK10" s="78"/>
      <c r="AVL10" s="78"/>
      <c r="AVM10" s="78"/>
      <c r="AVN10" s="78"/>
      <c r="AVO10" s="78"/>
      <c r="AVP10" s="78"/>
      <c r="AVQ10" s="78"/>
      <c r="AVR10" s="78"/>
      <c r="AVS10" s="78"/>
      <c r="AVT10" s="78"/>
      <c r="AVU10" s="78"/>
      <c r="AVV10" s="78"/>
      <c r="AVW10" s="78"/>
      <c r="AVX10" s="78"/>
      <c r="AVY10" s="78"/>
      <c r="AVZ10" s="78"/>
      <c r="AWA10" s="78"/>
      <c r="AWB10" s="78"/>
      <c r="AWC10" s="78"/>
      <c r="AWD10" s="78"/>
      <c r="AWE10" s="78"/>
      <c r="AWF10" s="78"/>
      <c r="AWG10" s="78"/>
      <c r="AWH10" s="78"/>
      <c r="AWI10" s="78"/>
      <c r="AWJ10" s="78"/>
      <c r="AWK10" s="78"/>
      <c r="AWL10" s="78"/>
      <c r="AWM10" s="78"/>
      <c r="AWN10" s="78"/>
      <c r="AWO10" s="78"/>
      <c r="AWP10" s="78"/>
      <c r="AWQ10" s="78"/>
      <c r="AWR10" s="78"/>
      <c r="AWS10" s="78"/>
      <c r="AWT10" s="78"/>
      <c r="AWU10" s="78"/>
      <c r="AWV10" s="78"/>
      <c r="AWW10" s="78"/>
      <c r="AWX10" s="78"/>
      <c r="AWY10" s="78"/>
      <c r="AWZ10" s="78"/>
      <c r="AXA10" s="78"/>
      <c r="AXB10" s="78"/>
      <c r="AXC10" s="78"/>
      <c r="AXD10" s="78"/>
      <c r="AXE10" s="78"/>
      <c r="AXF10" s="78"/>
      <c r="AXG10" s="78"/>
      <c r="AXH10" s="78"/>
      <c r="AXI10" s="78"/>
      <c r="AXJ10" s="78"/>
      <c r="AXK10" s="78"/>
      <c r="AXL10" s="78"/>
      <c r="AXM10" s="78"/>
      <c r="AXN10" s="78"/>
      <c r="AXO10" s="78"/>
      <c r="AXP10" s="78"/>
      <c r="AXQ10" s="78"/>
      <c r="AXR10" s="78"/>
      <c r="AXS10" s="78"/>
      <c r="AXT10" s="78"/>
      <c r="AXU10" s="78"/>
      <c r="AXV10" s="78"/>
      <c r="AXW10" s="78"/>
      <c r="AXX10" s="78"/>
      <c r="AXY10" s="78"/>
      <c r="AXZ10" s="78"/>
      <c r="AYA10" s="78"/>
      <c r="AYB10" s="78"/>
      <c r="AYC10" s="78"/>
      <c r="AYD10" s="78"/>
      <c r="AYE10" s="78"/>
      <c r="AYF10" s="78"/>
      <c r="AYG10" s="78"/>
      <c r="AYH10" s="78"/>
      <c r="AYI10" s="78"/>
      <c r="AYJ10" s="78"/>
      <c r="AYK10" s="78"/>
      <c r="AYL10" s="78"/>
      <c r="AYM10" s="78"/>
      <c r="AYN10" s="78"/>
      <c r="AYO10" s="78"/>
      <c r="AYP10" s="78"/>
      <c r="AYQ10" s="78"/>
      <c r="AYR10" s="78"/>
      <c r="AYS10" s="78"/>
      <c r="AYT10" s="78"/>
      <c r="AYU10" s="78"/>
      <c r="AYV10" s="78"/>
      <c r="AYW10" s="78"/>
      <c r="AYX10" s="78"/>
      <c r="AYY10" s="78"/>
      <c r="AYZ10" s="78"/>
      <c r="AZA10" s="78"/>
      <c r="AZB10" s="78"/>
      <c r="AZC10" s="78"/>
      <c r="AZD10" s="78"/>
      <c r="AZE10" s="78"/>
      <c r="AZF10" s="78"/>
      <c r="AZG10" s="78"/>
      <c r="AZH10" s="78"/>
      <c r="AZI10" s="78"/>
      <c r="AZJ10" s="78"/>
      <c r="AZK10" s="78"/>
      <c r="AZL10" s="78"/>
      <c r="AZM10" s="78"/>
      <c r="AZN10" s="78"/>
      <c r="AZO10" s="78"/>
      <c r="AZP10" s="78"/>
      <c r="AZQ10" s="78"/>
      <c r="AZR10" s="78"/>
      <c r="AZS10" s="78"/>
      <c r="AZT10" s="78"/>
      <c r="AZU10" s="78"/>
      <c r="AZV10" s="78"/>
      <c r="AZW10" s="78"/>
      <c r="AZX10" s="78"/>
      <c r="AZY10" s="78"/>
      <c r="AZZ10" s="78"/>
      <c r="BAA10" s="78"/>
      <c r="BAB10" s="78"/>
      <c r="BAC10" s="78"/>
      <c r="BAD10" s="78"/>
      <c r="BAE10" s="78"/>
      <c r="BAF10" s="78"/>
      <c r="BAG10" s="78"/>
      <c r="BAH10" s="78"/>
      <c r="BAI10" s="78"/>
      <c r="BAJ10" s="78"/>
      <c r="BAK10" s="78"/>
      <c r="BAL10" s="78"/>
      <c r="BAM10" s="78"/>
      <c r="BAN10" s="78"/>
      <c r="BAO10" s="78"/>
      <c r="BAP10" s="78"/>
      <c r="BAQ10" s="78"/>
      <c r="BAR10" s="78"/>
      <c r="BAS10" s="78"/>
      <c r="BAT10" s="78"/>
      <c r="BAU10" s="78"/>
      <c r="BAV10" s="78"/>
      <c r="BAW10" s="78"/>
      <c r="BAX10" s="78"/>
      <c r="BAY10" s="78"/>
      <c r="BAZ10" s="78"/>
      <c r="BBA10" s="78"/>
      <c r="BBB10" s="78"/>
      <c r="BBC10" s="78"/>
      <c r="BBD10" s="78"/>
      <c r="BBE10" s="78"/>
      <c r="BBF10" s="78"/>
      <c r="BBG10" s="78"/>
      <c r="BBH10" s="78"/>
      <c r="BBI10" s="78"/>
      <c r="BBJ10" s="78"/>
      <c r="BBK10" s="78"/>
      <c r="BBL10" s="78"/>
      <c r="BBM10" s="78"/>
      <c r="BBN10" s="78"/>
      <c r="BBO10" s="78"/>
      <c r="BBP10" s="78"/>
      <c r="BBQ10" s="78"/>
      <c r="BBR10" s="78"/>
      <c r="BBS10" s="78"/>
      <c r="BBT10" s="78"/>
      <c r="BBU10" s="78"/>
      <c r="BBV10" s="78"/>
      <c r="BBW10" s="78"/>
      <c r="BBX10" s="78"/>
      <c r="BBY10" s="78"/>
      <c r="BBZ10" s="78"/>
      <c r="BCA10" s="78"/>
      <c r="BCB10" s="78"/>
      <c r="BCC10" s="78"/>
      <c r="BCD10" s="78"/>
      <c r="BCE10" s="78"/>
      <c r="BCF10" s="78"/>
      <c r="BCG10" s="78"/>
      <c r="BCH10" s="78"/>
      <c r="BCI10" s="78"/>
      <c r="BCJ10" s="78"/>
      <c r="BCK10" s="78"/>
      <c r="BCL10" s="78"/>
      <c r="BCM10" s="78"/>
      <c r="BCN10" s="78"/>
      <c r="BCO10" s="78"/>
      <c r="BCP10" s="78"/>
      <c r="BCQ10" s="78"/>
      <c r="BCR10" s="78"/>
      <c r="BCS10" s="78"/>
      <c r="BCT10" s="78"/>
      <c r="BCU10" s="78"/>
      <c r="BCV10" s="78"/>
      <c r="BCW10" s="78"/>
      <c r="BCX10" s="78"/>
      <c r="BCY10" s="78"/>
      <c r="BCZ10" s="78"/>
      <c r="BDA10" s="78"/>
      <c r="BDB10" s="78"/>
      <c r="BDC10" s="78"/>
      <c r="BDD10" s="78"/>
      <c r="BDE10" s="78"/>
      <c r="BDF10" s="78"/>
      <c r="BDG10" s="78"/>
      <c r="BDH10" s="78"/>
      <c r="BDI10" s="78"/>
      <c r="BDJ10" s="78"/>
      <c r="BDK10" s="78"/>
      <c r="BDL10" s="78"/>
      <c r="BDM10" s="78"/>
      <c r="BDN10" s="78"/>
      <c r="BDO10" s="78"/>
      <c r="BDP10" s="78"/>
      <c r="BDQ10" s="78"/>
      <c r="BDR10" s="78"/>
      <c r="BDS10" s="78"/>
      <c r="BDT10" s="78"/>
      <c r="BDU10" s="78"/>
      <c r="BDV10" s="78"/>
      <c r="BDW10" s="78"/>
      <c r="BDX10" s="78"/>
      <c r="BDY10" s="78"/>
      <c r="BDZ10" s="78"/>
      <c r="BEA10" s="78"/>
      <c r="BEB10" s="78"/>
      <c r="BEC10" s="78"/>
      <c r="BED10" s="78"/>
      <c r="BEE10" s="78"/>
      <c r="BEF10" s="78"/>
      <c r="BEG10" s="78"/>
      <c r="BEH10" s="78"/>
      <c r="BEI10" s="78"/>
      <c r="BEJ10" s="78"/>
      <c r="BEK10" s="78"/>
      <c r="BEL10" s="78"/>
      <c r="BEM10" s="78"/>
      <c r="BEN10" s="78"/>
      <c r="BEO10" s="78"/>
      <c r="BEP10" s="78"/>
      <c r="BEQ10" s="78"/>
      <c r="BER10" s="78"/>
      <c r="BES10" s="78"/>
      <c r="BET10" s="78"/>
      <c r="BEU10" s="78"/>
      <c r="BEV10" s="78"/>
      <c r="BEW10" s="78"/>
      <c r="BEX10" s="78"/>
      <c r="BEY10" s="78"/>
      <c r="BEZ10" s="78"/>
      <c r="BFA10" s="78"/>
      <c r="BFB10" s="78"/>
      <c r="BFC10" s="78"/>
      <c r="BFD10" s="78"/>
      <c r="BFE10" s="78"/>
      <c r="BFF10" s="78"/>
      <c r="BFG10" s="78"/>
      <c r="BFH10" s="78"/>
      <c r="BFI10" s="78"/>
      <c r="BFJ10" s="78"/>
      <c r="BFK10" s="78"/>
      <c r="BFL10" s="78"/>
      <c r="BFM10" s="78"/>
      <c r="BFN10" s="78"/>
      <c r="BFO10" s="78"/>
      <c r="BFP10" s="78"/>
      <c r="BFQ10" s="78"/>
      <c r="BFR10" s="78"/>
      <c r="BFS10" s="78"/>
      <c r="BFT10" s="78"/>
      <c r="BFU10" s="78"/>
      <c r="BFV10" s="78"/>
      <c r="BFW10" s="78"/>
      <c r="BFX10" s="78"/>
      <c r="BFY10" s="78"/>
      <c r="BFZ10" s="78"/>
      <c r="BGA10" s="78"/>
      <c r="BGB10" s="78"/>
      <c r="BGC10" s="78"/>
      <c r="BGD10" s="78"/>
      <c r="BGE10" s="78"/>
      <c r="BGF10" s="78"/>
      <c r="BGG10" s="78"/>
      <c r="BGH10" s="78"/>
      <c r="BGI10" s="78"/>
      <c r="BGJ10" s="78"/>
      <c r="BGK10" s="78"/>
      <c r="BGL10" s="78"/>
      <c r="BGM10" s="78"/>
      <c r="BGN10" s="78"/>
      <c r="BGO10" s="78"/>
      <c r="BGP10" s="78"/>
      <c r="BGQ10" s="78"/>
      <c r="BGR10" s="78"/>
      <c r="BGS10" s="78"/>
      <c r="BGT10" s="78"/>
      <c r="BGU10" s="78"/>
      <c r="BGV10" s="78"/>
      <c r="BGW10" s="78"/>
      <c r="BGX10" s="78"/>
      <c r="BGY10" s="78"/>
      <c r="BGZ10" s="78"/>
      <c r="BHA10" s="78"/>
      <c r="BHB10" s="78"/>
      <c r="BHC10" s="78"/>
      <c r="BHD10" s="78"/>
      <c r="BHE10" s="78"/>
      <c r="BHF10" s="78"/>
      <c r="BHG10" s="78"/>
      <c r="BHH10" s="78"/>
      <c r="BHI10" s="78"/>
      <c r="BHJ10" s="78"/>
      <c r="BHK10" s="78"/>
      <c r="BHL10" s="78"/>
      <c r="BHM10" s="78"/>
      <c r="BHN10" s="78"/>
      <c r="BHO10" s="78"/>
      <c r="BHP10" s="78"/>
      <c r="BHQ10" s="78"/>
      <c r="BHR10" s="78"/>
      <c r="BHS10" s="78"/>
      <c r="BHT10" s="78"/>
      <c r="BHU10" s="78"/>
      <c r="BHV10" s="78"/>
      <c r="BHW10" s="78"/>
      <c r="BHX10" s="78"/>
      <c r="BHY10" s="78"/>
      <c r="BHZ10" s="78"/>
      <c r="BIA10" s="78"/>
      <c r="BIB10" s="78"/>
      <c r="BIC10" s="78"/>
      <c r="BID10" s="78"/>
      <c r="BIE10" s="78"/>
      <c r="BIF10" s="78"/>
      <c r="BIG10" s="78"/>
      <c r="BIH10" s="78"/>
      <c r="BII10" s="78"/>
      <c r="BIJ10" s="78"/>
      <c r="BIK10" s="78"/>
      <c r="BIL10" s="78"/>
      <c r="BIM10" s="78"/>
      <c r="BIN10" s="78"/>
      <c r="BIO10" s="78"/>
      <c r="BIP10" s="78"/>
      <c r="BIQ10" s="78"/>
      <c r="BIR10" s="78"/>
      <c r="BIS10" s="78"/>
      <c r="BIT10" s="78"/>
      <c r="BIU10" s="78"/>
      <c r="BIV10" s="78"/>
      <c r="BIW10" s="78"/>
      <c r="BIX10" s="78"/>
      <c r="BIY10" s="78"/>
      <c r="BIZ10" s="78"/>
      <c r="BJA10" s="78"/>
      <c r="BJB10" s="78"/>
      <c r="BJC10" s="78"/>
      <c r="BJD10" s="78"/>
      <c r="BJE10" s="78"/>
      <c r="BJF10" s="78"/>
      <c r="BJG10" s="78"/>
      <c r="BJH10" s="78"/>
      <c r="BJI10" s="78"/>
      <c r="BJJ10" s="78"/>
      <c r="BJK10" s="78"/>
      <c r="BJL10" s="78"/>
      <c r="BJM10" s="78"/>
      <c r="BJN10" s="78"/>
      <c r="BJO10" s="78"/>
      <c r="BJP10" s="78"/>
      <c r="BJQ10" s="78"/>
      <c r="BJR10" s="78"/>
      <c r="BJS10" s="78"/>
      <c r="BJT10" s="78"/>
      <c r="BJU10" s="78"/>
      <c r="BJV10" s="78"/>
      <c r="BJW10" s="78"/>
      <c r="BJX10" s="78"/>
      <c r="BJY10" s="78"/>
      <c r="BJZ10" s="78"/>
      <c r="BKA10" s="78"/>
      <c r="BKB10" s="78"/>
      <c r="BKC10" s="78"/>
      <c r="BKD10" s="78"/>
      <c r="BKE10" s="78"/>
      <c r="BKF10" s="78"/>
      <c r="BKG10" s="78"/>
      <c r="BKH10" s="78"/>
      <c r="BKI10" s="78"/>
      <c r="BKJ10" s="78"/>
      <c r="BKK10" s="78"/>
      <c r="BKL10" s="78"/>
      <c r="BKM10" s="78"/>
      <c r="BKN10" s="78"/>
      <c r="BKO10" s="78"/>
      <c r="BKP10" s="78"/>
      <c r="BKQ10" s="78"/>
      <c r="BKR10" s="78"/>
      <c r="BKS10" s="78"/>
      <c r="BKT10" s="78"/>
      <c r="BKU10" s="78"/>
      <c r="BKV10" s="78"/>
      <c r="BKW10" s="78"/>
      <c r="BKX10" s="78"/>
      <c r="BKY10" s="78"/>
      <c r="BKZ10" s="78"/>
      <c r="BLA10" s="78"/>
      <c r="BLB10" s="78"/>
      <c r="BLC10" s="78"/>
      <c r="BLD10" s="78"/>
      <c r="BLE10" s="78"/>
      <c r="BLF10" s="78"/>
      <c r="BLG10" s="78"/>
      <c r="BLH10" s="78"/>
      <c r="BLI10" s="78"/>
      <c r="BLJ10" s="78"/>
      <c r="BLK10" s="78"/>
      <c r="BLL10" s="78"/>
      <c r="BLM10" s="78"/>
      <c r="BLN10" s="78"/>
      <c r="BLO10" s="78"/>
      <c r="BLP10" s="78"/>
      <c r="BLQ10" s="78"/>
      <c r="BLR10" s="78"/>
      <c r="BLS10" s="78"/>
      <c r="BLT10" s="78"/>
      <c r="BLU10" s="78"/>
      <c r="BLV10" s="78"/>
      <c r="BLW10" s="78"/>
      <c r="BLX10" s="78"/>
      <c r="BLY10" s="78"/>
      <c r="BLZ10" s="78"/>
      <c r="BMA10" s="78"/>
      <c r="BMB10" s="78"/>
      <c r="BMC10" s="78"/>
      <c r="BMD10" s="78"/>
      <c r="BME10" s="78"/>
      <c r="BMF10" s="78"/>
      <c r="BMG10" s="78"/>
      <c r="BMH10" s="78"/>
      <c r="BMI10" s="78"/>
      <c r="BMJ10" s="78"/>
      <c r="BMK10" s="78"/>
      <c r="BML10" s="78"/>
      <c r="BMM10" s="78"/>
      <c r="BMN10" s="78"/>
      <c r="BMO10" s="78"/>
      <c r="BMP10" s="78"/>
      <c r="BMQ10" s="78"/>
      <c r="BMR10" s="78"/>
      <c r="BMS10" s="78"/>
      <c r="BMT10" s="78"/>
      <c r="BMU10" s="78"/>
      <c r="BMV10" s="78"/>
      <c r="BMW10" s="78"/>
      <c r="BMX10" s="78"/>
      <c r="BMY10" s="78"/>
      <c r="BMZ10" s="78"/>
      <c r="BNA10" s="78"/>
      <c r="BNB10" s="78"/>
      <c r="BNC10" s="78"/>
      <c r="BND10" s="78"/>
      <c r="BNE10" s="78"/>
      <c r="BNF10" s="78"/>
      <c r="BNG10" s="78"/>
      <c r="BNH10" s="78"/>
      <c r="BNI10" s="78"/>
      <c r="BNJ10" s="78"/>
      <c r="BNK10" s="78"/>
      <c r="BNL10" s="78"/>
      <c r="BNM10" s="78"/>
      <c r="BNN10" s="78"/>
      <c r="BNO10" s="78"/>
      <c r="BNP10" s="78"/>
      <c r="BNQ10" s="78"/>
      <c r="BNR10" s="78"/>
      <c r="BNS10" s="78"/>
      <c r="BNT10" s="78"/>
      <c r="BNU10" s="78"/>
      <c r="BNV10" s="78"/>
      <c r="BNW10" s="78"/>
      <c r="BNX10" s="78"/>
      <c r="BNY10" s="78"/>
      <c r="BNZ10" s="78"/>
      <c r="BOA10" s="78"/>
      <c r="BOB10" s="78"/>
      <c r="BOC10" s="78"/>
      <c r="BOD10" s="78"/>
      <c r="BOE10" s="78"/>
      <c r="BOF10" s="78"/>
      <c r="BOG10" s="78"/>
      <c r="BOH10" s="78"/>
      <c r="BOI10" s="78"/>
      <c r="BOJ10" s="78"/>
      <c r="BOK10" s="78"/>
      <c r="BOL10" s="78"/>
      <c r="BOM10" s="78"/>
      <c r="BON10" s="78"/>
      <c r="BOO10" s="78"/>
      <c r="BOP10" s="78"/>
      <c r="BOQ10" s="78"/>
      <c r="BOR10" s="78"/>
      <c r="BOS10" s="78"/>
      <c r="BOT10" s="78"/>
      <c r="BOU10" s="78"/>
      <c r="BOV10" s="78"/>
      <c r="BOW10" s="78"/>
      <c r="BOX10" s="78"/>
      <c r="BOY10" s="78"/>
      <c r="BOZ10" s="78"/>
      <c r="BPA10" s="78"/>
      <c r="BPB10" s="78"/>
      <c r="BPC10" s="78"/>
      <c r="BPD10" s="78"/>
      <c r="BPE10" s="78"/>
      <c r="BPF10" s="78"/>
      <c r="BPG10" s="78"/>
      <c r="BPH10" s="78"/>
      <c r="BPI10" s="78"/>
      <c r="BPJ10" s="78"/>
      <c r="BPK10" s="78"/>
      <c r="BPL10" s="78"/>
      <c r="BPM10" s="78"/>
      <c r="BPN10" s="78"/>
      <c r="BPO10" s="78"/>
      <c r="BPP10" s="78"/>
      <c r="BPQ10" s="78"/>
      <c r="BPR10" s="78"/>
      <c r="BPS10" s="78"/>
      <c r="BPT10" s="78"/>
      <c r="BPU10" s="78"/>
      <c r="BPV10" s="78"/>
      <c r="BPW10" s="78"/>
      <c r="BPX10" s="78"/>
      <c r="BPY10" s="78"/>
      <c r="BPZ10" s="78"/>
      <c r="BQA10" s="78"/>
      <c r="BQB10" s="78"/>
      <c r="BQC10" s="78"/>
      <c r="BQD10" s="78"/>
      <c r="BQE10" s="78"/>
      <c r="BQF10" s="78"/>
      <c r="BQG10" s="78"/>
      <c r="BQH10" s="78"/>
      <c r="BQI10" s="78"/>
      <c r="BQJ10" s="78"/>
      <c r="BQK10" s="78"/>
      <c r="BQL10" s="78"/>
      <c r="BQM10" s="78"/>
      <c r="BQN10" s="78"/>
      <c r="BQO10" s="78"/>
      <c r="BQP10" s="78"/>
      <c r="BQQ10" s="78"/>
      <c r="BQR10" s="78"/>
      <c r="BQS10" s="78"/>
      <c r="BQT10" s="78"/>
      <c r="BQU10" s="78"/>
      <c r="BQV10" s="78"/>
      <c r="BQW10" s="78"/>
      <c r="BQX10" s="78"/>
      <c r="BQY10" s="78"/>
      <c r="BQZ10" s="78"/>
      <c r="BRA10" s="78"/>
      <c r="BRB10" s="78"/>
      <c r="BRC10" s="78"/>
      <c r="BRD10" s="78"/>
      <c r="BRE10" s="78"/>
      <c r="BRF10" s="78"/>
      <c r="BRG10" s="78"/>
      <c r="BRH10" s="78"/>
      <c r="BRI10" s="78"/>
      <c r="BRJ10" s="78"/>
      <c r="BRK10" s="78"/>
      <c r="BRL10" s="78"/>
      <c r="BRM10" s="78"/>
      <c r="BRN10" s="78"/>
      <c r="BRO10" s="78"/>
      <c r="BRP10" s="78"/>
      <c r="BRQ10" s="78"/>
      <c r="BRR10" s="78"/>
      <c r="BRS10" s="78"/>
      <c r="BRT10" s="78"/>
      <c r="BRU10" s="78"/>
      <c r="BRV10" s="78"/>
      <c r="BRW10" s="78"/>
      <c r="BRX10" s="78"/>
      <c r="BRY10" s="78"/>
      <c r="BRZ10" s="78"/>
      <c r="BSA10" s="78"/>
      <c r="BSB10" s="78"/>
      <c r="BSC10" s="78"/>
      <c r="BSD10" s="78"/>
      <c r="BSE10" s="78"/>
      <c r="BSF10" s="78"/>
      <c r="BSG10" s="78"/>
      <c r="BSH10" s="78"/>
      <c r="BSI10" s="78"/>
      <c r="BSJ10" s="78"/>
      <c r="BSK10" s="78"/>
      <c r="BSL10" s="78"/>
      <c r="BSM10" s="78"/>
      <c r="BSN10" s="78"/>
      <c r="BSO10" s="78"/>
      <c r="BSP10" s="78"/>
      <c r="BSQ10" s="78"/>
      <c r="BSR10" s="78"/>
      <c r="BSS10" s="78"/>
      <c r="BST10" s="78"/>
      <c r="BSU10" s="78"/>
      <c r="BSV10" s="78"/>
      <c r="BSW10" s="78"/>
      <c r="BSX10" s="78"/>
      <c r="BSY10" s="78"/>
      <c r="BSZ10" s="78"/>
      <c r="BTA10" s="78"/>
      <c r="BTB10" s="78"/>
      <c r="BTC10" s="78"/>
      <c r="BTD10" s="78"/>
      <c r="BTE10" s="78"/>
      <c r="BTF10" s="78"/>
      <c r="BTG10" s="78"/>
      <c r="BTH10" s="78"/>
      <c r="BTI10" s="78"/>
      <c r="BTJ10" s="78"/>
      <c r="BTK10" s="78"/>
      <c r="BTL10" s="78"/>
      <c r="BTM10" s="78"/>
      <c r="BTN10" s="78"/>
      <c r="BTO10" s="78"/>
      <c r="BTP10" s="78"/>
      <c r="BTQ10" s="78"/>
      <c r="BTR10" s="78"/>
      <c r="BTS10" s="78"/>
      <c r="BTT10" s="78"/>
      <c r="BTU10" s="78"/>
      <c r="BTV10" s="78"/>
      <c r="BTW10" s="78"/>
      <c r="BTX10" s="78"/>
      <c r="BTY10" s="78"/>
      <c r="BTZ10" s="78"/>
      <c r="BUA10" s="78"/>
      <c r="BUB10" s="78"/>
      <c r="BUC10" s="78"/>
      <c r="BUD10" s="78"/>
      <c r="BUE10" s="78"/>
      <c r="BUF10" s="78"/>
      <c r="BUG10" s="78"/>
      <c r="BUH10" s="78"/>
      <c r="BUI10" s="78"/>
      <c r="BUJ10" s="78"/>
      <c r="BUK10" s="78"/>
      <c r="BUL10" s="78"/>
      <c r="BUM10" s="78"/>
      <c r="BUN10" s="78"/>
      <c r="BUO10" s="78"/>
      <c r="BUP10" s="78"/>
      <c r="BUQ10" s="78"/>
      <c r="BUR10" s="78"/>
      <c r="BUS10" s="78"/>
      <c r="BUT10" s="78"/>
      <c r="BUU10" s="78"/>
      <c r="BUV10" s="78"/>
      <c r="BUW10" s="78"/>
      <c r="BUX10" s="78"/>
      <c r="BUY10" s="78"/>
      <c r="BUZ10" s="78"/>
      <c r="BVA10" s="78"/>
      <c r="BVB10" s="78"/>
      <c r="BVC10" s="78"/>
      <c r="BVD10" s="78"/>
      <c r="BVE10" s="78"/>
      <c r="BVF10" s="78"/>
      <c r="BVG10" s="78"/>
      <c r="BVH10" s="78"/>
      <c r="BVI10" s="78"/>
      <c r="BVJ10" s="78"/>
      <c r="BVK10" s="78"/>
      <c r="BVL10" s="78"/>
      <c r="BVM10" s="78"/>
      <c r="BVN10" s="78"/>
      <c r="BVO10" s="78"/>
      <c r="BVP10" s="78"/>
      <c r="BVQ10" s="78"/>
      <c r="BVR10" s="78"/>
      <c r="BVS10" s="78"/>
      <c r="BVT10" s="78"/>
      <c r="BVU10" s="78"/>
      <c r="BVV10" s="78"/>
      <c r="BVW10" s="78"/>
      <c r="BVX10" s="78"/>
      <c r="BVY10" s="78"/>
      <c r="BVZ10" s="78"/>
      <c r="BWA10" s="78"/>
      <c r="BWB10" s="78"/>
      <c r="BWC10" s="78"/>
      <c r="BWD10" s="78"/>
      <c r="BWE10" s="78"/>
      <c r="BWF10" s="78"/>
      <c r="BWG10" s="78"/>
      <c r="BWH10" s="78"/>
      <c r="BWI10" s="78"/>
      <c r="BWJ10" s="78"/>
      <c r="BWK10" s="78"/>
      <c r="BWL10" s="78"/>
      <c r="BWM10" s="78"/>
      <c r="BWN10" s="78"/>
      <c r="BWO10" s="78"/>
      <c r="BWP10" s="78"/>
      <c r="BWQ10" s="78"/>
      <c r="BWR10" s="78"/>
      <c r="BWS10" s="78"/>
      <c r="BWT10" s="78"/>
      <c r="BWU10" s="78"/>
      <c r="BWV10" s="78"/>
      <c r="BWW10" s="78"/>
      <c r="BWX10" s="78"/>
      <c r="BWY10" s="78"/>
      <c r="BWZ10" s="78"/>
      <c r="BXA10" s="78"/>
      <c r="BXB10" s="78"/>
      <c r="BXC10" s="78"/>
      <c r="BXD10" s="78"/>
      <c r="BXE10" s="78"/>
      <c r="BXF10" s="78"/>
      <c r="BXG10" s="78"/>
      <c r="BXH10" s="78"/>
      <c r="BXI10" s="78"/>
      <c r="BXJ10" s="78"/>
      <c r="BXK10" s="78"/>
      <c r="BXL10" s="78"/>
      <c r="BXM10" s="78"/>
      <c r="BXN10" s="78"/>
      <c r="BXO10" s="78"/>
      <c r="BXP10" s="78"/>
      <c r="BXQ10" s="78"/>
      <c r="BXR10" s="78"/>
      <c r="BXS10" s="78"/>
      <c r="BXT10" s="78"/>
      <c r="BXU10" s="78"/>
      <c r="BXV10" s="78"/>
      <c r="BXW10" s="78"/>
      <c r="BXX10" s="78"/>
      <c r="BXY10" s="78"/>
      <c r="BXZ10" s="78"/>
      <c r="BYA10" s="78"/>
      <c r="BYB10" s="78"/>
      <c r="BYC10" s="78"/>
      <c r="BYD10" s="78"/>
      <c r="BYE10" s="78"/>
      <c r="BYF10" s="78"/>
      <c r="BYG10" s="78"/>
      <c r="BYH10" s="78"/>
      <c r="BYI10" s="78"/>
      <c r="BYJ10" s="78"/>
      <c r="BYK10" s="78"/>
      <c r="BYL10" s="78"/>
      <c r="BYM10" s="78"/>
      <c r="BYN10" s="78"/>
      <c r="BYO10" s="78"/>
      <c r="BYP10" s="78"/>
      <c r="BYQ10" s="78"/>
      <c r="BYR10" s="78"/>
      <c r="BYS10" s="78"/>
      <c r="BYT10" s="78"/>
      <c r="BYU10" s="78"/>
      <c r="BYV10" s="78"/>
      <c r="BYW10" s="78"/>
      <c r="BYX10" s="78"/>
      <c r="BYY10" s="78"/>
      <c r="BYZ10" s="78"/>
      <c r="BZA10" s="78"/>
      <c r="BZB10" s="78"/>
      <c r="BZC10" s="78"/>
      <c r="BZD10" s="78"/>
      <c r="BZE10" s="78"/>
      <c r="BZF10" s="78"/>
      <c r="BZG10" s="78"/>
      <c r="BZH10" s="78"/>
      <c r="BZI10" s="78"/>
      <c r="BZJ10" s="78"/>
      <c r="BZK10" s="78"/>
      <c r="BZL10" s="78"/>
      <c r="BZM10" s="78"/>
      <c r="BZN10" s="78"/>
      <c r="BZO10" s="78"/>
      <c r="BZP10" s="78"/>
      <c r="BZQ10" s="78"/>
      <c r="BZR10" s="78"/>
      <c r="BZS10" s="78"/>
      <c r="BZT10" s="78"/>
      <c r="BZU10" s="78"/>
      <c r="BZV10" s="78"/>
      <c r="BZW10" s="78"/>
      <c r="BZX10" s="78"/>
      <c r="BZY10" s="78"/>
      <c r="BZZ10" s="78"/>
      <c r="CAA10" s="78"/>
      <c r="CAB10" s="78"/>
      <c r="CAC10" s="78"/>
      <c r="CAD10" s="78"/>
      <c r="CAE10" s="78"/>
      <c r="CAF10" s="78"/>
      <c r="CAG10" s="78"/>
      <c r="CAH10" s="78"/>
      <c r="CAI10" s="78"/>
      <c r="CAJ10" s="78"/>
      <c r="CAK10" s="78"/>
      <c r="CAL10" s="78"/>
      <c r="CAM10" s="78"/>
      <c r="CAN10" s="78"/>
      <c r="CAO10" s="78"/>
      <c r="CAP10" s="78"/>
      <c r="CAQ10" s="78"/>
      <c r="CAR10" s="78"/>
      <c r="CAS10" s="78"/>
      <c r="CAT10" s="78"/>
      <c r="CAU10" s="78"/>
      <c r="CAV10" s="78"/>
      <c r="CAW10" s="78"/>
      <c r="CAX10" s="78"/>
      <c r="CAY10" s="78"/>
      <c r="CAZ10" s="78"/>
      <c r="CBA10" s="78"/>
      <c r="CBB10" s="78"/>
      <c r="CBC10" s="78"/>
      <c r="CBD10" s="78"/>
      <c r="CBE10" s="78"/>
      <c r="CBF10" s="78"/>
      <c r="CBG10" s="78"/>
      <c r="CBH10" s="78"/>
      <c r="CBI10" s="78"/>
      <c r="CBJ10" s="78"/>
      <c r="CBK10" s="78"/>
      <c r="CBL10" s="78"/>
      <c r="CBM10" s="78"/>
      <c r="CBN10" s="78"/>
      <c r="CBO10" s="78"/>
      <c r="CBP10" s="78"/>
      <c r="CBQ10" s="78"/>
      <c r="CBR10" s="78"/>
      <c r="CBS10" s="78"/>
      <c r="CBT10" s="78"/>
      <c r="CBU10" s="78"/>
      <c r="CBV10" s="78"/>
      <c r="CBW10" s="78"/>
      <c r="CBX10" s="78"/>
      <c r="CBY10" s="78"/>
      <c r="CBZ10" s="78"/>
      <c r="CCA10" s="78"/>
      <c r="CCB10" s="78"/>
      <c r="CCC10" s="78"/>
      <c r="CCD10" s="78"/>
      <c r="CCE10" s="78"/>
      <c r="CCF10" s="78"/>
      <c r="CCG10" s="78"/>
      <c r="CCH10" s="78"/>
      <c r="CCI10" s="78"/>
      <c r="CCJ10" s="78"/>
      <c r="CCK10" s="78"/>
      <c r="CCL10" s="78"/>
      <c r="CCM10" s="78"/>
      <c r="CCN10" s="78"/>
      <c r="CCO10" s="78"/>
      <c r="CCP10" s="78"/>
      <c r="CCQ10" s="78"/>
      <c r="CCR10" s="78"/>
      <c r="CCS10" s="78"/>
      <c r="CCT10" s="78"/>
      <c r="CCU10" s="78"/>
      <c r="CCV10" s="78"/>
      <c r="CCW10" s="78"/>
      <c r="CCX10" s="78"/>
      <c r="CCY10" s="78"/>
      <c r="CCZ10" s="78"/>
      <c r="CDA10" s="78"/>
      <c r="CDB10" s="78"/>
      <c r="CDC10" s="78"/>
      <c r="CDD10" s="78"/>
      <c r="CDE10" s="78"/>
      <c r="CDF10" s="78"/>
      <c r="CDG10" s="78"/>
      <c r="CDH10" s="78"/>
      <c r="CDI10" s="78"/>
      <c r="CDJ10" s="78"/>
      <c r="CDK10" s="78"/>
      <c r="CDL10" s="78"/>
      <c r="CDM10" s="78"/>
      <c r="CDN10" s="78"/>
      <c r="CDO10" s="78"/>
      <c r="CDP10" s="78"/>
      <c r="CDQ10" s="78"/>
      <c r="CDR10" s="78"/>
      <c r="CDS10" s="78"/>
      <c r="CDT10" s="78"/>
      <c r="CDU10" s="78"/>
      <c r="CDV10" s="78"/>
      <c r="CDW10" s="78"/>
      <c r="CDX10" s="78"/>
      <c r="CDY10" s="78"/>
      <c r="CDZ10" s="78"/>
      <c r="CEA10" s="78"/>
      <c r="CEB10" s="78"/>
      <c r="CEC10" s="78"/>
      <c r="CED10" s="78"/>
      <c r="CEE10" s="78"/>
      <c r="CEF10" s="78"/>
      <c r="CEG10" s="78"/>
      <c r="CEH10" s="78"/>
      <c r="CEI10" s="78"/>
      <c r="CEJ10" s="78"/>
      <c r="CEK10" s="78"/>
      <c r="CEL10" s="78"/>
      <c r="CEM10" s="78"/>
      <c r="CEN10" s="78"/>
      <c r="CEO10" s="78"/>
      <c r="CEP10" s="78"/>
      <c r="CEQ10" s="78"/>
      <c r="CER10" s="78"/>
      <c r="CES10" s="78"/>
      <c r="CET10" s="78"/>
      <c r="CEU10" s="78"/>
      <c r="CEV10" s="78"/>
      <c r="CEW10" s="78"/>
      <c r="CEX10" s="78"/>
      <c r="CEY10" s="78"/>
      <c r="CEZ10" s="78"/>
      <c r="CFA10" s="78"/>
      <c r="CFB10" s="78"/>
      <c r="CFC10" s="78"/>
      <c r="CFD10" s="78"/>
      <c r="CFE10" s="78"/>
      <c r="CFF10" s="78"/>
      <c r="CFG10" s="78"/>
      <c r="CFH10" s="78"/>
      <c r="CFI10" s="78"/>
      <c r="CFJ10" s="78"/>
      <c r="CFK10" s="78"/>
      <c r="CFL10" s="78"/>
      <c r="CFM10" s="78"/>
      <c r="CFN10" s="78"/>
      <c r="CFO10" s="78"/>
      <c r="CFP10" s="78"/>
      <c r="CFQ10" s="78"/>
      <c r="CFR10" s="78"/>
      <c r="CFS10" s="78"/>
      <c r="CFT10" s="78"/>
      <c r="CFU10" s="78"/>
      <c r="CFV10" s="78"/>
      <c r="CFW10" s="78"/>
      <c r="CFX10" s="78"/>
      <c r="CFY10" s="78"/>
      <c r="CFZ10" s="78"/>
      <c r="CGA10" s="78"/>
      <c r="CGB10" s="78"/>
      <c r="CGC10" s="78"/>
      <c r="CGD10" s="78"/>
      <c r="CGE10" s="78"/>
      <c r="CGF10" s="78"/>
      <c r="CGG10" s="78"/>
      <c r="CGH10" s="78"/>
      <c r="CGI10" s="78"/>
      <c r="CGJ10" s="78"/>
      <c r="CGK10" s="78"/>
      <c r="CGL10" s="78"/>
      <c r="CGM10" s="78"/>
      <c r="CGN10" s="78"/>
      <c r="CGO10" s="78"/>
      <c r="CGP10" s="78"/>
      <c r="CGQ10" s="78"/>
      <c r="CGR10" s="78"/>
      <c r="CGS10" s="78"/>
      <c r="CGT10" s="78"/>
      <c r="CGU10" s="78"/>
      <c r="CGV10" s="78"/>
      <c r="CGW10" s="78"/>
      <c r="CGX10" s="78"/>
      <c r="CGY10" s="78"/>
      <c r="CGZ10" s="78"/>
      <c r="CHA10" s="78"/>
      <c r="CHB10" s="78"/>
      <c r="CHC10" s="78"/>
      <c r="CHD10" s="78"/>
      <c r="CHE10" s="78"/>
      <c r="CHF10" s="78"/>
      <c r="CHG10" s="78"/>
      <c r="CHH10" s="78"/>
      <c r="CHI10" s="78"/>
      <c r="CHJ10" s="78"/>
      <c r="CHK10" s="78"/>
      <c r="CHL10" s="78"/>
      <c r="CHM10" s="78"/>
      <c r="CHN10" s="78"/>
      <c r="CHO10" s="78"/>
      <c r="CHP10" s="78"/>
      <c r="CHQ10" s="78"/>
      <c r="CHR10" s="78"/>
      <c r="CHS10" s="78"/>
      <c r="CHT10" s="78"/>
      <c r="CHU10" s="78"/>
      <c r="CHV10" s="78"/>
      <c r="CHW10" s="78"/>
      <c r="CHX10" s="78"/>
      <c r="CHY10" s="78"/>
      <c r="CHZ10" s="78"/>
      <c r="CIA10" s="78"/>
      <c r="CIB10" s="78"/>
      <c r="CIC10" s="78"/>
      <c r="CID10" s="78"/>
      <c r="CIE10" s="78"/>
      <c r="CIF10" s="78"/>
      <c r="CIG10" s="78"/>
      <c r="CIH10" s="78"/>
      <c r="CII10" s="78"/>
      <c r="CIJ10" s="78"/>
      <c r="CIK10" s="78"/>
      <c r="CIL10" s="78"/>
      <c r="CIM10" s="78"/>
      <c r="CIN10" s="78"/>
      <c r="CIO10" s="78"/>
      <c r="CIP10" s="78"/>
      <c r="CIQ10" s="78"/>
      <c r="CIR10" s="78"/>
      <c r="CIS10" s="78"/>
      <c r="CIT10" s="78"/>
      <c r="CIU10" s="78"/>
      <c r="CIV10" s="78"/>
      <c r="CIW10" s="78"/>
      <c r="CIX10" s="78"/>
      <c r="CIY10" s="78"/>
      <c r="CIZ10" s="78"/>
      <c r="CJA10" s="78"/>
      <c r="CJB10" s="78"/>
      <c r="CJC10" s="78"/>
      <c r="CJD10" s="78"/>
      <c r="CJE10" s="78"/>
      <c r="CJF10" s="78"/>
      <c r="CJG10" s="78"/>
      <c r="CJH10" s="78"/>
      <c r="CJI10" s="78"/>
      <c r="CJJ10" s="78"/>
      <c r="CJK10" s="78"/>
      <c r="CJL10" s="78"/>
      <c r="CJM10" s="78"/>
      <c r="CJN10" s="78"/>
      <c r="CJO10" s="78"/>
      <c r="CJP10" s="78"/>
      <c r="CJQ10" s="78"/>
      <c r="CJR10" s="78"/>
      <c r="CJS10" s="78"/>
      <c r="CJT10" s="78"/>
      <c r="CJU10" s="78"/>
      <c r="CJV10" s="78"/>
      <c r="CJW10" s="78"/>
      <c r="CJX10" s="78"/>
      <c r="CJY10" s="78"/>
      <c r="CJZ10" s="78"/>
      <c r="CKA10" s="78"/>
      <c r="CKB10" s="78"/>
      <c r="CKC10" s="78"/>
      <c r="CKD10" s="78"/>
      <c r="CKE10" s="78"/>
      <c r="CKF10" s="78"/>
      <c r="CKG10" s="78"/>
      <c r="CKH10" s="78"/>
      <c r="CKI10" s="78"/>
      <c r="CKJ10" s="78"/>
      <c r="CKK10" s="78"/>
      <c r="CKL10" s="78"/>
      <c r="CKM10" s="78"/>
      <c r="CKN10" s="78"/>
      <c r="CKO10" s="78"/>
      <c r="CKP10" s="78"/>
      <c r="CKQ10" s="78"/>
      <c r="CKR10" s="78"/>
      <c r="CKS10" s="78"/>
      <c r="CKT10" s="78"/>
      <c r="CKU10" s="78"/>
      <c r="CKV10" s="78"/>
      <c r="CKW10" s="78"/>
      <c r="CKX10" s="78"/>
      <c r="CKY10" s="78"/>
      <c r="CKZ10" s="78"/>
      <c r="CLA10" s="78"/>
      <c r="CLB10" s="78"/>
      <c r="CLC10" s="78"/>
      <c r="CLD10" s="78"/>
      <c r="CLE10" s="78"/>
      <c r="CLF10" s="78"/>
      <c r="CLG10" s="78"/>
      <c r="CLH10" s="78"/>
      <c r="CLI10" s="78"/>
      <c r="CLJ10" s="78"/>
      <c r="CLK10" s="78"/>
      <c r="CLL10" s="78"/>
      <c r="CLM10" s="78"/>
      <c r="CLN10" s="78"/>
      <c r="CLO10" s="78"/>
      <c r="CLP10" s="78"/>
      <c r="CLQ10" s="78"/>
      <c r="CLR10" s="78"/>
      <c r="CLS10" s="78"/>
      <c r="CLT10" s="78"/>
      <c r="CLU10" s="78"/>
      <c r="CLV10" s="78"/>
      <c r="CLW10" s="78"/>
      <c r="CLX10" s="78"/>
      <c r="CLY10" s="78"/>
      <c r="CLZ10" s="78"/>
      <c r="CMA10" s="78"/>
      <c r="CMB10" s="78"/>
      <c r="CMC10" s="78"/>
      <c r="CMD10" s="78"/>
      <c r="CME10" s="78"/>
      <c r="CMF10" s="78"/>
      <c r="CMG10" s="78"/>
      <c r="CMH10" s="78"/>
      <c r="CMI10" s="78"/>
      <c r="CMJ10" s="78"/>
      <c r="CMK10" s="78"/>
      <c r="CML10" s="78"/>
      <c r="CMM10" s="78"/>
      <c r="CMN10" s="78"/>
      <c r="CMO10" s="78"/>
      <c r="CMP10" s="78"/>
      <c r="CMQ10" s="78"/>
      <c r="CMR10" s="78"/>
      <c r="CMS10" s="78"/>
      <c r="CMT10" s="78"/>
      <c r="CMU10" s="78"/>
      <c r="CMV10" s="78"/>
      <c r="CMW10" s="78"/>
      <c r="CMX10" s="78"/>
      <c r="CMY10" s="78"/>
      <c r="CMZ10" s="78"/>
      <c r="CNA10" s="78"/>
      <c r="CNB10" s="78"/>
      <c r="CNC10" s="78"/>
      <c r="CND10" s="78"/>
      <c r="CNE10" s="78"/>
      <c r="CNF10" s="78"/>
      <c r="CNG10" s="78"/>
      <c r="CNH10" s="78"/>
      <c r="CNI10" s="78"/>
      <c r="CNJ10" s="78"/>
      <c r="CNK10" s="78"/>
      <c r="CNL10" s="78"/>
      <c r="CNM10" s="78"/>
      <c r="CNN10" s="78"/>
      <c r="CNO10" s="78"/>
      <c r="CNP10" s="78"/>
      <c r="CNQ10" s="78"/>
      <c r="CNR10" s="78"/>
      <c r="CNS10" s="78"/>
      <c r="CNT10" s="78"/>
      <c r="CNU10" s="78"/>
      <c r="CNV10" s="78"/>
      <c r="CNW10" s="78"/>
      <c r="CNX10" s="78"/>
      <c r="CNY10" s="78"/>
      <c r="CNZ10" s="78"/>
      <c r="COA10" s="78"/>
      <c r="COB10" s="78"/>
      <c r="COC10" s="78"/>
      <c r="COD10" s="78"/>
      <c r="COE10" s="78"/>
      <c r="COF10" s="78"/>
      <c r="COG10" s="78"/>
      <c r="COH10" s="78"/>
      <c r="COI10" s="78"/>
      <c r="COJ10" s="78"/>
      <c r="COK10" s="78"/>
      <c r="COL10" s="78"/>
      <c r="COM10" s="78"/>
      <c r="CON10" s="78"/>
      <c r="COO10" s="78"/>
      <c r="COP10" s="78"/>
      <c r="COQ10" s="78"/>
      <c r="COR10" s="78"/>
      <c r="COS10" s="78"/>
      <c r="COT10" s="78"/>
      <c r="COU10" s="78"/>
      <c r="COV10" s="78"/>
      <c r="COW10" s="78"/>
      <c r="COX10" s="78"/>
      <c r="COY10" s="78"/>
      <c r="COZ10" s="78"/>
      <c r="CPA10" s="78"/>
      <c r="CPB10" s="78"/>
      <c r="CPC10" s="78"/>
      <c r="CPD10" s="78"/>
      <c r="CPE10" s="78"/>
      <c r="CPF10" s="78"/>
      <c r="CPG10" s="78"/>
      <c r="CPH10" s="78"/>
      <c r="CPI10" s="78"/>
      <c r="CPJ10" s="78"/>
      <c r="CPK10" s="78"/>
      <c r="CPL10" s="78"/>
      <c r="CPM10" s="78"/>
      <c r="CPN10" s="78"/>
      <c r="CPO10" s="78"/>
      <c r="CPP10" s="78"/>
      <c r="CPQ10" s="78"/>
      <c r="CPR10" s="78"/>
      <c r="CPS10" s="78"/>
      <c r="CPT10" s="78"/>
      <c r="CPU10" s="78"/>
      <c r="CPV10" s="78"/>
      <c r="CPW10" s="78"/>
      <c r="CPX10" s="78"/>
      <c r="CPY10" s="78"/>
      <c r="CPZ10" s="78"/>
      <c r="CQA10" s="78"/>
      <c r="CQB10" s="78"/>
      <c r="CQC10" s="78"/>
      <c r="CQD10" s="78"/>
      <c r="CQE10" s="78"/>
      <c r="CQF10" s="78"/>
      <c r="CQG10" s="78"/>
      <c r="CQH10" s="78"/>
      <c r="CQI10" s="78"/>
      <c r="CQJ10" s="78"/>
      <c r="CQK10" s="78"/>
      <c r="CQL10" s="78"/>
      <c r="CQM10" s="78"/>
      <c r="CQN10" s="78"/>
      <c r="CQO10" s="78"/>
      <c r="CQP10" s="78"/>
      <c r="CQQ10" s="78"/>
      <c r="CQR10" s="78"/>
      <c r="CQS10" s="78"/>
      <c r="CQT10" s="78"/>
      <c r="CQU10" s="78"/>
      <c r="CQV10" s="78"/>
      <c r="CQW10" s="78"/>
      <c r="CQX10" s="78"/>
      <c r="CQY10" s="78"/>
      <c r="CQZ10" s="78"/>
      <c r="CRA10" s="78"/>
      <c r="CRB10" s="78"/>
      <c r="CRC10" s="78"/>
      <c r="CRD10" s="78"/>
      <c r="CRE10" s="78"/>
      <c r="CRF10" s="78"/>
      <c r="CRG10" s="78"/>
      <c r="CRH10" s="78"/>
      <c r="CRI10" s="78"/>
      <c r="CRJ10" s="78"/>
      <c r="CRK10" s="78"/>
      <c r="CRL10" s="78"/>
      <c r="CRM10" s="78"/>
      <c r="CRN10" s="78"/>
      <c r="CRO10" s="78"/>
      <c r="CRP10" s="78"/>
      <c r="CRQ10" s="78"/>
      <c r="CRR10" s="78"/>
      <c r="CRS10" s="78"/>
      <c r="CRT10" s="78"/>
      <c r="CRU10" s="78"/>
      <c r="CRV10" s="78"/>
      <c r="CRW10" s="78"/>
      <c r="CRX10" s="78"/>
      <c r="CRY10" s="78"/>
      <c r="CRZ10" s="78"/>
      <c r="CSA10" s="78"/>
      <c r="CSB10" s="78"/>
      <c r="CSC10" s="78"/>
      <c r="CSD10" s="78"/>
      <c r="CSE10" s="78"/>
      <c r="CSF10" s="78"/>
      <c r="CSG10" s="78"/>
      <c r="CSH10" s="78"/>
      <c r="CSI10" s="78"/>
      <c r="CSJ10" s="78"/>
      <c r="CSK10" s="78"/>
      <c r="CSL10" s="78"/>
      <c r="CSM10" s="78"/>
      <c r="CSN10" s="78"/>
      <c r="CSO10" s="78"/>
      <c r="CSP10" s="78"/>
      <c r="CSQ10" s="78"/>
      <c r="CSR10" s="78"/>
      <c r="CSS10" s="78"/>
      <c r="CST10" s="78"/>
      <c r="CSU10" s="78"/>
      <c r="CSV10" s="78"/>
      <c r="CSW10" s="78"/>
      <c r="CSX10" s="78"/>
      <c r="CSY10" s="78"/>
      <c r="CSZ10" s="78"/>
      <c r="CTA10" s="78"/>
      <c r="CTB10" s="78"/>
      <c r="CTC10" s="78"/>
      <c r="CTD10" s="78"/>
      <c r="CTE10" s="78"/>
      <c r="CTF10" s="78"/>
      <c r="CTG10" s="78"/>
      <c r="CTH10" s="78"/>
      <c r="CTI10" s="78"/>
      <c r="CTJ10" s="78"/>
      <c r="CTK10" s="78"/>
      <c r="CTL10" s="78"/>
      <c r="CTM10" s="78"/>
      <c r="CTN10" s="78"/>
      <c r="CTO10" s="78"/>
      <c r="CTP10" s="78"/>
      <c r="CTQ10" s="78"/>
      <c r="CTR10" s="78"/>
      <c r="CTS10" s="78"/>
      <c r="CTT10" s="78"/>
      <c r="CTU10" s="78"/>
      <c r="CTV10" s="78"/>
      <c r="CTW10" s="78"/>
      <c r="CTX10" s="78"/>
      <c r="CTY10" s="78"/>
      <c r="CTZ10" s="78"/>
      <c r="CUA10" s="78"/>
      <c r="CUB10" s="78"/>
      <c r="CUC10" s="78"/>
      <c r="CUD10" s="78"/>
      <c r="CUE10" s="78"/>
      <c r="CUF10" s="78"/>
      <c r="CUG10" s="78"/>
      <c r="CUH10" s="78"/>
      <c r="CUI10" s="78"/>
      <c r="CUJ10" s="78"/>
      <c r="CUK10" s="78"/>
      <c r="CUL10" s="78"/>
      <c r="CUM10" s="78"/>
      <c r="CUN10" s="78"/>
      <c r="CUO10" s="78"/>
      <c r="CUP10" s="78"/>
      <c r="CUQ10" s="78"/>
      <c r="CUR10" s="78"/>
      <c r="CUS10" s="78"/>
      <c r="CUT10" s="78"/>
      <c r="CUU10" s="78"/>
      <c r="CUV10" s="78"/>
      <c r="CUW10" s="78"/>
      <c r="CUX10" s="78"/>
      <c r="CUY10" s="78"/>
      <c r="CUZ10" s="78"/>
      <c r="CVA10" s="78"/>
      <c r="CVB10" s="78"/>
      <c r="CVC10" s="78"/>
      <c r="CVD10" s="78"/>
      <c r="CVE10" s="78"/>
      <c r="CVF10" s="78"/>
      <c r="CVG10" s="78"/>
      <c r="CVH10" s="78"/>
      <c r="CVI10" s="78"/>
      <c r="CVJ10" s="78"/>
      <c r="CVK10" s="78"/>
      <c r="CVL10" s="78"/>
      <c r="CVM10" s="78"/>
      <c r="CVN10" s="78"/>
      <c r="CVO10" s="78"/>
      <c r="CVP10" s="78"/>
      <c r="CVQ10" s="78"/>
      <c r="CVR10" s="78"/>
      <c r="CVS10" s="78"/>
      <c r="CVT10" s="78"/>
      <c r="CVU10" s="78"/>
      <c r="CVV10" s="78"/>
      <c r="CVW10" s="78"/>
      <c r="CVX10" s="78"/>
      <c r="CVY10" s="78"/>
      <c r="CVZ10" s="78"/>
      <c r="CWA10" s="78"/>
      <c r="CWB10" s="78"/>
      <c r="CWC10" s="78"/>
      <c r="CWD10" s="78"/>
      <c r="CWE10" s="78"/>
      <c r="CWF10" s="78"/>
      <c r="CWG10" s="78"/>
      <c r="CWH10" s="78"/>
      <c r="CWI10" s="78"/>
      <c r="CWJ10" s="78"/>
      <c r="CWK10" s="78"/>
      <c r="CWL10" s="78"/>
      <c r="CWM10" s="78"/>
      <c r="CWN10" s="78"/>
      <c r="CWO10" s="78"/>
      <c r="CWP10" s="78"/>
      <c r="CWQ10" s="78"/>
      <c r="CWR10" s="78"/>
      <c r="CWS10" s="78"/>
      <c r="CWT10" s="78"/>
      <c r="CWU10" s="78"/>
      <c r="CWV10" s="78"/>
      <c r="CWW10" s="78"/>
      <c r="CWX10" s="78"/>
      <c r="CWY10" s="78"/>
      <c r="CWZ10" s="78"/>
      <c r="CXA10" s="78"/>
      <c r="CXB10" s="78"/>
      <c r="CXC10" s="78"/>
      <c r="CXD10" s="78"/>
      <c r="CXE10" s="78"/>
      <c r="CXF10" s="78"/>
      <c r="CXG10" s="78"/>
      <c r="CXH10" s="78"/>
      <c r="CXI10" s="78"/>
      <c r="CXJ10" s="78"/>
      <c r="CXK10" s="78"/>
      <c r="CXL10" s="78"/>
      <c r="CXM10" s="78"/>
      <c r="CXN10" s="78"/>
      <c r="CXO10" s="78"/>
      <c r="CXP10" s="78"/>
      <c r="CXQ10" s="78"/>
      <c r="CXR10" s="78"/>
      <c r="CXS10" s="78"/>
      <c r="CXT10" s="78"/>
      <c r="CXU10" s="78"/>
      <c r="CXV10" s="78"/>
      <c r="CXW10" s="78"/>
      <c r="CXX10" s="78"/>
      <c r="CXY10" s="78"/>
      <c r="CXZ10" s="78"/>
      <c r="CYA10" s="78"/>
      <c r="CYB10" s="78"/>
      <c r="CYC10" s="78"/>
      <c r="CYD10" s="78"/>
      <c r="CYE10" s="78"/>
      <c r="CYF10" s="78"/>
      <c r="CYG10" s="78"/>
      <c r="CYH10" s="78"/>
      <c r="CYI10" s="78"/>
      <c r="CYJ10" s="78"/>
      <c r="CYK10" s="78"/>
      <c r="CYL10" s="78"/>
      <c r="CYM10" s="78"/>
      <c r="CYN10" s="78"/>
      <c r="CYO10" s="78"/>
      <c r="CYP10" s="78"/>
      <c r="CYQ10" s="78"/>
      <c r="CYR10" s="78"/>
      <c r="CYS10" s="78"/>
      <c r="CYT10" s="78"/>
      <c r="CYU10" s="78"/>
      <c r="CYV10" s="78"/>
      <c r="CYW10" s="78"/>
      <c r="CYX10" s="78"/>
      <c r="CYY10" s="78"/>
      <c r="CYZ10" s="78"/>
      <c r="CZA10" s="78"/>
      <c r="CZB10" s="78"/>
      <c r="CZC10" s="78"/>
      <c r="CZD10" s="78"/>
      <c r="CZE10" s="78"/>
      <c r="CZF10" s="78"/>
      <c r="CZG10" s="78"/>
      <c r="CZH10" s="78"/>
      <c r="CZI10" s="78"/>
      <c r="CZJ10" s="78"/>
      <c r="CZK10" s="78"/>
      <c r="CZL10" s="78"/>
      <c r="CZM10" s="78"/>
      <c r="CZN10" s="78"/>
      <c r="CZO10" s="78"/>
      <c r="CZP10" s="78"/>
      <c r="CZQ10" s="78"/>
      <c r="CZR10" s="78"/>
      <c r="CZS10" s="78"/>
      <c r="CZT10" s="78"/>
      <c r="CZU10" s="78"/>
      <c r="CZV10" s="78"/>
      <c r="CZW10" s="78"/>
      <c r="CZX10" s="78"/>
      <c r="CZY10" s="78"/>
      <c r="CZZ10" s="78"/>
      <c r="DAA10" s="78"/>
      <c r="DAB10" s="78"/>
      <c r="DAC10" s="78"/>
      <c r="DAD10" s="78"/>
      <c r="DAE10" s="78"/>
      <c r="DAF10" s="78"/>
      <c r="DAG10" s="78"/>
      <c r="DAH10" s="78"/>
      <c r="DAI10" s="78"/>
      <c r="DAJ10" s="78"/>
      <c r="DAK10" s="78"/>
      <c r="DAL10" s="78"/>
      <c r="DAM10" s="78"/>
      <c r="DAN10" s="78"/>
      <c r="DAO10" s="78"/>
      <c r="DAP10" s="78"/>
      <c r="DAQ10" s="78"/>
      <c r="DAR10" s="78"/>
      <c r="DAS10" s="78"/>
      <c r="DAT10" s="78"/>
      <c r="DAU10" s="78"/>
      <c r="DAV10" s="78"/>
      <c r="DAW10" s="78"/>
      <c r="DAX10" s="78"/>
      <c r="DAY10" s="78"/>
      <c r="DAZ10" s="78"/>
      <c r="DBA10" s="78"/>
      <c r="DBB10" s="78"/>
      <c r="DBC10" s="78"/>
      <c r="DBD10" s="78"/>
      <c r="DBE10" s="78"/>
      <c r="DBF10" s="78"/>
      <c r="DBG10" s="78"/>
      <c r="DBH10" s="78"/>
      <c r="DBI10" s="78"/>
      <c r="DBJ10" s="78"/>
      <c r="DBK10" s="78"/>
      <c r="DBL10" s="78"/>
      <c r="DBM10" s="78"/>
      <c r="DBN10" s="78"/>
      <c r="DBO10" s="78"/>
      <c r="DBP10" s="78"/>
      <c r="DBQ10" s="78"/>
      <c r="DBR10" s="78"/>
      <c r="DBS10" s="78"/>
      <c r="DBT10" s="78"/>
      <c r="DBU10" s="78"/>
      <c r="DBV10" s="78"/>
      <c r="DBW10" s="78"/>
      <c r="DBX10" s="78"/>
      <c r="DBY10" s="78"/>
      <c r="DBZ10" s="78"/>
      <c r="DCA10" s="78"/>
      <c r="DCB10" s="78"/>
      <c r="DCC10" s="78"/>
      <c r="DCD10" s="78"/>
      <c r="DCE10" s="78"/>
      <c r="DCF10" s="78"/>
      <c r="DCG10" s="78"/>
      <c r="DCH10" s="78"/>
      <c r="DCI10" s="78"/>
      <c r="DCJ10" s="78"/>
      <c r="DCK10" s="78"/>
      <c r="DCL10" s="78"/>
      <c r="DCM10" s="78"/>
      <c r="DCN10" s="78"/>
      <c r="DCO10" s="78"/>
      <c r="DCP10" s="78"/>
      <c r="DCQ10" s="78"/>
      <c r="DCR10" s="78"/>
      <c r="DCS10" s="78"/>
      <c r="DCT10" s="78"/>
      <c r="DCU10" s="78"/>
      <c r="DCV10" s="78"/>
      <c r="DCW10" s="78"/>
      <c r="DCX10" s="78"/>
      <c r="DCY10" s="78"/>
      <c r="DCZ10" s="78"/>
      <c r="DDA10" s="78"/>
      <c r="DDB10" s="78"/>
      <c r="DDC10" s="78"/>
      <c r="DDD10" s="78"/>
      <c r="DDE10" s="78"/>
      <c r="DDF10" s="78"/>
      <c r="DDG10" s="78"/>
      <c r="DDH10" s="78"/>
      <c r="DDI10" s="78"/>
      <c r="DDJ10" s="78"/>
      <c r="DDK10" s="78"/>
      <c r="DDL10" s="78"/>
      <c r="DDM10" s="78"/>
      <c r="DDN10" s="78"/>
      <c r="DDO10" s="78"/>
      <c r="DDP10" s="78"/>
      <c r="DDQ10" s="78"/>
      <c r="DDR10" s="78"/>
      <c r="DDS10" s="78"/>
      <c r="DDT10" s="78"/>
      <c r="DDU10" s="78"/>
      <c r="DDV10" s="78"/>
      <c r="DDW10" s="78"/>
      <c r="DDX10" s="78"/>
      <c r="DDY10" s="78"/>
      <c r="DDZ10" s="78"/>
      <c r="DEA10" s="78"/>
      <c r="DEB10" s="78"/>
      <c r="DEC10" s="78"/>
      <c r="DED10" s="78"/>
      <c r="DEE10" s="78"/>
      <c r="DEF10" s="78"/>
      <c r="DEG10" s="78"/>
      <c r="DEH10" s="78"/>
      <c r="DEI10" s="78"/>
      <c r="DEJ10" s="78"/>
      <c r="DEK10" s="78"/>
      <c r="DEL10" s="78"/>
      <c r="DEM10" s="78"/>
      <c r="DEN10" s="78"/>
      <c r="DEO10" s="78"/>
      <c r="DEP10" s="78"/>
      <c r="DEQ10" s="78"/>
      <c r="DER10" s="78"/>
      <c r="DES10" s="78"/>
      <c r="DET10" s="78"/>
      <c r="DEU10" s="78"/>
      <c r="DEV10" s="78"/>
      <c r="DEW10" s="78"/>
      <c r="DEX10" s="78"/>
      <c r="DEY10" s="78"/>
      <c r="DEZ10" s="78"/>
      <c r="DFA10" s="78"/>
      <c r="DFB10" s="78"/>
      <c r="DFC10" s="78"/>
      <c r="DFD10" s="78"/>
      <c r="DFE10" s="78"/>
      <c r="DFF10" s="78"/>
      <c r="DFG10" s="78"/>
      <c r="DFH10" s="78"/>
      <c r="DFI10" s="78"/>
      <c r="DFJ10" s="78"/>
      <c r="DFK10" s="78"/>
      <c r="DFL10" s="78"/>
      <c r="DFM10" s="78"/>
      <c r="DFN10" s="78"/>
      <c r="DFO10" s="78"/>
      <c r="DFP10" s="78"/>
      <c r="DFQ10" s="78"/>
      <c r="DFR10" s="78"/>
      <c r="DFS10" s="78"/>
      <c r="DFT10" s="78"/>
      <c r="DFU10" s="78"/>
      <c r="DFV10" s="78"/>
      <c r="DFW10" s="78"/>
      <c r="DFX10" s="78"/>
      <c r="DFY10" s="78"/>
      <c r="DFZ10" s="78"/>
      <c r="DGA10" s="78"/>
      <c r="DGB10" s="78"/>
      <c r="DGC10" s="78"/>
      <c r="DGD10" s="78"/>
      <c r="DGE10" s="78"/>
      <c r="DGF10" s="78"/>
      <c r="DGG10" s="78"/>
      <c r="DGH10" s="78"/>
      <c r="DGI10" s="78"/>
      <c r="DGJ10" s="78"/>
      <c r="DGK10" s="78"/>
      <c r="DGL10" s="78"/>
      <c r="DGM10" s="78"/>
      <c r="DGN10" s="78"/>
      <c r="DGO10" s="78"/>
      <c r="DGP10" s="78"/>
      <c r="DGQ10" s="78"/>
      <c r="DGR10" s="78"/>
      <c r="DGS10" s="78"/>
      <c r="DGT10" s="78"/>
      <c r="DGU10" s="78"/>
      <c r="DGV10" s="78"/>
      <c r="DGW10" s="78"/>
      <c r="DGX10" s="78"/>
      <c r="DGY10" s="78"/>
      <c r="DGZ10" s="78"/>
      <c r="DHA10" s="78"/>
      <c r="DHB10" s="78"/>
      <c r="DHC10" s="78"/>
      <c r="DHD10" s="78"/>
      <c r="DHE10" s="78"/>
      <c r="DHF10" s="78"/>
      <c r="DHG10" s="78"/>
      <c r="DHH10" s="78"/>
      <c r="DHI10" s="78"/>
      <c r="DHJ10" s="78"/>
      <c r="DHK10" s="78"/>
      <c r="DHL10" s="78"/>
      <c r="DHM10" s="78"/>
      <c r="DHN10" s="78"/>
      <c r="DHO10" s="78"/>
      <c r="DHP10" s="78"/>
      <c r="DHQ10" s="78"/>
      <c r="DHR10" s="78"/>
      <c r="DHS10" s="78"/>
      <c r="DHT10" s="78"/>
      <c r="DHU10" s="78"/>
      <c r="DHV10" s="78"/>
      <c r="DHW10" s="78"/>
      <c r="DHX10" s="78"/>
      <c r="DHY10" s="78"/>
      <c r="DHZ10" s="78"/>
      <c r="DIA10" s="78"/>
      <c r="DIB10" s="78"/>
      <c r="DIC10" s="78"/>
      <c r="DID10" s="78"/>
      <c r="DIE10" s="78"/>
      <c r="DIF10" s="78"/>
      <c r="DIG10" s="78"/>
      <c r="DIH10" s="78"/>
      <c r="DII10" s="78"/>
      <c r="DIJ10" s="78"/>
      <c r="DIK10" s="78"/>
      <c r="DIL10" s="78"/>
      <c r="DIM10" s="78"/>
      <c r="DIN10" s="78"/>
      <c r="DIO10" s="78"/>
      <c r="DIP10" s="78"/>
      <c r="DIQ10" s="78"/>
      <c r="DIR10" s="78"/>
      <c r="DIS10" s="78"/>
      <c r="DIT10" s="78"/>
      <c r="DIU10" s="78"/>
      <c r="DIV10" s="78"/>
      <c r="DIW10" s="78"/>
      <c r="DIX10" s="78"/>
      <c r="DIY10" s="78"/>
      <c r="DIZ10" s="78"/>
      <c r="DJA10" s="78"/>
      <c r="DJB10" s="78"/>
      <c r="DJC10" s="78"/>
      <c r="DJD10" s="78"/>
      <c r="DJE10" s="78"/>
      <c r="DJF10" s="78"/>
      <c r="DJG10" s="78"/>
      <c r="DJH10" s="78"/>
      <c r="DJI10" s="78"/>
      <c r="DJJ10" s="78"/>
      <c r="DJK10" s="78"/>
      <c r="DJL10" s="78"/>
      <c r="DJM10" s="78"/>
      <c r="DJN10" s="78"/>
      <c r="DJO10" s="78"/>
      <c r="DJP10" s="78"/>
      <c r="DJQ10" s="78"/>
      <c r="DJR10" s="78"/>
      <c r="DJS10" s="78"/>
      <c r="DJT10" s="78"/>
      <c r="DJU10" s="78"/>
      <c r="DJV10" s="78"/>
      <c r="DJW10" s="78"/>
      <c r="DJX10" s="78"/>
      <c r="DJY10" s="78"/>
      <c r="DJZ10" s="78"/>
      <c r="DKA10" s="78"/>
      <c r="DKB10" s="78"/>
      <c r="DKC10" s="78"/>
      <c r="DKD10" s="78"/>
      <c r="DKE10" s="78"/>
      <c r="DKF10" s="78"/>
      <c r="DKG10" s="78"/>
      <c r="DKH10" s="78"/>
      <c r="DKI10" s="78"/>
      <c r="DKJ10" s="78"/>
      <c r="DKK10" s="78"/>
      <c r="DKL10" s="78"/>
      <c r="DKM10" s="78"/>
      <c r="DKN10" s="78"/>
      <c r="DKO10" s="78"/>
      <c r="DKP10" s="78"/>
      <c r="DKQ10" s="78"/>
      <c r="DKR10" s="78"/>
      <c r="DKS10" s="78"/>
      <c r="DKT10" s="78"/>
      <c r="DKU10" s="78"/>
      <c r="DKV10" s="78"/>
      <c r="DKW10" s="78"/>
      <c r="DKX10" s="78"/>
      <c r="DKY10" s="78"/>
      <c r="DKZ10" s="78"/>
      <c r="DLA10" s="78"/>
      <c r="DLB10" s="78"/>
      <c r="DLC10" s="78"/>
      <c r="DLD10" s="78"/>
      <c r="DLE10" s="78"/>
      <c r="DLF10" s="78"/>
      <c r="DLG10" s="78"/>
      <c r="DLH10" s="78"/>
      <c r="DLI10" s="78"/>
      <c r="DLJ10" s="78"/>
      <c r="DLK10" s="78"/>
      <c r="DLL10" s="78"/>
      <c r="DLM10" s="78"/>
      <c r="DLN10" s="78"/>
      <c r="DLO10" s="78"/>
      <c r="DLP10" s="78"/>
      <c r="DLQ10" s="78"/>
      <c r="DLR10" s="78"/>
      <c r="DLS10" s="78"/>
      <c r="DLT10" s="78"/>
      <c r="DLU10" s="78"/>
      <c r="DLV10" s="78"/>
      <c r="DLW10" s="78"/>
      <c r="DLX10" s="78"/>
      <c r="DLY10" s="78"/>
      <c r="DLZ10" s="78"/>
      <c r="DMA10" s="78"/>
      <c r="DMB10" s="78"/>
      <c r="DMC10" s="78"/>
      <c r="DMD10" s="78"/>
      <c r="DME10" s="78"/>
      <c r="DMF10" s="78"/>
      <c r="DMG10" s="78"/>
      <c r="DMH10" s="78"/>
      <c r="DMI10" s="78"/>
      <c r="DMJ10" s="78"/>
      <c r="DMK10" s="78"/>
      <c r="DML10" s="78"/>
      <c r="DMM10" s="78"/>
      <c r="DMN10" s="78"/>
      <c r="DMO10" s="78"/>
      <c r="DMP10" s="78"/>
      <c r="DMQ10" s="78"/>
      <c r="DMR10" s="78"/>
      <c r="DMS10" s="78"/>
      <c r="DMT10" s="78"/>
      <c r="DMU10" s="78"/>
      <c r="DMV10" s="78"/>
      <c r="DMW10" s="78"/>
      <c r="DMX10" s="78"/>
      <c r="DMY10" s="78"/>
      <c r="DMZ10" s="78"/>
      <c r="DNA10" s="78"/>
      <c r="DNB10" s="78"/>
      <c r="DNC10" s="78"/>
      <c r="DND10" s="78"/>
      <c r="DNE10" s="78"/>
      <c r="DNF10" s="78"/>
      <c r="DNG10" s="78"/>
      <c r="DNH10" s="78"/>
      <c r="DNI10" s="78"/>
      <c r="DNJ10" s="78"/>
      <c r="DNK10" s="78"/>
      <c r="DNL10" s="78"/>
      <c r="DNM10" s="78"/>
      <c r="DNN10" s="78"/>
      <c r="DNO10" s="78"/>
      <c r="DNP10" s="78"/>
      <c r="DNQ10" s="78"/>
      <c r="DNR10" s="78"/>
      <c r="DNS10" s="78"/>
      <c r="DNT10" s="78"/>
      <c r="DNU10" s="78"/>
      <c r="DNV10" s="78"/>
      <c r="DNW10" s="78"/>
      <c r="DNX10" s="78"/>
      <c r="DNY10" s="78"/>
      <c r="DNZ10" s="78"/>
      <c r="DOA10" s="78"/>
      <c r="DOB10" s="78"/>
      <c r="DOC10" s="78"/>
      <c r="DOD10" s="78"/>
      <c r="DOE10" s="78"/>
      <c r="DOF10" s="78"/>
      <c r="DOG10" s="78"/>
      <c r="DOH10" s="78"/>
      <c r="DOI10" s="78"/>
      <c r="DOJ10" s="78"/>
      <c r="DOK10" s="78"/>
      <c r="DOL10" s="78"/>
      <c r="DOM10" s="78"/>
      <c r="DON10" s="78"/>
      <c r="DOO10" s="78"/>
      <c r="DOP10" s="78"/>
      <c r="DOQ10" s="78"/>
      <c r="DOR10" s="78"/>
      <c r="DOS10" s="78"/>
      <c r="DOT10" s="78"/>
      <c r="DOU10" s="78"/>
      <c r="DOV10" s="78"/>
      <c r="DOW10" s="78"/>
      <c r="DOX10" s="78"/>
      <c r="DOY10" s="78"/>
      <c r="DOZ10" s="78"/>
      <c r="DPA10" s="78"/>
      <c r="DPB10" s="78"/>
      <c r="DPC10" s="78"/>
      <c r="DPD10" s="78"/>
      <c r="DPE10" s="78"/>
      <c r="DPF10" s="78"/>
      <c r="DPG10" s="78"/>
      <c r="DPH10" s="78"/>
      <c r="DPI10" s="78"/>
      <c r="DPJ10" s="78"/>
      <c r="DPK10" s="78"/>
      <c r="DPL10" s="78"/>
      <c r="DPM10" s="78"/>
      <c r="DPN10" s="78"/>
      <c r="DPO10" s="78"/>
      <c r="DPP10" s="78"/>
      <c r="DPQ10" s="78"/>
      <c r="DPR10" s="78"/>
      <c r="DPS10" s="78"/>
      <c r="DPT10" s="78"/>
      <c r="DPU10" s="78"/>
      <c r="DPV10" s="78"/>
      <c r="DPW10" s="78"/>
      <c r="DPX10" s="78"/>
      <c r="DPY10" s="78"/>
      <c r="DPZ10" s="78"/>
      <c r="DQA10" s="78"/>
      <c r="DQB10" s="78"/>
      <c r="DQC10" s="78"/>
      <c r="DQD10" s="78"/>
      <c r="DQE10" s="78"/>
      <c r="DQF10" s="78"/>
      <c r="DQG10" s="78"/>
      <c r="DQH10" s="78"/>
      <c r="DQI10" s="78"/>
      <c r="DQJ10" s="78"/>
      <c r="DQK10" s="78"/>
      <c r="DQL10" s="78"/>
      <c r="DQM10" s="78"/>
      <c r="DQN10" s="78"/>
      <c r="DQO10" s="78"/>
      <c r="DQP10" s="78"/>
      <c r="DQQ10" s="78"/>
      <c r="DQR10" s="78"/>
      <c r="DQS10" s="78"/>
      <c r="DQT10" s="78"/>
      <c r="DQU10" s="78"/>
      <c r="DQV10" s="78"/>
      <c r="DQW10" s="78"/>
      <c r="DQX10" s="78"/>
      <c r="DQY10" s="78"/>
      <c r="DQZ10" s="78"/>
      <c r="DRA10" s="78"/>
      <c r="DRB10" s="78"/>
      <c r="DRC10" s="78"/>
      <c r="DRD10" s="78"/>
      <c r="DRE10" s="78"/>
      <c r="DRF10" s="78"/>
      <c r="DRG10" s="78"/>
      <c r="DRH10" s="78"/>
      <c r="DRI10" s="78"/>
      <c r="DRJ10" s="78"/>
      <c r="DRK10" s="78"/>
      <c r="DRL10" s="78"/>
      <c r="DRM10" s="78"/>
      <c r="DRN10" s="78"/>
      <c r="DRO10" s="78"/>
      <c r="DRP10" s="78"/>
      <c r="DRQ10" s="78"/>
      <c r="DRR10" s="78"/>
      <c r="DRS10" s="78"/>
      <c r="DRT10" s="78"/>
      <c r="DRU10" s="78"/>
      <c r="DRV10" s="78"/>
      <c r="DRW10" s="78"/>
      <c r="DRX10" s="78"/>
      <c r="DRY10" s="78"/>
      <c r="DRZ10" s="78"/>
      <c r="DSA10" s="78"/>
      <c r="DSB10" s="78"/>
      <c r="DSC10" s="78"/>
      <c r="DSD10" s="78"/>
      <c r="DSE10" s="78"/>
      <c r="DSF10" s="78"/>
      <c r="DSG10" s="78"/>
      <c r="DSH10" s="78"/>
      <c r="DSI10" s="78"/>
      <c r="DSJ10" s="78"/>
      <c r="DSK10" s="78"/>
      <c r="DSL10" s="78"/>
      <c r="DSM10" s="78"/>
      <c r="DSN10" s="78"/>
      <c r="DSO10" s="78"/>
      <c r="DSP10" s="78"/>
      <c r="DSQ10" s="78"/>
      <c r="DSR10" s="78"/>
      <c r="DSS10" s="78"/>
      <c r="DST10" s="78"/>
      <c r="DSU10" s="78"/>
      <c r="DSV10" s="78"/>
      <c r="DSW10" s="78"/>
      <c r="DSX10" s="78"/>
      <c r="DSY10" s="78"/>
      <c r="DSZ10" s="78"/>
      <c r="DTA10" s="78"/>
      <c r="DTB10" s="78"/>
      <c r="DTC10" s="78"/>
      <c r="DTD10" s="78"/>
      <c r="DTE10" s="78"/>
      <c r="DTF10" s="78"/>
      <c r="DTG10" s="78"/>
      <c r="DTH10" s="78"/>
      <c r="DTI10" s="78"/>
      <c r="DTJ10" s="78"/>
      <c r="DTK10" s="78"/>
      <c r="DTL10" s="78"/>
      <c r="DTM10" s="78"/>
      <c r="DTN10" s="78"/>
      <c r="DTO10" s="78"/>
      <c r="DTP10" s="78"/>
      <c r="DTQ10" s="78"/>
      <c r="DTR10" s="78"/>
      <c r="DTS10" s="78"/>
      <c r="DTT10" s="78"/>
      <c r="DTU10" s="78"/>
      <c r="DTV10" s="78"/>
      <c r="DTW10" s="78"/>
      <c r="DTX10" s="78"/>
      <c r="DTY10" s="78"/>
      <c r="DTZ10" s="78"/>
      <c r="DUA10" s="78"/>
      <c r="DUB10" s="78"/>
      <c r="DUC10" s="78"/>
      <c r="DUD10" s="78"/>
      <c r="DUE10" s="78"/>
      <c r="DUF10" s="78"/>
      <c r="DUG10" s="78"/>
      <c r="DUH10" s="78"/>
      <c r="DUI10" s="78"/>
      <c r="DUJ10" s="78"/>
      <c r="DUK10" s="78"/>
      <c r="DUL10" s="78"/>
      <c r="DUM10" s="78"/>
      <c r="DUN10" s="78"/>
      <c r="DUO10" s="78"/>
      <c r="DUP10" s="78"/>
      <c r="DUQ10" s="78"/>
      <c r="DUR10" s="78"/>
      <c r="DUS10" s="78"/>
      <c r="DUT10" s="78"/>
      <c r="DUU10" s="78"/>
      <c r="DUV10" s="78"/>
      <c r="DUW10" s="78"/>
      <c r="DUX10" s="78"/>
      <c r="DUY10" s="78"/>
      <c r="DUZ10" s="78"/>
      <c r="DVA10" s="78"/>
      <c r="DVB10" s="78"/>
      <c r="DVC10" s="78"/>
      <c r="DVD10" s="78"/>
      <c r="DVE10" s="78"/>
      <c r="DVF10" s="78"/>
      <c r="DVG10" s="78"/>
      <c r="DVH10" s="78"/>
      <c r="DVI10" s="78"/>
      <c r="DVJ10" s="78"/>
      <c r="DVK10" s="78"/>
      <c r="DVL10" s="78"/>
      <c r="DVM10" s="78"/>
      <c r="DVN10" s="78"/>
      <c r="DVO10" s="78"/>
      <c r="DVP10" s="78"/>
      <c r="DVQ10" s="78"/>
      <c r="DVR10" s="78"/>
      <c r="DVS10" s="78"/>
      <c r="DVT10" s="78"/>
      <c r="DVU10" s="78"/>
      <c r="DVV10" s="78"/>
      <c r="DVW10" s="78"/>
      <c r="DVX10" s="78"/>
      <c r="DVY10" s="78"/>
      <c r="DVZ10" s="78"/>
      <c r="DWA10" s="78"/>
      <c r="DWB10" s="78"/>
      <c r="DWC10" s="78"/>
      <c r="DWD10" s="78"/>
      <c r="DWE10" s="78"/>
      <c r="DWF10" s="78"/>
      <c r="DWG10" s="78"/>
      <c r="DWH10" s="78"/>
      <c r="DWI10" s="78"/>
      <c r="DWJ10" s="78"/>
      <c r="DWK10" s="78"/>
      <c r="DWL10" s="78"/>
      <c r="DWM10" s="78"/>
      <c r="DWN10" s="78"/>
      <c r="DWO10" s="78"/>
      <c r="DWP10" s="78"/>
      <c r="DWQ10" s="78"/>
      <c r="DWR10" s="78"/>
      <c r="DWS10" s="78"/>
      <c r="DWT10" s="78"/>
      <c r="DWU10" s="78"/>
      <c r="DWV10" s="78"/>
      <c r="DWW10" s="78"/>
      <c r="DWX10" s="78"/>
      <c r="DWY10" s="78"/>
      <c r="DWZ10" s="78"/>
      <c r="DXA10" s="78"/>
      <c r="DXB10" s="78"/>
      <c r="DXC10" s="78"/>
      <c r="DXD10" s="78"/>
      <c r="DXE10" s="78"/>
      <c r="DXF10" s="78"/>
      <c r="DXG10" s="78"/>
      <c r="DXH10" s="78"/>
      <c r="DXI10" s="78"/>
      <c r="DXJ10" s="78"/>
      <c r="DXK10" s="78"/>
      <c r="DXL10" s="78"/>
      <c r="DXM10" s="78"/>
      <c r="DXN10" s="78"/>
      <c r="DXO10" s="78"/>
      <c r="DXP10" s="78"/>
      <c r="DXQ10" s="78"/>
      <c r="DXR10" s="78"/>
      <c r="DXS10" s="78"/>
      <c r="DXT10" s="78"/>
      <c r="DXU10" s="78"/>
      <c r="DXV10" s="78"/>
      <c r="DXW10" s="78"/>
      <c r="DXX10" s="78"/>
      <c r="DXY10" s="78"/>
      <c r="DXZ10" s="78"/>
      <c r="DYA10" s="78"/>
      <c r="DYB10" s="78"/>
      <c r="DYC10" s="78"/>
      <c r="DYD10" s="78"/>
      <c r="DYE10" s="78"/>
      <c r="DYF10" s="78"/>
      <c r="DYG10" s="78"/>
      <c r="DYH10" s="78"/>
      <c r="DYI10" s="78"/>
      <c r="DYJ10" s="78"/>
      <c r="DYK10" s="78"/>
      <c r="DYL10" s="78"/>
      <c r="DYM10" s="78"/>
      <c r="DYN10" s="78"/>
      <c r="DYO10" s="78"/>
      <c r="DYP10" s="78"/>
      <c r="DYQ10" s="78"/>
      <c r="DYR10" s="78"/>
      <c r="DYS10" s="78"/>
      <c r="DYT10" s="78"/>
      <c r="DYU10" s="78"/>
      <c r="DYV10" s="78"/>
      <c r="DYW10" s="78"/>
      <c r="DYX10" s="78"/>
      <c r="DYY10" s="78"/>
      <c r="DYZ10" s="78"/>
      <c r="DZA10" s="78"/>
      <c r="DZB10" s="78"/>
      <c r="DZC10" s="78"/>
      <c r="DZD10" s="78"/>
      <c r="DZE10" s="78"/>
      <c r="DZF10" s="78"/>
      <c r="DZG10" s="78"/>
      <c r="DZH10" s="78"/>
      <c r="DZI10" s="78"/>
      <c r="DZJ10" s="78"/>
      <c r="DZK10" s="78"/>
      <c r="DZL10" s="78"/>
      <c r="DZM10" s="78"/>
      <c r="DZN10" s="78"/>
      <c r="DZO10" s="78"/>
      <c r="DZP10" s="78"/>
      <c r="DZQ10" s="78"/>
      <c r="DZR10" s="78"/>
      <c r="DZS10" s="78"/>
      <c r="DZT10" s="78"/>
      <c r="DZU10" s="78"/>
      <c r="DZV10" s="78"/>
      <c r="DZW10" s="78"/>
      <c r="DZX10" s="78"/>
      <c r="DZY10" s="78"/>
      <c r="DZZ10" s="78"/>
      <c r="EAA10" s="78"/>
      <c r="EAB10" s="78"/>
      <c r="EAC10" s="78"/>
      <c r="EAD10" s="78"/>
      <c r="EAE10" s="78"/>
      <c r="EAF10" s="78"/>
      <c r="EAG10" s="78"/>
      <c r="EAH10" s="78"/>
      <c r="EAI10" s="78"/>
      <c r="EAJ10" s="78"/>
      <c r="EAK10" s="78"/>
      <c r="EAL10" s="78"/>
      <c r="EAM10" s="78"/>
      <c r="EAN10" s="78"/>
      <c r="EAO10" s="78"/>
      <c r="EAP10" s="78"/>
      <c r="EAQ10" s="78"/>
      <c r="EAR10" s="78"/>
      <c r="EAS10" s="78"/>
      <c r="EAT10" s="78"/>
      <c r="EAU10" s="78"/>
      <c r="EAV10" s="78"/>
      <c r="EAW10" s="78"/>
      <c r="EAX10" s="78"/>
      <c r="EAY10" s="78"/>
      <c r="EAZ10" s="78"/>
      <c r="EBA10" s="78"/>
      <c r="EBB10" s="78"/>
      <c r="EBC10" s="78"/>
      <c r="EBD10" s="78"/>
      <c r="EBE10" s="78"/>
      <c r="EBF10" s="78"/>
      <c r="EBG10" s="78"/>
      <c r="EBH10" s="78"/>
      <c r="EBI10" s="78"/>
      <c r="EBJ10" s="78"/>
      <c r="EBK10" s="78"/>
      <c r="EBL10" s="78"/>
      <c r="EBM10" s="78"/>
      <c r="EBN10" s="78"/>
      <c r="EBO10" s="78"/>
      <c r="EBP10" s="78"/>
      <c r="EBQ10" s="78"/>
      <c r="EBR10" s="78"/>
      <c r="EBS10" s="78"/>
      <c r="EBT10" s="78"/>
      <c r="EBU10" s="78"/>
      <c r="EBV10" s="78"/>
      <c r="EBW10" s="78"/>
      <c r="EBX10" s="78"/>
      <c r="EBY10" s="78"/>
      <c r="EBZ10" s="78"/>
      <c r="ECA10" s="78"/>
      <c r="ECB10" s="78"/>
      <c r="ECC10" s="78"/>
      <c r="ECD10" s="78"/>
      <c r="ECE10" s="78"/>
      <c r="ECF10" s="78"/>
      <c r="ECG10" s="78"/>
      <c r="ECH10" s="78"/>
      <c r="ECI10" s="78"/>
      <c r="ECJ10" s="78"/>
      <c r="ECK10" s="78"/>
      <c r="ECL10" s="78"/>
      <c r="ECM10" s="78"/>
      <c r="ECN10" s="78"/>
      <c r="ECO10" s="78"/>
      <c r="ECP10" s="78"/>
      <c r="ECQ10" s="78"/>
      <c r="ECR10" s="78"/>
      <c r="ECS10" s="78"/>
      <c r="ECT10" s="78"/>
      <c r="ECU10" s="78"/>
      <c r="ECV10" s="78"/>
      <c r="ECW10" s="78"/>
      <c r="ECX10" s="78"/>
      <c r="ECY10" s="78"/>
      <c r="ECZ10" s="78"/>
      <c r="EDA10" s="78"/>
      <c r="EDB10" s="78"/>
      <c r="EDC10" s="78"/>
      <c r="EDD10" s="78"/>
      <c r="EDE10" s="78"/>
      <c r="EDF10" s="78"/>
      <c r="EDG10" s="78"/>
      <c r="EDH10" s="78"/>
      <c r="EDI10" s="78"/>
      <c r="EDJ10" s="78"/>
      <c r="EDK10" s="78"/>
      <c r="EDL10" s="78"/>
      <c r="EDM10" s="78"/>
      <c r="EDN10" s="78"/>
      <c r="EDO10" s="78"/>
      <c r="EDP10" s="78"/>
      <c r="EDQ10" s="78"/>
      <c r="EDR10" s="78"/>
      <c r="EDS10" s="78"/>
      <c r="EDT10" s="78"/>
      <c r="EDU10" s="78"/>
      <c r="EDV10" s="78"/>
      <c r="EDW10" s="78"/>
      <c r="EDX10" s="78"/>
      <c r="EDY10" s="78"/>
      <c r="EDZ10" s="78"/>
      <c r="EEA10" s="78"/>
      <c r="EEB10" s="78"/>
      <c r="EEC10" s="78"/>
      <c r="EED10" s="78"/>
      <c r="EEE10" s="78"/>
      <c r="EEF10" s="78"/>
      <c r="EEG10" s="78"/>
      <c r="EEH10" s="78"/>
      <c r="EEI10" s="78"/>
      <c r="EEJ10" s="78"/>
      <c r="EEK10" s="78"/>
      <c r="EEL10" s="78"/>
      <c r="EEM10" s="78"/>
      <c r="EEN10" s="78"/>
      <c r="EEO10" s="78"/>
      <c r="EEP10" s="78"/>
      <c r="EEQ10" s="78"/>
      <c r="EER10" s="78"/>
      <c r="EES10" s="78"/>
      <c r="EET10" s="78"/>
      <c r="EEU10" s="78"/>
      <c r="EEV10" s="78"/>
      <c r="EEW10" s="78"/>
      <c r="EEX10" s="78"/>
      <c r="EEY10" s="78"/>
      <c r="EEZ10" s="78"/>
      <c r="EFA10" s="78"/>
      <c r="EFB10" s="78"/>
      <c r="EFC10" s="78"/>
      <c r="EFD10" s="78"/>
      <c r="EFE10" s="78"/>
      <c r="EFF10" s="78"/>
      <c r="EFG10" s="78"/>
      <c r="EFH10" s="78"/>
      <c r="EFI10" s="78"/>
      <c r="EFJ10" s="78"/>
      <c r="EFK10" s="78"/>
      <c r="EFL10" s="78"/>
      <c r="EFM10" s="78"/>
      <c r="EFN10" s="78"/>
      <c r="EFO10" s="78"/>
      <c r="EFP10" s="78"/>
      <c r="EFQ10" s="78"/>
      <c r="EFR10" s="78"/>
      <c r="EFS10" s="78"/>
      <c r="EFT10" s="78"/>
      <c r="EFU10" s="78"/>
      <c r="EFV10" s="78"/>
      <c r="EFW10" s="78"/>
      <c r="EFX10" s="78"/>
      <c r="EFY10" s="78"/>
      <c r="EFZ10" s="78"/>
      <c r="EGA10" s="78"/>
      <c r="EGB10" s="78"/>
      <c r="EGC10" s="78"/>
      <c r="EGD10" s="78"/>
      <c r="EGE10" s="78"/>
      <c r="EGF10" s="78"/>
      <c r="EGG10" s="78"/>
      <c r="EGH10" s="78"/>
      <c r="EGI10" s="78"/>
      <c r="EGJ10" s="78"/>
      <c r="EGK10" s="78"/>
      <c r="EGL10" s="78"/>
      <c r="EGM10" s="78"/>
      <c r="EGN10" s="78"/>
      <c r="EGO10" s="78"/>
      <c r="EGP10" s="78"/>
      <c r="EGQ10" s="78"/>
      <c r="EGR10" s="78"/>
      <c r="EGS10" s="78"/>
      <c r="EGT10" s="78"/>
      <c r="EGU10" s="78"/>
      <c r="EGV10" s="78"/>
      <c r="EGW10" s="78"/>
      <c r="EGX10" s="78"/>
      <c r="EGY10" s="78"/>
      <c r="EGZ10" s="78"/>
      <c r="EHA10" s="78"/>
      <c r="EHB10" s="78"/>
      <c r="EHC10" s="78"/>
      <c r="EHD10" s="78"/>
      <c r="EHE10" s="78"/>
      <c r="EHF10" s="78"/>
      <c r="EHG10" s="78"/>
      <c r="EHH10" s="78"/>
      <c r="EHI10" s="78"/>
      <c r="EHJ10" s="78"/>
      <c r="EHK10" s="78"/>
      <c r="EHL10" s="78"/>
      <c r="EHM10" s="78"/>
      <c r="EHN10" s="78"/>
      <c r="EHO10" s="78"/>
      <c r="EHP10" s="78"/>
      <c r="EHQ10" s="78"/>
      <c r="EHR10" s="78"/>
      <c r="EHS10" s="78"/>
      <c r="EHT10" s="78"/>
      <c r="EHU10" s="78"/>
      <c r="EHV10" s="78"/>
      <c r="EHW10" s="78"/>
      <c r="EHX10" s="78"/>
      <c r="EHY10" s="78"/>
      <c r="EHZ10" s="78"/>
      <c r="EIA10" s="78"/>
      <c r="EIB10" s="78"/>
      <c r="EIC10" s="78"/>
      <c r="EID10" s="78"/>
      <c r="EIE10" s="78"/>
      <c r="EIF10" s="78"/>
      <c r="EIG10" s="78"/>
      <c r="EIH10" s="78"/>
      <c r="EII10" s="78"/>
      <c r="EIJ10" s="78"/>
      <c r="EIK10" s="78"/>
      <c r="EIL10" s="78"/>
      <c r="EIM10" s="78"/>
      <c r="EIN10" s="78"/>
      <c r="EIO10" s="78"/>
      <c r="EIP10" s="78"/>
      <c r="EIQ10" s="78"/>
      <c r="EIR10" s="78"/>
      <c r="EIS10" s="78"/>
      <c r="EIT10" s="78"/>
      <c r="EIU10" s="78"/>
      <c r="EIV10" s="78"/>
      <c r="EIW10" s="78"/>
      <c r="EIX10" s="78"/>
      <c r="EIY10" s="78"/>
      <c r="EIZ10" s="78"/>
      <c r="EJA10" s="78"/>
      <c r="EJB10" s="78"/>
      <c r="EJC10" s="78"/>
      <c r="EJD10" s="78"/>
      <c r="EJE10" s="78"/>
      <c r="EJF10" s="78"/>
      <c r="EJG10" s="78"/>
      <c r="EJH10" s="78"/>
      <c r="EJI10" s="78"/>
      <c r="EJJ10" s="78"/>
      <c r="EJK10" s="78"/>
      <c r="EJL10" s="78"/>
      <c r="EJM10" s="78"/>
      <c r="EJN10" s="78"/>
      <c r="EJO10" s="78"/>
      <c r="EJP10" s="78"/>
      <c r="EJQ10" s="78"/>
      <c r="EJR10" s="78"/>
      <c r="EJS10" s="78"/>
      <c r="EJT10" s="78"/>
      <c r="EJU10" s="78"/>
      <c r="EJV10" s="78"/>
      <c r="EJW10" s="78"/>
      <c r="EJX10" s="78"/>
      <c r="EJY10" s="78"/>
      <c r="EJZ10" s="78"/>
      <c r="EKA10" s="78"/>
      <c r="EKB10" s="78"/>
      <c r="EKC10" s="78"/>
      <c r="EKD10" s="78"/>
      <c r="EKE10" s="78"/>
      <c r="EKF10" s="78"/>
      <c r="EKG10" s="78"/>
      <c r="EKH10" s="78"/>
      <c r="EKI10" s="78"/>
      <c r="EKJ10" s="78"/>
      <c r="EKK10" s="78"/>
      <c r="EKL10" s="78"/>
      <c r="EKM10" s="78"/>
      <c r="EKN10" s="78"/>
      <c r="EKO10" s="78"/>
      <c r="EKP10" s="78"/>
      <c r="EKQ10" s="78"/>
      <c r="EKR10" s="78"/>
      <c r="EKS10" s="78"/>
      <c r="EKT10" s="78"/>
      <c r="EKU10" s="78"/>
      <c r="EKV10" s="78"/>
      <c r="EKW10" s="78"/>
      <c r="EKX10" s="78"/>
      <c r="EKY10" s="78"/>
      <c r="EKZ10" s="78"/>
      <c r="ELA10" s="78"/>
      <c r="ELB10" s="78"/>
      <c r="ELC10" s="78"/>
      <c r="ELD10" s="78"/>
      <c r="ELE10" s="78"/>
      <c r="ELF10" s="78"/>
      <c r="ELG10" s="78"/>
      <c r="ELH10" s="78"/>
      <c r="ELI10" s="78"/>
      <c r="ELJ10" s="78"/>
      <c r="ELK10" s="78"/>
      <c r="ELL10" s="78"/>
      <c r="ELM10" s="78"/>
      <c r="ELN10" s="78"/>
      <c r="ELO10" s="78"/>
      <c r="ELP10" s="78"/>
      <c r="ELQ10" s="78"/>
      <c r="ELR10" s="78"/>
      <c r="ELS10" s="78"/>
      <c r="ELT10" s="78"/>
      <c r="ELU10" s="78"/>
      <c r="ELV10" s="78"/>
      <c r="ELW10" s="78"/>
      <c r="ELX10" s="78"/>
      <c r="ELY10" s="78"/>
      <c r="ELZ10" s="78"/>
      <c r="EMA10" s="78"/>
      <c r="EMB10" s="78"/>
      <c r="EMC10" s="78"/>
      <c r="EMD10" s="78"/>
      <c r="EME10" s="78"/>
      <c r="EMF10" s="78"/>
      <c r="EMG10" s="78"/>
      <c r="EMH10" s="78"/>
      <c r="EMI10" s="78"/>
      <c r="EMJ10" s="78"/>
      <c r="EMK10" s="78"/>
      <c r="EML10" s="78"/>
      <c r="EMM10" s="78"/>
      <c r="EMN10" s="78"/>
      <c r="EMO10" s="78"/>
      <c r="EMP10" s="78"/>
      <c r="EMQ10" s="78"/>
      <c r="EMR10" s="78"/>
      <c r="EMS10" s="78"/>
      <c r="EMT10" s="78"/>
      <c r="EMU10" s="78"/>
      <c r="EMV10" s="78"/>
      <c r="EMW10" s="78"/>
      <c r="EMX10" s="78"/>
      <c r="EMY10" s="78"/>
      <c r="EMZ10" s="78"/>
      <c r="ENA10" s="78"/>
      <c r="ENB10" s="78"/>
      <c r="ENC10" s="78"/>
      <c r="END10" s="78"/>
      <c r="ENE10" s="78"/>
      <c r="ENF10" s="78"/>
      <c r="ENG10" s="78"/>
      <c r="ENH10" s="78"/>
      <c r="ENI10" s="78"/>
      <c r="ENJ10" s="78"/>
      <c r="ENK10" s="78"/>
      <c r="ENL10" s="78"/>
      <c r="ENM10" s="78"/>
      <c r="ENN10" s="78"/>
      <c r="ENO10" s="78"/>
      <c r="ENP10" s="78"/>
      <c r="ENQ10" s="78"/>
      <c r="ENR10" s="78"/>
      <c r="ENS10" s="78"/>
      <c r="ENT10" s="78"/>
      <c r="ENU10" s="78"/>
      <c r="ENV10" s="78"/>
      <c r="ENW10" s="78"/>
      <c r="ENX10" s="78"/>
      <c r="ENY10" s="78"/>
      <c r="ENZ10" s="78"/>
      <c r="EOA10" s="78"/>
      <c r="EOB10" s="78"/>
      <c r="EOC10" s="78"/>
      <c r="EOD10" s="78"/>
      <c r="EOE10" s="78"/>
      <c r="EOF10" s="78"/>
      <c r="EOG10" s="78"/>
      <c r="EOH10" s="78"/>
      <c r="EOI10" s="78"/>
      <c r="EOJ10" s="78"/>
      <c r="EOK10" s="78"/>
      <c r="EOL10" s="78"/>
      <c r="EOM10" s="78"/>
      <c r="EON10" s="78"/>
      <c r="EOO10" s="78"/>
      <c r="EOP10" s="78"/>
      <c r="EOQ10" s="78"/>
      <c r="EOR10" s="78"/>
      <c r="EOS10" s="78"/>
      <c r="EOT10" s="78"/>
      <c r="EOU10" s="78"/>
      <c r="EOV10" s="78"/>
      <c r="EOW10" s="78"/>
      <c r="EOX10" s="78"/>
      <c r="EOY10" s="78"/>
      <c r="EOZ10" s="78"/>
      <c r="EPA10" s="78"/>
      <c r="EPB10" s="78"/>
      <c r="EPC10" s="78"/>
      <c r="EPD10" s="78"/>
      <c r="EPE10" s="78"/>
      <c r="EPF10" s="78"/>
      <c r="EPG10" s="78"/>
      <c r="EPH10" s="78"/>
      <c r="EPI10" s="78"/>
      <c r="EPJ10" s="78"/>
      <c r="EPK10" s="78"/>
      <c r="EPL10" s="78"/>
      <c r="EPM10" s="78"/>
      <c r="EPN10" s="78"/>
      <c r="EPO10" s="78"/>
      <c r="EPP10" s="78"/>
      <c r="EPQ10" s="78"/>
      <c r="EPR10" s="78"/>
      <c r="EPS10" s="78"/>
      <c r="EPT10" s="78"/>
      <c r="EPU10" s="78"/>
      <c r="EPV10" s="78"/>
      <c r="EPW10" s="78"/>
      <c r="EPX10" s="78"/>
      <c r="EPY10" s="78"/>
      <c r="EPZ10" s="78"/>
      <c r="EQA10" s="78"/>
      <c r="EQB10" s="78"/>
      <c r="EQC10" s="78"/>
      <c r="EQD10" s="78"/>
      <c r="EQE10" s="78"/>
      <c r="EQF10" s="78"/>
      <c r="EQG10" s="78"/>
      <c r="EQH10" s="78"/>
      <c r="EQI10" s="78"/>
      <c r="EQJ10" s="78"/>
      <c r="EQK10" s="78"/>
      <c r="EQL10" s="78"/>
      <c r="EQM10" s="78"/>
      <c r="EQN10" s="78"/>
      <c r="EQO10" s="78"/>
      <c r="EQP10" s="78"/>
      <c r="EQQ10" s="78"/>
      <c r="EQR10" s="78"/>
      <c r="EQS10" s="78"/>
      <c r="EQT10" s="78"/>
      <c r="EQU10" s="78"/>
      <c r="EQV10" s="78"/>
      <c r="EQW10" s="78"/>
      <c r="EQX10" s="78"/>
      <c r="EQY10" s="78"/>
      <c r="EQZ10" s="78"/>
      <c r="ERA10" s="78"/>
      <c r="ERB10" s="78"/>
      <c r="ERC10" s="78"/>
      <c r="ERD10" s="78"/>
      <c r="ERE10" s="78"/>
      <c r="ERF10" s="78"/>
      <c r="ERG10" s="78"/>
      <c r="ERH10" s="78"/>
      <c r="ERI10" s="78"/>
      <c r="ERJ10" s="78"/>
      <c r="ERK10" s="78"/>
      <c r="ERL10" s="78"/>
      <c r="ERM10" s="78"/>
      <c r="ERN10" s="78"/>
      <c r="ERO10" s="78"/>
      <c r="ERP10" s="78"/>
      <c r="ERQ10" s="78"/>
      <c r="ERR10" s="78"/>
      <c r="ERS10" s="78"/>
      <c r="ERT10" s="78"/>
      <c r="ERU10" s="78"/>
      <c r="ERV10" s="78"/>
      <c r="ERW10" s="78"/>
      <c r="ERX10" s="78"/>
      <c r="ERY10" s="78"/>
      <c r="ERZ10" s="78"/>
      <c r="ESA10" s="78"/>
      <c r="ESB10" s="78"/>
      <c r="ESC10" s="78"/>
      <c r="ESD10" s="78"/>
      <c r="ESE10" s="78"/>
      <c r="ESF10" s="78"/>
      <c r="ESG10" s="78"/>
      <c r="ESH10" s="78"/>
      <c r="ESI10" s="78"/>
      <c r="ESJ10" s="78"/>
      <c r="ESK10" s="78"/>
      <c r="ESL10" s="78"/>
      <c r="ESM10" s="78"/>
      <c r="ESN10" s="78"/>
      <c r="ESO10" s="78"/>
      <c r="ESP10" s="78"/>
      <c r="ESQ10" s="78"/>
      <c r="ESR10" s="78"/>
      <c r="ESS10" s="78"/>
      <c r="EST10" s="78"/>
      <c r="ESU10" s="78"/>
      <c r="ESV10" s="78"/>
      <c r="ESW10" s="78"/>
      <c r="ESX10" s="78"/>
      <c r="ESY10" s="78"/>
      <c r="ESZ10" s="78"/>
      <c r="ETA10" s="78"/>
      <c r="ETB10" s="78"/>
      <c r="ETC10" s="78"/>
      <c r="ETD10" s="78"/>
      <c r="ETE10" s="78"/>
      <c r="ETF10" s="78"/>
      <c r="ETG10" s="78"/>
      <c r="ETH10" s="78"/>
      <c r="ETI10" s="78"/>
      <c r="ETJ10" s="78"/>
      <c r="ETK10" s="78"/>
      <c r="ETL10" s="78"/>
      <c r="ETM10" s="78"/>
      <c r="ETN10" s="78"/>
      <c r="ETO10" s="78"/>
      <c r="ETP10" s="78"/>
      <c r="ETQ10" s="78"/>
      <c r="ETR10" s="78"/>
      <c r="ETS10" s="78"/>
      <c r="ETT10" s="78"/>
      <c r="ETU10" s="78"/>
      <c r="ETV10" s="78"/>
      <c r="ETW10" s="78"/>
      <c r="ETX10" s="78"/>
      <c r="ETY10" s="78"/>
      <c r="ETZ10" s="78"/>
      <c r="EUA10" s="78"/>
      <c r="EUB10" s="78"/>
      <c r="EUC10" s="78"/>
      <c r="EUD10" s="78"/>
      <c r="EUE10" s="78"/>
      <c r="EUF10" s="78"/>
      <c r="EUG10" s="78"/>
      <c r="EUH10" s="78"/>
      <c r="EUI10" s="78"/>
      <c r="EUJ10" s="78"/>
      <c r="EUK10" s="78"/>
      <c r="EUL10" s="78"/>
      <c r="EUM10" s="78"/>
      <c r="EUN10" s="78"/>
      <c r="EUO10" s="78"/>
      <c r="EUP10" s="78"/>
      <c r="EUQ10" s="78"/>
      <c r="EUR10" s="78"/>
      <c r="EUS10" s="78"/>
      <c r="EUT10" s="78"/>
      <c r="EUU10" s="78"/>
      <c r="EUV10" s="78"/>
      <c r="EUW10" s="78"/>
      <c r="EUX10" s="78"/>
      <c r="EUY10" s="78"/>
      <c r="EUZ10" s="78"/>
      <c r="EVA10" s="78"/>
      <c r="EVB10" s="78"/>
      <c r="EVC10" s="78"/>
      <c r="EVD10" s="78"/>
      <c r="EVE10" s="78"/>
      <c r="EVF10" s="78"/>
      <c r="EVG10" s="78"/>
      <c r="EVH10" s="78"/>
      <c r="EVI10" s="78"/>
      <c r="EVJ10" s="78"/>
      <c r="EVK10" s="78"/>
      <c r="EVL10" s="78"/>
      <c r="EVM10" s="78"/>
      <c r="EVN10" s="78"/>
      <c r="EVO10" s="78"/>
      <c r="EVP10" s="78"/>
      <c r="EVQ10" s="78"/>
      <c r="EVR10" s="78"/>
      <c r="EVS10" s="78"/>
      <c r="EVT10" s="78"/>
      <c r="EVU10" s="78"/>
      <c r="EVV10" s="78"/>
      <c r="EVW10" s="78"/>
      <c r="EVX10" s="78"/>
      <c r="EVY10" s="78"/>
      <c r="EVZ10" s="78"/>
      <c r="EWA10" s="78"/>
      <c r="EWB10" s="78"/>
      <c r="EWC10" s="78"/>
      <c r="EWD10" s="78"/>
      <c r="EWE10" s="78"/>
      <c r="EWF10" s="78"/>
      <c r="EWG10" s="78"/>
      <c r="EWH10" s="78"/>
      <c r="EWI10" s="78"/>
      <c r="EWJ10" s="78"/>
      <c r="EWK10" s="78"/>
      <c r="EWL10" s="78"/>
      <c r="EWM10" s="78"/>
      <c r="EWN10" s="78"/>
      <c r="EWO10" s="78"/>
      <c r="EWP10" s="78"/>
      <c r="EWQ10" s="78"/>
      <c r="EWR10" s="78"/>
      <c r="EWS10" s="78"/>
      <c r="EWT10" s="78"/>
      <c r="EWU10" s="78"/>
      <c r="EWV10" s="78"/>
      <c r="EWW10" s="78"/>
      <c r="EWX10" s="78"/>
      <c r="EWY10" s="78"/>
      <c r="EWZ10" s="78"/>
      <c r="EXA10" s="78"/>
      <c r="EXB10" s="78"/>
      <c r="EXC10" s="78"/>
      <c r="EXD10" s="78"/>
      <c r="EXE10" s="78"/>
      <c r="EXF10" s="78"/>
      <c r="EXG10" s="78"/>
      <c r="EXH10" s="78"/>
      <c r="EXI10" s="78"/>
      <c r="EXJ10" s="78"/>
      <c r="EXK10" s="78"/>
      <c r="EXL10" s="78"/>
      <c r="EXM10" s="78"/>
      <c r="EXN10" s="78"/>
      <c r="EXO10" s="78"/>
      <c r="EXP10" s="78"/>
      <c r="EXQ10" s="78"/>
      <c r="EXR10" s="78"/>
      <c r="EXS10" s="78"/>
      <c r="EXT10" s="78"/>
      <c r="EXU10" s="78"/>
      <c r="EXV10" s="78"/>
      <c r="EXW10" s="78"/>
      <c r="EXX10" s="78"/>
      <c r="EXY10" s="78"/>
      <c r="EXZ10" s="78"/>
      <c r="EYA10" s="78"/>
      <c r="EYB10" s="78"/>
      <c r="EYC10" s="78"/>
      <c r="EYD10" s="78"/>
      <c r="EYE10" s="78"/>
      <c r="EYF10" s="78"/>
      <c r="EYG10" s="78"/>
      <c r="EYH10" s="78"/>
      <c r="EYI10" s="78"/>
      <c r="EYJ10" s="78"/>
      <c r="EYK10" s="78"/>
      <c r="EYL10" s="78"/>
      <c r="EYM10" s="78"/>
      <c r="EYN10" s="78"/>
      <c r="EYO10" s="78"/>
      <c r="EYP10" s="78"/>
      <c r="EYQ10" s="78"/>
      <c r="EYR10" s="78"/>
      <c r="EYS10" s="78"/>
      <c r="EYT10" s="78"/>
      <c r="EYU10" s="78"/>
      <c r="EYV10" s="78"/>
      <c r="EYW10" s="78"/>
      <c r="EYX10" s="78"/>
      <c r="EYY10" s="78"/>
      <c r="EYZ10" s="78"/>
      <c r="EZA10" s="78"/>
      <c r="EZB10" s="78"/>
      <c r="EZC10" s="78"/>
      <c r="EZD10" s="78"/>
      <c r="EZE10" s="78"/>
      <c r="EZF10" s="78"/>
      <c r="EZG10" s="78"/>
      <c r="EZH10" s="78"/>
      <c r="EZI10" s="78"/>
      <c r="EZJ10" s="78"/>
      <c r="EZK10" s="78"/>
      <c r="EZL10" s="78"/>
      <c r="EZM10" s="78"/>
      <c r="EZN10" s="78"/>
      <c r="EZO10" s="78"/>
      <c r="EZP10" s="78"/>
      <c r="EZQ10" s="78"/>
      <c r="EZR10" s="78"/>
      <c r="EZS10" s="78"/>
      <c r="EZT10" s="78"/>
      <c r="EZU10" s="78"/>
      <c r="EZV10" s="78"/>
      <c r="EZW10" s="78"/>
      <c r="EZX10" s="78"/>
      <c r="EZY10" s="78"/>
      <c r="EZZ10" s="78"/>
      <c r="FAA10" s="78"/>
      <c r="FAB10" s="78"/>
      <c r="FAC10" s="78"/>
      <c r="FAD10" s="78"/>
      <c r="FAE10" s="78"/>
      <c r="FAF10" s="78"/>
      <c r="FAG10" s="78"/>
      <c r="FAH10" s="78"/>
      <c r="FAI10" s="78"/>
      <c r="FAJ10" s="78"/>
      <c r="FAK10" s="78"/>
      <c r="FAL10" s="78"/>
      <c r="FAM10" s="78"/>
      <c r="FAN10" s="78"/>
      <c r="FAO10" s="78"/>
      <c r="FAP10" s="78"/>
      <c r="FAQ10" s="78"/>
      <c r="FAR10" s="78"/>
      <c r="FAS10" s="78"/>
      <c r="FAT10" s="78"/>
      <c r="FAU10" s="78"/>
      <c r="FAV10" s="78"/>
      <c r="FAW10" s="78"/>
      <c r="FAX10" s="78"/>
      <c r="FAY10" s="78"/>
      <c r="FAZ10" s="78"/>
      <c r="FBA10" s="78"/>
      <c r="FBB10" s="78"/>
      <c r="FBC10" s="78"/>
      <c r="FBD10" s="78"/>
      <c r="FBE10" s="78"/>
      <c r="FBF10" s="78"/>
      <c r="FBG10" s="78"/>
      <c r="FBH10" s="78"/>
      <c r="FBI10" s="78"/>
      <c r="FBJ10" s="78"/>
      <c r="FBK10" s="78"/>
      <c r="FBL10" s="78"/>
      <c r="FBM10" s="78"/>
      <c r="FBN10" s="78"/>
      <c r="FBO10" s="78"/>
      <c r="FBP10" s="78"/>
      <c r="FBQ10" s="78"/>
      <c r="FBR10" s="78"/>
      <c r="FBS10" s="78"/>
      <c r="FBT10" s="78"/>
      <c r="FBU10" s="78"/>
      <c r="FBV10" s="78"/>
      <c r="FBW10" s="78"/>
      <c r="FBX10" s="78"/>
      <c r="FBY10" s="78"/>
      <c r="FBZ10" s="78"/>
      <c r="FCA10" s="78"/>
      <c r="FCB10" s="78"/>
      <c r="FCC10" s="78"/>
      <c r="FCD10" s="78"/>
      <c r="FCE10" s="78"/>
      <c r="FCF10" s="78"/>
      <c r="FCG10" s="78"/>
      <c r="FCH10" s="78"/>
      <c r="FCI10" s="78"/>
      <c r="FCJ10" s="78"/>
      <c r="FCK10" s="78"/>
      <c r="FCL10" s="78"/>
      <c r="FCM10" s="78"/>
      <c r="FCN10" s="78"/>
      <c r="FCO10" s="78"/>
      <c r="FCP10" s="78"/>
      <c r="FCQ10" s="78"/>
      <c r="FCR10" s="78"/>
      <c r="FCS10" s="78"/>
      <c r="FCT10" s="78"/>
      <c r="FCU10" s="78"/>
      <c r="FCV10" s="78"/>
      <c r="FCW10" s="78"/>
      <c r="FCX10" s="78"/>
      <c r="FCY10" s="78"/>
      <c r="FCZ10" s="78"/>
      <c r="FDA10" s="78"/>
      <c r="FDB10" s="78"/>
      <c r="FDC10" s="78"/>
      <c r="FDD10" s="78"/>
      <c r="FDE10" s="78"/>
      <c r="FDF10" s="78"/>
      <c r="FDG10" s="78"/>
      <c r="FDH10" s="78"/>
      <c r="FDI10" s="78"/>
      <c r="FDJ10" s="78"/>
      <c r="FDK10" s="78"/>
      <c r="FDL10" s="78"/>
      <c r="FDM10" s="78"/>
      <c r="FDN10" s="78"/>
      <c r="FDO10" s="78"/>
      <c r="FDP10" s="78"/>
      <c r="FDQ10" s="78"/>
      <c r="FDR10" s="78"/>
      <c r="FDS10" s="78"/>
      <c r="FDT10" s="78"/>
      <c r="FDU10" s="78"/>
      <c r="FDV10" s="78"/>
      <c r="FDW10" s="78"/>
      <c r="FDX10" s="78"/>
      <c r="FDY10" s="78"/>
      <c r="FDZ10" s="78"/>
      <c r="FEA10" s="78"/>
      <c r="FEB10" s="78"/>
      <c r="FEC10" s="78"/>
      <c r="FED10" s="78"/>
      <c r="FEE10" s="78"/>
      <c r="FEF10" s="78"/>
      <c r="FEG10" s="78"/>
      <c r="FEH10" s="78"/>
      <c r="FEI10" s="78"/>
      <c r="FEJ10" s="78"/>
      <c r="FEK10" s="78"/>
      <c r="FEL10" s="78"/>
      <c r="FEM10" s="78"/>
      <c r="FEN10" s="78"/>
      <c r="FEO10" s="78"/>
      <c r="FEP10" s="78"/>
      <c r="FEQ10" s="78"/>
      <c r="FER10" s="78"/>
      <c r="FES10" s="78"/>
      <c r="FET10" s="78"/>
      <c r="FEU10" s="78"/>
      <c r="FEV10" s="78"/>
      <c r="FEW10" s="78"/>
      <c r="FEX10" s="78"/>
      <c r="FEY10" s="78"/>
      <c r="FEZ10" s="78"/>
      <c r="FFA10" s="78"/>
      <c r="FFB10" s="78"/>
      <c r="FFC10" s="78"/>
      <c r="FFD10" s="78"/>
      <c r="FFE10" s="78"/>
      <c r="FFF10" s="78"/>
      <c r="FFG10" s="78"/>
      <c r="FFH10" s="78"/>
      <c r="FFI10" s="78"/>
      <c r="FFJ10" s="78"/>
      <c r="FFK10" s="78"/>
      <c r="FFL10" s="78"/>
      <c r="FFM10" s="78"/>
      <c r="FFN10" s="78"/>
      <c r="FFO10" s="78"/>
      <c r="FFP10" s="78"/>
      <c r="FFQ10" s="78"/>
      <c r="FFR10" s="78"/>
      <c r="FFS10" s="78"/>
      <c r="FFT10" s="78"/>
      <c r="FFU10" s="78"/>
      <c r="FFV10" s="78"/>
      <c r="FFW10" s="78"/>
      <c r="FFX10" s="78"/>
      <c r="FFY10" s="78"/>
      <c r="FFZ10" s="78"/>
      <c r="FGA10" s="78"/>
      <c r="FGB10" s="78"/>
      <c r="FGC10" s="78"/>
      <c r="FGD10" s="78"/>
      <c r="FGE10" s="78"/>
      <c r="FGF10" s="78"/>
      <c r="FGG10" s="78"/>
      <c r="FGH10" s="78"/>
      <c r="FGI10" s="78"/>
      <c r="FGJ10" s="78"/>
      <c r="FGK10" s="78"/>
      <c r="FGL10" s="78"/>
      <c r="FGM10" s="78"/>
      <c r="FGN10" s="78"/>
      <c r="FGO10" s="78"/>
      <c r="FGP10" s="78"/>
      <c r="FGQ10" s="78"/>
      <c r="FGR10" s="78"/>
      <c r="FGS10" s="78"/>
      <c r="FGT10" s="78"/>
      <c r="FGU10" s="78"/>
      <c r="FGV10" s="78"/>
      <c r="FGW10" s="78"/>
      <c r="FGX10" s="78"/>
      <c r="FGY10" s="78"/>
      <c r="FGZ10" s="78"/>
      <c r="FHA10" s="78"/>
      <c r="FHB10" s="78"/>
      <c r="FHC10" s="78"/>
      <c r="FHD10" s="78"/>
      <c r="FHE10" s="78"/>
      <c r="FHF10" s="78"/>
      <c r="FHG10" s="78"/>
      <c r="FHH10" s="78"/>
      <c r="FHI10" s="78"/>
      <c r="FHJ10" s="78"/>
      <c r="FHK10" s="78"/>
      <c r="FHL10" s="78"/>
      <c r="FHM10" s="78"/>
      <c r="FHN10" s="78"/>
      <c r="FHO10" s="78"/>
      <c r="FHP10" s="78"/>
      <c r="FHQ10" s="78"/>
      <c r="FHR10" s="78"/>
      <c r="FHS10" s="78"/>
      <c r="FHT10" s="78"/>
      <c r="FHU10" s="78"/>
      <c r="FHV10" s="78"/>
      <c r="FHW10" s="78"/>
      <c r="FHX10" s="78"/>
      <c r="FHY10" s="78"/>
      <c r="FHZ10" s="78"/>
      <c r="FIA10" s="78"/>
      <c r="FIB10" s="78"/>
      <c r="FIC10" s="78"/>
      <c r="FID10" s="78"/>
      <c r="FIE10" s="78"/>
      <c r="FIF10" s="78"/>
      <c r="FIG10" s="78"/>
      <c r="FIH10" s="78"/>
      <c r="FII10" s="78"/>
      <c r="FIJ10" s="78"/>
      <c r="FIK10" s="78"/>
      <c r="FIL10" s="78"/>
      <c r="FIM10" s="78"/>
      <c r="FIN10" s="78"/>
      <c r="FIO10" s="78"/>
      <c r="FIP10" s="78"/>
      <c r="FIQ10" s="78"/>
      <c r="FIR10" s="78"/>
      <c r="FIS10" s="78"/>
      <c r="FIT10" s="78"/>
      <c r="FIU10" s="78"/>
      <c r="FIV10" s="78"/>
      <c r="FIW10" s="78"/>
      <c r="FIX10" s="78"/>
      <c r="FIY10" s="78"/>
      <c r="FIZ10" s="78"/>
      <c r="FJA10" s="78"/>
      <c r="FJB10" s="78"/>
      <c r="FJC10" s="78"/>
      <c r="FJD10" s="78"/>
      <c r="FJE10" s="78"/>
      <c r="FJF10" s="78"/>
      <c r="FJG10" s="78"/>
      <c r="FJH10" s="78"/>
      <c r="FJI10" s="78"/>
      <c r="FJJ10" s="78"/>
      <c r="FJK10" s="78"/>
      <c r="FJL10" s="78"/>
      <c r="FJM10" s="78"/>
      <c r="FJN10" s="78"/>
      <c r="FJO10" s="78"/>
      <c r="FJP10" s="78"/>
      <c r="FJQ10" s="78"/>
      <c r="FJR10" s="78"/>
      <c r="FJS10" s="78"/>
      <c r="FJT10" s="78"/>
      <c r="FJU10" s="78"/>
      <c r="FJV10" s="78"/>
      <c r="FJW10" s="78"/>
      <c r="FJX10" s="78"/>
      <c r="FJY10" s="78"/>
      <c r="FJZ10" s="78"/>
      <c r="FKA10" s="78"/>
      <c r="FKB10" s="78"/>
      <c r="FKC10" s="78"/>
      <c r="FKD10" s="78"/>
      <c r="FKE10" s="78"/>
      <c r="FKF10" s="78"/>
      <c r="FKG10" s="78"/>
      <c r="FKH10" s="78"/>
      <c r="FKI10" s="78"/>
      <c r="FKJ10" s="78"/>
      <c r="FKK10" s="78"/>
      <c r="FKL10" s="78"/>
      <c r="FKM10" s="78"/>
      <c r="FKN10" s="78"/>
      <c r="FKO10" s="78"/>
      <c r="FKP10" s="78"/>
      <c r="FKQ10" s="78"/>
      <c r="FKR10" s="78"/>
      <c r="FKS10" s="78"/>
      <c r="FKT10" s="78"/>
      <c r="FKU10" s="78"/>
      <c r="FKV10" s="78"/>
      <c r="FKW10" s="78"/>
      <c r="FKX10" s="78"/>
      <c r="FKY10" s="78"/>
      <c r="FKZ10" s="78"/>
      <c r="FLA10" s="78"/>
      <c r="FLB10" s="78"/>
      <c r="FLC10" s="78"/>
      <c r="FLD10" s="78"/>
      <c r="FLE10" s="78"/>
      <c r="FLF10" s="78"/>
      <c r="FLG10" s="78"/>
      <c r="FLH10" s="78"/>
      <c r="FLI10" s="78"/>
      <c r="FLJ10" s="78"/>
      <c r="FLK10" s="78"/>
      <c r="FLL10" s="78"/>
      <c r="FLM10" s="78"/>
      <c r="FLN10" s="78"/>
      <c r="FLO10" s="78"/>
      <c r="FLP10" s="78"/>
      <c r="FLQ10" s="78"/>
      <c r="FLR10" s="78"/>
      <c r="FLS10" s="78"/>
      <c r="FLT10" s="78"/>
      <c r="FLU10" s="78"/>
      <c r="FLV10" s="78"/>
      <c r="FLW10" s="78"/>
      <c r="FLX10" s="78"/>
      <c r="FLY10" s="78"/>
      <c r="FLZ10" s="78"/>
      <c r="FMA10" s="78"/>
      <c r="FMB10" s="78"/>
      <c r="FMC10" s="78"/>
      <c r="FMD10" s="78"/>
      <c r="FME10" s="78"/>
      <c r="FMF10" s="78"/>
      <c r="FMG10" s="78"/>
      <c r="FMH10" s="78"/>
      <c r="FMI10" s="78"/>
      <c r="FMJ10" s="78"/>
      <c r="FMK10" s="78"/>
      <c r="FML10" s="78"/>
      <c r="FMM10" s="78"/>
      <c r="FMN10" s="78"/>
      <c r="FMO10" s="78"/>
      <c r="FMP10" s="78"/>
      <c r="FMQ10" s="78"/>
      <c r="FMR10" s="78"/>
      <c r="FMS10" s="78"/>
      <c r="FMT10" s="78"/>
      <c r="FMU10" s="78"/>
      <c r="FMV10" s="78"/>
      <c r="FMW10" s="78"/>
      <c r="FMX10" s="78"/>
      <c r="FMY10" s="78"/>
      <c r="FMZ10" s="78"/>
      <c r="FNA10" s="78"/>
      <c r="FNB10" s="78"/>
      <c r="FNC10" s="78"/>
      <c r="FND10" s="78"/>
      <c r="FNE10" s="78"/>
      <c r="FNF10" s="78"/>
      <c r="FNG10" s="78"/>
      <c r="FNH10" s="78"/>
      <c r="FNI10" s="78"/>
      <c r="FNJ10" s="78"/>
      <c r="FNK10" s="78"/>
      <c r="FNL10" s="78"/>
      <c r="FNM10" s="78"/>
      <c r="FNN10" s="78"/>
      <c r="FNO10" s="78"/>
      <c r="FNP10" s="78"/>
      <c r="FNQ10" s="78"/>
      <c r="FNR10" s="78"/>
      <c r="FNS10" s="78"/>
      <c r="FNT10" s="78"/>
      <c r="FNU10" s="78"/>
      <c r="FNV10" s="78"/>
      <c r="FNW10" s="78"/>
      <c r="FNX10" s="78"/>
      <c r="FNY10" s="78"/>
      <c r="FNZ10" s="78"/>
      <c r="FOA10" s="78"/>
      <c r="FOB10" s="78"/>
      <c r="FOC10" s="78"/>
      <c r="FOD10" s="78"/>
      <c r="FOE10" s="78"/>
      <c r="FOF10" s="78"/>
      <c r="FOG10" s="78"/>
      <c r="FOH10" s="78"/>
      <c r="FOI10" s="78"/>
      <c r="FOJ10" s="78"/>
      <c r="FOK10" s="78"/>
      <c r="FOL10" s="78"/>
      <c r="FOM10" s="78"/>
      <c r="FON10" s="78"/>
      <c r="FOO10" s="78"/>
      <c r="FOP10" s="78"/>
      <c r="FOQ10" s="78"/>
      <c r="FOR10" s="78"/>
      <c r="FOS10" s="78"/>
      <c r="FOT10" s="78"/>
      <c r="FOU10" s="78"/>
      <c r="FOV10" s="78"/>
      <c r="FOW10" s="78"/>
      <c r="FOX10" s="78"/>
      <c r="FOY10" s="78"/>
      <c r="FOZ10" s="78"/>
      <c r="FPA10" s="78"/>
      <c r="FPB10" s="78"/>
      <c r="FPC10" s="78"/>
      <c r="FPD10" s="78"/>
      <c r="FPE10" s="78"/>
      <c r="FPF10" s="78"/>
      <c r="FPG10" s="78"/>
      <c r="FPH10" s="78"/>
      <c r="FPI10" s="78"/>
      <c r="FPJ10" s="78"/>
      <c r="FPK10" s="78"/>
      <c r="FPL10" s="78"/>
      <c r="FPM10" s="78"/>
      <c r="FPN10" s="78"/>
      <c r="FPO10" s="78"/>
      <c r="FPP10" s="78"/>
      <c r="FPQ10" s="78"/>
      <c r="FPR10" s="78"/>
      <c r="FPS10" s="78"/>
      <c r="FPT10" s="78"/>
      <c r="FPU10" s="78"/>
      <c r="FPV10" s="78"/>
      <c r="FPW10" s="78"/>
      <c r="FPX10" s="78"/>
      <c r="FPY10" s="78"/>
      <c r="FPZ10" s="78"/>
      <c r="FQA10" s="78"/>
      <c r="FQB10" s="78"/>
      <c r="FQC10" s="78"/>
      <c r="FQD10" s="78"/>
      <c r="FQE10" s="78"/>
      <c r="FQF10" s="78"/>
      <c r="FQG10" s="78"/>
      <c r="FQH10" s="78"/>
      <c r="FQI10" s="78"/>
      <c r="FQJ10" s="78"/>
      <c r="FQK10" s="78"/>
      <c r="FQL10" s="78"/>
      <c r="FQM10" s="78"/>
      <c r="FQN10" s="78"/>
      <c r="FQO10" s="78"/>
      <c r="FQP10" s="78"/>
      <c r="FQQ10" s="78"/>
      <c r="FQR10" s="78"/>
      <c r="FQS10" s="78"/>
      <c r="FQT10" s="78"/>
      <c r="FQU10" s="78"/>
      <c r="FQV10" s="78"/>
      <c r="FQW10" s="78"/>
      <c r="FQX10" s="78"/>
      <c r="FQY10" s="78"/>
      <c r="FQZ10" s="78"/>
      <c r="FRA10" s="78"/>
      <c r="FRB10" s="78"/>
      <c r="FRC10" s="78"/>
      <c r="FRD10" s="78"/>
      <c r="FRE10" s="78"/>
      <c r="FRF10" s="78"/>
      <c r="FRG10" s="78"/>
      <c r="FRH10" s="78"/>
      <c r="FRI10" s="78"/>
      <c r="FRJ10" s="78"/>
      <c r="FRK10" s="78"/>
      <c r="FRL10" s="78"/>
      <c r="FRM10" s="78"/>
      <c r="FRN10" s="78"/>
      <c r="FRO10" s="78"/>
      <c r="FRP10" s="78"/>
      <c r="FRQ10" s="78"/>
      <c r="FRR10" s="78"/>
      <c r="FRS10" s="78"/>
      <c r="FRT10" s="78"/>
      <c r="FRU10" s="78"/>
      <c r="FRV10" s="78"/>
      <c r="FRW10" s="78"/>
      <c r="FRX10" s="78"/>
      <c r="FRY10" s="78"/>
      <c r="FRZ10" s="78"/>
      <c r="FSA10" s="78"/>
      <c r="FSB10" s="78"/>
      <c r="FSC10" s="78"/>
      <c r="FSD10" s="78"/>
      <c r="FSE10" s="78"/>
      <c r="FSF10" s="78"/>
      <c r="FSG10" s="78"/>
      <c r="FSH10" s="78"/>
      <c r="FSI10" s="78"/>
      <c r="FSJ10" s="78"/>
      <c r="FSK10" s="78"/>
      <c r="FSL10" s="78"/>
      <c r="FSM10" s="78"/>
      <c r="FSN10" s="78"/>
      <c r="FSO10" s="78"/>
      <c r="FSP10" s="78"/>
      <c r="FSQ10" s="78"/>
      <c r="FSR10" s="78"/>
      <c r="FSS10" s="78"/>
      <c r="FST10" s="78"/>
      <c r="FSU10" s="78"/>
      <c r="FSV10" s="78"/>
      <c r="FSW10" s="78"/>
      <c r="FSX10" s="78"/>
      <c r="FSY10" s="78"/>
      <c r="FSZ10" s="78"/>
      <c r="FTA10" s="78"/>
      <c r="FTB10" s="78"/>
      <c r="FTC10" s="78"/>
      <c r="FTD10" s="78"/>
      <c r="FTE10" s="78"/>
      <c r="FTF10" s="78"/>
      <c r="FTG10" s="78"/>
      <c r="FTH10" s="78"/>
      <c r="FTI10" s="78"/>
      <c r="FTJ10" s="78"/>
      <c r="FTK10" s="78"/>
      <c r="FTL10" s="78"/>
      <c r="FTM10" s="78"/>
      <c r="FTN10" s="78"/>
      <c r="FTO10" s="78"/>
      <c r="FTP10" s="78"/>
      <c r="FTQ10" s="78"/>
      <c r="FTR10" s="78"/>
      <c r="FTS10" s="78"/>
      <c r="FTT10" s="78"/>
      <c r="FTU10" s="78"/>
      <c r="FTV10" s="78"/>
      <c r="FTW10" s="78"/>
      <c r="FTX10" s="78"/>
      <c r="FTY10" s="78"/>
      <c r="FTZ10" s="78"/>
      <c r="FUA10" s="78"/>
      <c r="FUB10" s="78"/>
      <c r="FUC10" s="78"/>
      <c r="FUD10" s="78"/>
      <c r="FUE10" s="78"/>
      <c r="FUF10" s="78"/>
      <c r="FUG10" s="78"/>
      <c r="FUH10" s="78"/>
      <c r="FUI10" s="78"/>
      <c r="FUJ10" s="78"/>
      <c r="FUK10" s="78"/>
      <c r="FUL10" s="78"/>
      <c r="FUM10" s="78"/>
      <c r="FUN10" s="78"/>
      <c r="FUO10" s="78"/>
      <c r="FUP10" s="78"/>
      <c r="FUQ10" s="78"/>
      <c r="FUR10" s="78"/>
      <c r="FUS10" s="78"/>
      <c r="FUT10" s="78"/>
      <c r="FUU10" s="78"/>
      <c r="FUV10" s="78"/>
      <c r="FUW10" s="78"/>
      <c r="FUX10" s="78"/>
      <c r="FUY10" s="78"/>
      <c r="FUZ10" s="78"/>
      <c r="FVA10" s="78"/>
      <c r="FVB10" s="78"/>
      <c r="FVC10" s="78"/>
      <c r="FVD10" s="78"/>
      <c r="FVE10" s="78"/>
      <c r="FVF10" s="78"/>
      <c r="FVG10" s="78"/>
      <c r="FVH10" s="78"/>
      <c r="FVI10" s="78"/>
      <c r="FVJ10" s="78"/>
      <c r="FVK10" s="78"/>
      <c r="FVL10" s="78"/>
      <c r="FVM10" s="78"/>
      <c r="FVN10" s="78"/>
      <c r="FVO10" s="78"/>
      <c r="FVP10" s="78"/>
      <c r="FVQ10" s="78"/>
      <c r="FVR10" s="78"/>
      <c r="FVS10" s="78"/>
      <c r="FVT10" s="78"/>
      <c r="FVU10" s="78"/>
      <c r="FVV10" s="78"/>
      <c r="FVW10" s="78"/>
      <c r="FVX10" s="78"/>
      <c r="FVY10" s="78"/>
      <c r="FVZ10" s="78"/>
      <c r="FWA10" s="78"/>
      <c r="FWB10" s="78"/>
      <c r="FWC10" s="78"/>
      <c r="FWD10" s="78"/>
      <c r="FWE10" s="78"/>
      <c r="FWF10" s="78"/>
      <c r="FWG10" s="78"/>
      <c r="FWH10" s="78"/>
      <c r="FWI10" s="78"/>
      <c r="FWJ10" s="78"/>
      <c r="FWK10" s="78"/>
      <c r="FWL10" s="78"/>
      <c r="FWM10" s="78"/>
      <c r="FWN10" s="78"/>
      <c r="FWO10" s="78"/>
      <c r="FWP10" s="78"/>
      <c r="FWQ10" s="78"/>
      <c r="FWR10" s="78"/>
      <c r="FWS10" s="78"/>
      <c r="FWT10" s="78"/>
      <c r="FWU10" s="78"/>
      <c r="FWV10" s="78"/>
      <c r="FWW10" s="78"/>
      <c r="FWX10" s="78"/>
      <c r="FWY10" s="78"/>
      <c r="FWZ10" s="78"/>
      <c r="FXA10" s="78"/>
      <c r="FXB10" s="78"/>
      <c r="FXC10" s="78"/>
      <c r="FXD10" s="78"/>
      <c r="FXE10" s="78"/>
      <c r="FXF10" s="78"/>
      <c r="FXG10" s="78"/>
      <c r="FXH10" s="78"/>
      <c r="FXI10" s="78"/>
      <c r="FXJ10" s="78"/>
      <c r="FXK10" s="78"/>
      <c r="FXL10" s="78"/>
      <c r="FXM10" s="78"/>
      <c r="FXN10" s="78"/>
      <c r="FXO10" s="78"/>
      <c r="FXP10" s="78"/>
      <c r="FXQ10" s="78"/>
      <c r="FXR10" s="78"/>
      <c r="FXS10" s="78"/>
      <c r="FXT10" s="78"/>
      <c r="FXU10" s="78"/>
      <c r="FXV10" s="78"/>
      <c r="FXW10" s="78"/>
      <c r="FXX10" s="78"/>
      <c r="FXY10" s="78"/>
      <c r="FXZ10" s="78"/>
      <c r="FYA10" s="78"/>
      <c r="FYB10" s="78"/>
      <c r="FYC10" s="78"/>
      <c r="FYD10" s="78"/>
      <c r="FYE10" s="78"/>
      <c r="FYF10" s="78"/>
      <c r="FYG10" s="78"/>
      <c r="FYH10" s="78"/>
      <c r="FYI10" s="78"/>
      <c r="FYJ10" s="78"/>
      <c r="FYK10" s="78"/>
      <c r="FYL10" s="78"/>
      <c r="FYM10" s="78"/>
      <c r="FYN10" s="78"/>
      <c r="FYO10" s="78"/>
      <c r="FYP10" s="78"/>
      <c r="FYQ10" s="78"/>
      <c r="FYR10" s="78"/>
      <c r="FYS10" s="78"/>
      <c r="FYT10" s="78"/>
      <c r="FYU10" s="78"/>
      <c r="FYV10" s="78"/>
      <c r="FYW10" s="78"/>
      <c r="FYX10" s="78"/>
      <c r="FYY10" s="78"/>
      <c r="FYZ10" s="78"/>
      <c r="FZA10" s="78"/>
      <c r="FZB10" s="78"/>
      <c r="FZC10" s="78"/>
      <c r="FZD10" s="78"/>
      <c r="FZE10" s="78"/>
      <c r="FZF10" s="78"/>
      <c r="FZG10" s="78"/>
      <c r="FZH10" s="78"/>
      <c r="FZI10" s="78"/>
      <c r="FZJ10" s="78"/>
      <c r="FZK10" s="78"/>
      <c r="FZL10" s="78"/>
      <c r="FZM10" s="78"/>
      <c r="FZN10" s="78"/>
      <c r="FZO10" s="78"/>
      <c r="FZP10" s="78"/>
      <c r="FZQ10" s="78"/>
      <c r="FZR10" s="78"/>
      <c r="FZS10" s="78"/>
      <c r="FZT10" s="78"/>
      <c r="FZU10" s="78"/>
      <c r="FZV10" s="78"/>
      <c r="FZW10" s="78"/>
      <c r="FZX10" s="78"/>
      <c r="FZY10" s="78"/>
      <c r="FZZ10" s="78"/>
      <c r="GAA10" s="78"/>
      <c r="GAB10" s="78"/>
      <c r="GAC10" s="78"/>
      <c r="GAD10" s="78"/>
      <c r="GAE10" s="78"/>
      <c r="GAF10" s="78"/>
      <c r="GAG10" s="78"/>
      <c r="GAH10" s="78"/>
      <c r="GAI10" s="78"/>
      <c r="GAJ10" s="78"/>
      <c r="GAK10" s="78"/>
      <c r="GAL10" s="78"/>
      <c r="GAM10" s="78"/>
      <c r="GAN10" s="78"/>
      <c r="GAO10" s="78"/>
      <c r="GAP10" s="78"/>
      <c r="GAQ10" s="78"/>
      <c r="GAR10" s="78"/>
      <c r="GAS10" s="78"/>
      <c r="GAT10" s="78"/>
      <c r="GAU10" s="78"/>
      <c r="GAV10" s="78"/>
      <c r="GAW10" s="78"/>
      <c r="GAX10" s="78"/>
      <c r="GAY10" s="78"/>
      <c r="GAZ10" s="78"/>
      <c r="GBA10" s="78"/>
      <c r="GBB10" s="78"/>
      <c r="GBC10" s="78"/>
      <c r="GBD10" s="78"/>
      <c r="GBE10" s="78"/>
      <c r="GBF10" s="78"/>
      <c r="GBG10" s="78"/>
      <c r="GBH10" s="78"/>
      <c r="GBI10" s="78"/>
      <c r="GBJ10" s="78"/>
      <c r="GBK10" s="78"/>
      <c r="GBL10" s="78"/>
      <c r="GBM10" s="78"/>
      <c r="GBN10" s="78"/>
      <c r="GBO10" s="78"/>
      <c r="GBP10" s="78"/>
      <c r="GBQ10" s="78"/>
      <c r="GBR10" s="78"/>
      <c r="GBS10" s="78"/>
      <c r="GBT10" s="78"/>
      <c r="GBU10" s="78"/>
      <c r="GBV10" s="78"/>
      <c r="GBW10" s="78"/>
      <c r="GBX10" s="78"/>
      <c r="GBY10" s="78"/>
      <c r="GBZ10" s="78"/>
      <c r="GCA10" s="78"/>
      <c r="GCB10" s="78"/>
      <c r="GCC10" s="78"/>
      <c r="GCD10" s="78"/>
      <c r="GCE10" s="78"/>
      <c r="GCF10" s="78"/>
      <c r="GCG10" s="78"/>
      <c r="GCH10" s="78"/>
      <c r="GCI10" s="78"/>
      <c r="GCJ10" s="78"/>
      <c r="GCK10" s="78"/>
      <c r="GCL10" s="78"/>
      <c r="GCM10" s="78"/>
      <c r="GCN10" s="78"/>
      <c r="GCO10" s="78"/>
      <c r="GCP10" s="78"/>
      <c r="GCQ10" s="78"/>
      <c r="GCR10" s="78"/>
      <c r="GCS10" s="78"/>
      <c r="GCT10" s="78"/>
      <c r="GCU10" s="78"/>
      <c r="GCV10" s="78"/>
      <c r="GCW10" s="78"/>
      <c r="GCX10" s="78"/>
      <c r="GCY10" s="78"/>
      <c r="GCZ10" s="78"/>
      <c r="GDA10" s="78"/>
      <c r="GDB10" s="78"/>
      <c r="GDC10" s="78"/>
      <c r="GDD10" s="78"/>
      <c r="GDE10" s="78"/>
      <c r="GDF10" s="78"/>
      <c r="GDG10" s="78"/>
      <c r="GDH10" s="78"/>
      <c r="GDI10" s="78"/>
      <c r="GDJ10" s="78"/>
      <c r="GDK10" s="78"/>
      <c r="GDL10" s="78"/>
      <c r="GDM10" s="78"/>
      <c r="GDN10" s="78"/>
      <c r="GDO10" s="78"/>
      <c r="GDP10" s="78"/>
      <c r="GDQ10" s="78"/>
      <c r="GDR10" s="78"/>
      <c r="GDS10" s="78"/>
      <c r="GDT10" s="78"/>
      <c r="GDU10" s="78"/>
      <c r="GDV10" s="78"/>
      <c r="GDW10" s="78"/>
      <c r="GDX10" s="78"/>
      <c r="GDY10" s="78"/>
      <c r="GDZ10" s="78"/>
      <c r="GEA10" s="78"/>
      <c r="GEB10" s="78"/>
      <c r="GEC10" s="78"/>
      <c r="GED10" s="78"/>
      <c r="GEE10" s="78"/>
      <c r="GEF10" s="78"/>
      <c r="GEG10" s="78"/>
      <c r="GEH10" s="78"/>
      <c r="GEI10" s="78"/>
      <c r="GEJ10" s="78"/>
      <c r="GEK10" s="78"/>
      <c r="GEL10" s="78"/>
      <c r="GEM10" s="78"/>
      <c r="GEN10" s="78"/>
      <c r="GEO10" s="78"/>
      <c r="GEP10" s="78"/>
      <c r="GEQ10" s="78"/>
      <c r="GER10" s="78"/>
      <c r="GES10" s="78"/>
      <c r="GET10" s="78"/>
      <c r="GEU10" s="78"/>
      <c r="GEV10" s="78"/>
      <c r="GEW10" s="78"/>
      <c r="GEX10" s="78"/>
      <c r="GEY10" s="78"/>
      <c r="GEZ10" s="78"/>
      <c r="GFA10" s="78"/>
      <c r="GFB10" s="78"/>
      <c r="GFC10" s="78"/>
      <c r="GFD10" s="78"/>
      <c r="GFE10" s="78"/>
      <c r="GFF10" s="78"/>
      <c r="GFG10" s="78"/>
      <c r="GFH10" s="78"/>
      <c r="GFI10" s="78"/>
      <c r="GFJ10" s="78"/>
      <c r="GFK10" s="78"/>
      <c r="GFL10" s="78"/>
      <c r="GFM10" s="78"/>
      <c r="GFN10" s="78"/>
      <c r="GFO10" s="78"/>
      <c r="GFP10" s="78"/>
      <c r="GFQ10" s="78"/>
      <c r="GFR10" s="78"/>
      <c r="GFS10" s="78"/>
      <c r="GFT10" s="78"/>
      <c r="GFU10" s="78"/>
      <c r="GFV10" s="78"/>
      <c r="GFW10" s="78"/>
      <c r="GFX10" s="78"/>
      <c r="GFY10" s="78"/>
      <c r="GFZ10" s="78"/>
      <c r="GGA10" s="78"/>
      <c r="GGB10" s="78"/>
      <c r="GGC10" s="78"/>
      <c r="GGD10" s="78"/>
      <c r="GGE10" s="78"/>
      <c r="GGF10" s="78"/>
      <c r="GGG10" s="78"/>
      <c r="GGH10" s="78"/>
      <c r="GGI10" s="78"/>
      <c r="GGJ10" s="78"/>
      <c r="GGK10" s="78"/>
      <c r="GGL10" s="78"/>
      <c r="GGM10" s="78"/>
      <c r="GGN10" s="78"/>
      <c r="GGO10" s="78"/>
      <c r="GGP10" s="78"/>
      <c r="GGQ10" s="78"/>
      <c r="GGR10" s="78"/>
      <c r="GGS10" s="78"/>
      <c r="GGT10" s="78"/>
      <c r="GGU10" s="78"/>
      <c r="GGV10" s="78"/>
      <c r="GGW10" s="78"/>
      <c r="GGX10" s="78"/>
      <c r="GGY10" s="78"/>
      <c r="GGZ10" s="78"/>
      <c r="GHA10" s="78"/>
      <c r="GHB10" s="78"/>
      <c r="GHC10" s="78"/>
      <c r="GHD10" s="78"/>
      <c r="GHE10" s="78"/>
      <c r="GHF10" s="78"/>
      <c r="GHG10" s="78"/>
      <c r="GHH10" s="78"/>
      <c r="GHI10" s="78"/>
      <c r="GHJ10" s="78"/>
      <c r="GHK10" s="78"/>
      <c r="GHL10" s="78"/>
      <c r="GHM10" s="78"/>
      <c r="GHN10" s="78"/>
      <c r="GHO10" s="78"/>
      <c r="GHP10" s="78"/>
      <c r="GHQ10" s="78"/>
      <c r="GHR10" s="78"/>
      <c r="GHS10" s="78"/>
      <c r="GHT10" s="78"/>
      <c r="GHU10" s="78"/>
      <c r="GHV10" s="78"/>
      <c r="GHW10" s="78"/>
      <c r="GHX10" s="78"/>
      <c r="GHY10" s="78"/>
      <c r="GHZ10" s="78"/>
      <c r="GIA10" s="78"/>
      <c r="GIB10" s="78"/>
      <c r="GIC10" s="78"/>
      <c r="GID10" s="78"/>
      <c r="GIE10" s="78"/>
      <c r="GIF10" s="78"/>
      <c r="GIG10" s="78"/>
      <c r="GIH10" s="78"/>
      <c r="GII10" s="78"/>
      <c r="GIJ10" s="78"/>
      <c r="GIK10" s="78"/>
      <c r="GIL10" s="78"/>
      <c r="GIM10" s="78"/>
      <c r="GIN10" s="78"/>
      <c r="GIO10" s="78"/>
      <c r="GIP10" s="78"/>
      <c r="GIQ10" s="78"/>
      <c r="GIR10" s="78"/>
      <c r="GIS10" s="78"/>
      <c r="GIT10" s="78"/>
      <c r="GIU10" s="78"/>
      <c r="GIV10" s="78"/>
      <c r="GIW10" s="78"/>
      <c r="GIX10" s="78"/>
      <c r="GIY10" s="78"/>
      <c r="GIZ10" s="78"/>
      <c r="GJA10" s="78"/>
      <c r="GJB10" s="78"/>
      <c r="GJC10" s="78"/>
      <c r="GJD10" s="78"/>
      <c r="GJE10" s="78"/>
      <c r="GJF10" s="78"/>
      <c r="GJG10" s="78"/>
      <c r="GJH10" s="78"/>
      <c r="GJI10" s="78"/>
      <c r="GJJ10" s="78"/>
      <c r="GJK10" s="78"/>
      <c r="GJL10" s="78"/>
      <c r="GJM10" s="78"/>
      <c r="GJN10" s="78"/>
      <c r="GJO10" s="78"/>
      <c r="GJP10" s="78"/>
      <c r="GJQ10" s="78"/>
      <c r="GJR10" s="78"/>
      <c r="GJS10" s="78"/>
      <c r="GJT10" s="78"/>
      <c r="GJU10" s="78"/>
      <c r="GJV10" s="78"/>
      <c r="GJW10" s="78"/>
      <c r="GJX10" s="78"/>
      <c r="GJY10" s="78"/>
      <c r="GJZ10" s="78"/>
      <c r="GKA10" s="78"/>
      <c r="GKB10" s="78"/>
      <c r="GKC10" s="78"/>
      <c r="GKD10" s="78"/>
      <c r="GKE10" s="78"/>
      <c r="GKF10" s="78"/>
      <c r="GKG10" s="78"/>
      <c r="GKH10" s="78"/>
      <c r="GKI10" s="78"/>
      <c r="GKJ10" s="78"/>
      <c r="GKK10" s="78"/>
      <c r="GKL10" s="78"/>
      <c r="GKM10" s="78"/>
      <c r="GKN10" s="78"/>
      <c r="GKO10" s="78"/>
      <c r="GKP10" s="78"/>
      <c r="GKQ10" s="78"/>
      <c r="GKR10" s="78"/>
      <c r="GKS10" s="78"/>
      <c r="GKT10" s="78"/>
      <c r="GKU10" s="78"/>
      <c r="GKV10" s="78"/>
      <c r="GKW10" s="78"/>
      <c r="GKX10" s="78"/>
      <c r="GKY10" s="78"/>
      <c r="GKZ10" s="78"/>
      <c r="GLA10" s="78"/>
      <c r="GLB10" s="78"/>
      <c r="GLC10" s="78"/>
      <c r="GLD10" s="78"/>
      <c r="GLE10" s="78"/>
      <c r="GLF10" s="78"/>
      <c r="GLG10" s="78"/>
      <c r="GLH10" s="78"/>
      <c r="GLI10" s="78"/>
      <c r="GLJ10" s="78"/>
      <c r="GLK10" s="78"/>
      <c r="GLL10" s="78"/>
      <c r="GLM10" s="78"/>
      <c r="GLN10" s="78"/>
      <c r="GLO10" s="78"/>
      <c r="GLP10" s="78"/>
      <c r="GLQ10" s="78"/>
      <c r="GLR10" s="78"/>
      <c r="GLS10" s="78"/>
      <c r="GLT10" s="78"/>
      <c r="GLU10" s="78"/>
      <c r="GLV10" s="78"/>
      <c r="GLW10" s="78"/>
      <c r="GLX10" s="78"/>
      <c r="GLY10" s="78"/>
      <c r="GLZ10" s="78"/>
      <c r="GMA10" s="78"/>
      <c r="GMB10" s="78"/>
      <c r="GMC10" s="78"/>
      <c r="GMD10" s="78"/>
      <c r="GME10" s="78"/>
      <c r="GMF10" s="78"/>
      <c r="GMG10" s="78"/>
      <c r="GMH10" s="78"/>
      <c r="GMI10" s="78"/>
      <c r="GMJ10" s="78"/>
      <c r="GMK10" s="78"/>
      <c r="GML10" s="78"/>
      <c r="GMM10" s="78"/>
      <c r="GMN10" s="78"/>
      <c r="GMO10" s="78"/>
      <c r="GMP10" s="78"/>
      <c r="GMQ10" s="78"/>
      <c r="GMR10" s="78"/>
      <c r="GMS10" s="78"/>
      <c r="GMT10" s="78"/>
      <c r="GMU10" s="78"/>
      <c r="GMV10" s="78"/>
      <c r="GMW10" s="78"/>
      <c r="GMX10" s="78"/>
      <c r="GMY10" s="78"/>
      <c r="GMZ10" s="78"/>
      <c r="GNA10" s="78"/>
      <c r="GNB10" s="78"/>
      <c r="GNC10" s="78"/>
      <c r="GND10" s="78"/>
      <c r="GNE10" s="78"/>
      <c r="GNF10" s="78"/>
      <c r="GNG10" s="78"/>
      <c r="GNH10" s="78"/>
      <c r="GNI10" s="78"/>
      <c r="GNJ10" s="78"/>
      <c r="GNK10" s="78"/>
      <c r="GNL10" s="78"/>
      <c r="GNM10" s="78"/>
      <c r="GNN10" s="78"/>
      <c r="GNO10" s="78"/>
      <c r="GNP10" s="78"/>
      <c r="GNQ10" s="78"/>
      <c r="GNR10" s="78"/>
      <c r="GNS10" s="78"/>
      <c r="GNT10" s="78"/>
      <c r="GNU10" s="78"/>
      <c r="GNV10" s="78"/>
      <c r="GNW10" s="78"/>
      <c r="GNX10" s="78"/>
      <c r="GNY10" s="78"/>
      <c r="GNZ10" s="78"/>
      <c r="GOA10" s="78"/>
      <c r="GOB10" s="78"/>
      <c r="GOC10" s="78"/>
      <c r="GOD10" s="78"/>
      <c r="GOE10" s="78"/>
      <c r="GOF10" s="78"/>
      <c r="GOG10" s="78"/>
      <c r="GOH10" s="78"/>
      <c r="GOI10" s="78"/>
      <c r="GOJ10" s="78"/>
      <c r="GOK10" s="78"/>
      <c r="GOL10" s="78"/>
      <c r="GOM10" s="78"/>
      <c r="GON10" s="78"/>
      <c r="GOO10" s="78"/>
      <c r="GOP10" s="78"/>
      <c r="GOQ10" s="78"/>
      <c r="GOR10" s="78"/>
      <c r="GOS10" s="78"/>
      <c r="GOT10" s="78"/>
      <c r="GOU10" s="78"/>
      <c r="GOV10" s="78"/>
      <c r="GOW10" s="78"/>
      <c r="GOX10" s="78"/>
      <c r="GOY10" s="78"/>
      <c r="GOZ10" s="78"/>
      <c r="GPA10" s="78"/>
      <c r="GPB10" s="78"/>
      <c r="GPC10" s="78"/>
      <c r="GPD10" s="78"/>
      <c r="GPE10" s="78"/>
      <c r="GPF10" s="78"/>
      <c r="GPG10" s="78"/>
      <c r="GPH10" s="78"/>
      <c r="GPI10" s="78"/>
      <c r="GPJ10" s="78"/>
      <c r="GPK10" s="78"/>
      <c r="GPL10" s="78"/>
      <c r="GPM10" s="78"/>
      <c r="GPN10" s="78"/>
      <c r="GPO10" s="78"/>
      <c r="GPP10" s="78"/>
      <c r="GPQ10" s="78"/>
      <c r="GPR10" s="78"/>
      <c r="GPS10" s="78"/>
      <c r="GPT10" s="78"/>
      <c r="GPU10" s="78"/>
      <c r="GPV10" s="78"/>
      <c r="GPW10" s="78"/>
      <c r="GPX10" s="78"/>
      <c r="GPY10" s="78"/>
      <c r="GPZ10" s="78"/>
      <c r="GQA10" s="78"/>
      <c r="GQB10" s="78"/>
      <c r="GQC10" s="78"/>
      <c r="GQD10" s="78"/>
      <c r="GQE10" s="78"/>
      <c r="GQF10" s="78"/>
      <c r="GQG10" s="78"/>
      <c r="GQH10" s="78"/>
      <c r="GQI10" s="78"/>
      <c r="GQJ10" s="78"/>
      <c r="GQK10" s="78"/>
      <c r="GQL10" s="78"/>
      <c r="GQM10" s="78"/>
      <c r="GQN10" s="78"/>
      <c r="GQO10" s="78"/>
      <c r="GQP10" s="78"/>
      <c r="GQQ10" s="78"/>
      <c r="GQR10" s="78"/>
      <c r="GQS10" s="78"/>
      <c r="GQT10" s="78"/>
      <c r="GQU10" s="78"/>
      <c r="GQV10" s="78"/>
      <c r="GQW10" s="78"/>
      <c r="GQX10" s="78"/>
      <c r="GQY10" s="78"/>
      <c r="GQZ10" s="78"/>
      <c r="GRA10" s="78"/>
      <c r="GRB10" s="78"/>
      <c r="GRC10" s="78"/>
      <c r="GRD10" s="78"/>
      <c r="GRE10" s="78"/>
      <c r="GRF10" s="78"/>
      <c r="GRG10" s="78"/>
      <c r="GRH10" s="78"/>
      <c r="GRI10" s="78"/>
      <c r="GRJ10" s="78"/>
      <c r="GRK10" s="78"/>
      <c r="GRL10" s="78"/>
      <c r="GRM10" s="78"/>
      <c r="GRN10" s="78"/>
      <c r="GRO10" s="78"/>
      <c r="GRP10" s="78"/>
      <c r="GRQ10" s="78"/>
      <c r="GRR10" s="78"/>
      <c r="GRS10" s="78"/>
      <c r="GRT10" s="78"/>
      <c r="GRU10" s="78"/>
      <c r="GRV10" s="78"/>
      <c r="GRW10" s="78"/>
      <c r="GRX10" s="78"/>
      <c r="GRY10" s="78"/>
      <c r="GRZ10" s="78"/>
      <c r="GSA10" s="78"/>
      <c r="GSB10" s="78"/>
      <c r="GSC10" s="78"/>
      <c r="GSD10" s="78"/>
      <c r="GSE10" s="78"/>
      <c r="GSF10" s="78"/>
      <c r="GSG10" s="78"/>
      <c r="GSH10" s="78"/>
      <c r="GSI10" s="78"/>
      <c r="GSJ10" s="78"/>
      <c r="GSK10" s="78"/>
      <c r="GSL10" s="78"/>
      <c r="GSM10" s="78"/>
      <c r="GSN10" s="78"/>
      <c r="GSO10" s="78"/>
      <c r="GSP10" s="78"/>
      <c r="GSQ10" s="78"/>
      <c r="GSR10" s="78"/>
      <c r="GSS10" s="78"/>
      <c r="GST10" s="78"/>
      <c r="GSU10" s="78"/>
      <c r="GSV10" s="78"/>
      <c r="GSW10" s="78"/>
      <c r="GSX10" s="78"/>
      <c r="GSY10" s="78"/>
      <c r="GSZ10" s="78"/>
      <c r="GTA10" s="78"/>
      <c r="GTB10" s="78"/>
      <c r="GTC10" s="78"/>
      <c r="GTD10" s="78"/>
      <c r="GTE10" s="78"/>
      <c r="GTF10" s="78"/>
      <c r="GTG10" s="78"/>
      <c r="GTH10" s="78"/>
      <c r="GTI10" s="78"/>
      <c r="GTJ10" s="78"/>
      <c r="GTK10" s="78"/>
      <c r="GTL10" s="78"/>
      <c r="GTM10" s="78"/>
      <c r="GTN10" s="78"/>
      <c r="GTO10" s="78"/>
      <c r="GTP10" s="78"/>
      <c r="GTQ10" s="78"/>
      <c r="GTR10" s="78"/>
      <c r="GTS10" s="78"/>
      <c r="GTT10" s="78"/>
      <c r="GTU10" s="78"/>
      <c r="GTV10" s="78"/>
      <c r="GTW10" s="78"/>
      <c r="GTX10" s="78"/>
      <c r="GTY10" s="78"/>
      <c r="GTZ10" s="78"/>
      <c r="GUA10" s="78"/>
      <c r="GUB10" s="78"/>
      <c r="GUC10" s="78"/>
      <c r="GUD10" s="78"/>
      <c r="GUE10" s="78"/>
      <c r="GUF10" s="78"/>
      <c r="GUG10" s="78"/>
      <c r="GUH10" s="78"/>
      <c r="GUI10" s="78"/>
      <c r="GUJ10" s="78"/>
      <c r="GUK10" s="78"/>
      <c r="GUL10" s="78"/>
      <c r="GUM10" s="78"/>
      <c r="GUN10" s="78"/>
      <c r="GUO10" s="78"/>
      <c r="GUP10" s="78"/>
      <c r="GUQ10" s="78"/>
      <c r="GUR10" s="78"/>
      <c r="GUS10" s="78"/>
      <c r="GUT10" s="78"/>
      <c r="GUU10" s="78"/>
      <c r="GUV10" s="78"/>
      <c r="GUW10" s="78"/>
      <c r="GUX10" s="78"/>
      <c r="GUY10" s="78"/>
      <c r="GUZ10" s="78"/>
      <c r="GVA10" s="78"/>
      <c r="GVB10" s="78"/>
      <c r="GVC10" s="78"/>
      <c r="GVD10" s="78"/>
      <c r="GVE10" s="78"/>
      <c r="GVF10" s="78"/>
      <c r="GVG10" s="78"/>
      <c r="GVH10" s="78"/>
      <c r="GVI10" s="78"/>
      <c r="GVJ10" s="78"/>
      <c r="GVK10" s="78"/>
      <c r="GVL10" s="78"/>
      <c r="GVM10" s="78"/>
      <c r="GVN10" s="78"/>
      <c r="GVO10" s="78"/>
      <c r="GVP10" s="78"/>
      <c r="GVQ10" s="78"/>
      <c r="GVR10" s="78"/>
      <c r="GVS10" s="78"/>
      <c r="GVT10" s="78"/>
      <c r="GVU10" s="78"/>
      <c r="GVV10" s="78"/>
      <c r="GVW10" s="78"/>
      <c r="GVX10" s="78"/>
      <c r="GVY10" s="78"/>
      <c r="GVZ10" s="78"/>
      <c r="GWA10" s="78"/>
      <c r="GWB10" s="78"/>
      <c r="GWC10" s="78"/>
      <c r="GWD10" s="78"/>
      <c r="GWE10" s="78"/>
      <c r="GWF10" s="78"/>
      <c r="GWG10" s="78"/>
      <c r="GWH10" s="78"/>
      <c r="GWI10" s="78"/>
      <c r="GWJ10" s="78"/>
      <c r="GWK10" s="78"/>
      <c r="GWL10" s="78"/>
      <c r="GWM10" s="78"/>
      <c r="GWN10" s="78"/>
      <c r="GWO10" s="78"/>
      <c r="GWP10" s="78"/>
      <c r="GWQ10" s="78"/>
      <c r="GWR10" s="78"/>
      <c r="GWS10" s="78"/>
      <c r="GWT10" s="78"/>
      <c r="GWU10" s="78"/>
      <c r="GWV10" s="78"/>
      <c r="GWW10" s="78"/>
      <c r="GWX10" s="78"/>
      <c r="GWY10" s="78"/>
      <c r="GWZ10" s="78"/>
      <c r="GXA10" s="78"/>
      <c r="GXB10" s="78"/>
      <c r="GXC10" s="78"/>
      <c r="GXD10" s="78"/>
      <c r="GXE10" s="78"/>
      <c r="GXF10" s="78"/>
      <c r="GXG10" s="78"/>
      <c r="GXH10" s="78"/>
      <c r="GXI10" s="78"/>
      <c r="GXJ10" s="78"/>
      <c r="GXK10" s="78"/>
      <c r="GXL10" s="78"/>
      <c r="GXM10" s="78"/>
      <c r="GXN10" s="78"/>
      <c r="GXO10" s="78"/>
      <c r="GXP10" s="78"/>
      <c r="GXQ10" s="78"/>
      <c r="GXR10" s="78"/>
      <c r="GXS10" s="78"/>
      <c r="GXT10" s="78"/>
      <c r="GXU10" s="78"/>
      <c r="GXV10" s="78"/>
      <c r="GXW10" s="78"/>
      <c r="GXX10" s="78"/>
      <c r="GXY10" s="78"/>
      <c r="GXZ10" s="78"/>
      <c r="GYA10" s="78"/>
      <c r="GYB10" s="78"/>
      <c r="GYC10" s="78"/>
      <c r="GYD10" s="78"/>
      <c r="GYE10" s="78"/>
      <c r="GYF10" s="78"/>
      <c r="GYG10" s="78"/>
      <c r="GYH10" s="78"/>
      <c r="GYI10" s="78"/>
      <c r="GYJ10" s="78"/>
      <c r="GYK10" s="78"/>
      <c r="GYL10" s="78"/>
      <c r="GYM10" s="78"/>
      <c r="GYN10" s="78"/>
      <c r="GYO10" s="78"/>
      <c r="GYP10" s="78"/>
      <c r="GYQ10" s="78"/>
      <c r="GYR10" s="78"/>
      <c r="GYS10" s="78"/>
      <c r="GYT10" s="78"/>
      <c r="GYU10" s="78"/>
      <c r="GYV10" s="78"/>
      <c r="GYW10" s="78"/>
      <c r="GYX10" s="78"/>
      <c r="GYY10" s="78"/>
      <c r="GYZ10" s="78"/>
      <c r="GZA10" s="78"/>
      <c r="GZB10" s="78"/>
      <c r="GZC10" s="78"/>
      <c r="GZD10" s="78"/>
      <c r="GZE10" s="78"/>
      <c r="GZF10" s="78"/>
      <c r="GZG10" s="78"/>
      <c r="GZH10" s="78"/>
      <c r="GZI10" s="78"/>
      <c r="GZJ10" s="78"/>
      <c r="GZK10" s="78"/>
      <c r="GZL10" s="78"/>
      <c r="GZM10" s="78"/>
      <c r="GZN10" s="78"/>
      <c r="GZO10" s="78"/>
      <c r="GZP10" s="78"/>
      <c r="GZQ10" s="78"/>
      <c r="GZR10" s="78"/>
      <c r="GZS10" s="78"/>
      <c r="GZT10" s="78"/>
      <c r="GZU10" s="78"/>
      <c r="GZV10" s="78"/>
      <c r="GZW10" s="78"/>
      <c r="GZX10" s="78"/>
      <c r="GZY10" s="78"/>
      <c r="GZZ10" s="78"/>
      <c r="HAA10" s="78"/>
      <c r="HAB10" s="78"/>
      <c r="HAC10" s="78"/>
      <c r="HAD10" s="78"/>
      <c r="HAE10" s="78"/>
      <c r="HAF10" s="78"/>
      <c r="HAG10" s="78"/>
      <c r="HAH10" s="78"/>
      <c r="HAI10" s="78"/>
      <c r="HAJ10" s="78"/>
      <c r="HAK10" s="78"/>
      <c r="HAL10" s="78"/>
      <c r="HAM10" s="78"/>
      <c r="HAN10" s="78"/>
      <c r="HAO10" s="78"/>
      <c r="HAP10" s="78"/>
      <c r="HAQ10" s="78"/>
      <c r="HAR10" s="78"/>
      <c r="HAS10" s="78"/>
      <c r="HAT10" s="78"/>
      <c r="HAU10" s="78"/>
      <c r="HAV10" s="78"/>
      <c r="HAW10" s="78"/>
      <c r="HAX10" s="78"/>
      <c r="HAY10" s="78"/>
      <c r="HAZ10" s="78"/>
      <c r="HBA10" s="78"/>
      <c r="HBB10" s="78"/>
      <c r="HBC10" s="78"/>
      <c r="HBD10" s="78"/>
      <c r="HBE10" s="78"/>
      <c r="HBF10" s="78"/>
      <c r="HBG10" s="78"/>
      <c r="HBH10" s="78"/>
      <c r="HBI10" s="78"/>
      <c r="HBJ10" s="78"/>
      <c r="HBK10" s="78"/>
      <c r="HBL10" s="78"/>
      <c r="HBM10" s="78"/>
      <c r="HBN10" s="78"/>
      <c r="HBO10" s="78"/>
      <c r="HBP10" s="78"/>
      <c r="HBQ10" s="78"/>
      <c r="HBR10" s="78"/>
      <c r="HBS10" s="78"/>
      <c r="HBT10" s="78"/>
      <c r="HBU10" s="78"/>
      <c r="HBV10" s="78"/>
      <c r="HBW10" s="78"/>
      <c r="HBX10" s="78"/>
      <c r="HBY10" s="78"/>
      <c r="HBZ10" s="78"/>
      <c r="HCA10" s="78"/>
      <c r="HCB10" s="78"/>
      <c r="HCC10" s="78"/>
      <c r="HCD10" s="78"/>
      <c r="HCE10" s="78"/>
      <c r="HCF10" s="78"/>
      <c r="HCG10" s="78"/>
      <c r="HCH10" s="78"/>
      <c r="HCI10" s="78"/>
      <c r="HCJ10" s="78"/>
      <c r="HCK10" s="78"/>
      <c r="HCL10" s="78"/>
      <c r="HCM10" s="78"/>
      <c r="HCN10" s="78"/>
      <c r="HCO10" s="78"/>
      <c r="HCP10" s="78"/>
      <c r="HCQ10" s="78"/>
      <c r="HCR10" s="78"/>
      <c r="HCS10" s="78"/>
      <c r="HCT10" s="78"/>
      <c r="HCU10" s="78"/>
      <c r="HCV10" s="78"/>
      <c r="HCW10" s="78"/>
      <c r="HCX10" s="78"/>
      <c r="HCY10" s="78"/>
      <c r="HCZ10" s="78"/>
      <c r="HDA10" s="78"/>
      <c r="HDB10" s="78"/>
      <c r="HDC10" s="78"/>
      <c r="HDD10" s="78"/>
      <c r="HDE10" s="78"/>
      <c r="HDF10" s="78"/>
      <c r="HDG10" s="78"/>
      <c r="HDH10" s="78"/>
      <c r="HDI10" s="78"/>
      <c r="HDJ10" s="78"/>
      <c r="HDK10" s="78"/>
      <c r="HDL10" s="78"/>
      <c r="HDM10" s="78"/>
      <c r="HDN10" s="78"/>
      <c r="HDO10" s="78"/>
      <c r="HDP10" s="78"/>
      <c r="HDQ10" s="78"/>
      <c r="HDR10" s="78"/>
      <c r="HDS10" s="78"/>
      <c r="HDT10" s="78"/>
      <c r="HDU10" s="78"/>
      <c r="HDV10" s="78"/>
      <c r="HDW10" s="78"/>
      <c r="HDX10" s="78"/>
      <c r="HDY10" s="78"/>
      <c r="HDZ10" s="78"/>
      <c r="HEA10" s="78"/>
      <c r="HEB10" s="78"/>
      <c r="HEC10" s="78"/>
      <c r="HED10" s="78"/>
      <c r="HEE10" s="78"/>
      <c r="HEF10" s="78"/>
      <c r="HEG10" s="78"/>
      <c r="HEH10" s="78"/>
      <c r="HEI10" s="78"/>
      <c r="HEJ10" s="78"/>
      <c r="HEK10" s="78"/>
      <c r="HEL10" s="78"/>
      <c r="HEM10" s="78"/>
      <c r="HEN10" s="78"/>
      <c r="HEO10" s="78"/>
      <c r="HEP10" s="78"/>
      <c r="HEQ10" s="78"/>
      <c r="HER10" s="78"/>
      <c r="HES10" s="78"/>
      <c r="HET10" s="78"/>
      <c r="HEU10" s="78"/>
      <c r="HEV10" s="78"/>
      <c r="HEW10" s="78"/>
      <c r="HEX10" s="78"/>
      <c r="HEY10" s="78"/>
      <c r="HEZ10" s="78"/>
      <c r="HFA10" s="78"/>
      <c r="HFB10" s="78"/>
      <c r="HFC10" s="78"/>
      <c r="HFD10" s="78"/>
      <c r="HFE10" s="78"/>
      <c r="HFF10" s="78"/>
      <c r="HFG10" s="78"/>
      <c r="HFH10" s="78"/>
      <c r="HFI10" s="78"/>
      <c r="HFJ10" s="78"/>
      <c r="HFK10" s="78"/>
      <c r="HFL10" s="78"/>
      <c r="HFM10" s="78"/>
      <c r="HFN10" s="78"/>
      <c r="HFO10" s="78"/>
      <c r="HFP10" s="78"/>
      <c r="HFQ10" s="78"/>
      <c r="HFR10" s="78"/>
      <c r="HFS10" s="78"/>
      <c r="HFT10" s="78"/>
      <c r="HFU10" s="78"/>
      <c r="HFV10" s="78"/>
      <c r="HFW10" s="78"/>
      <c r="HFX10" s="78"/>
      <c r="HFY10" s="78"/>
      <c r="HFZ10" s="78"/>
      <c r="HGA10" s="78"/>
      <c r="HGB10" s="78"/>
      <c r="HGC10" s="78"/>
      <c r="HGD10" s="78"/>
      <c r="HGE10" s="78"/>
      <c r="HGF10" s="78"/>
      <c r="HGG10" s="78"/>
      <c r="HGH10" s="78"/>
      <c r="HGI10" s="78"/>
      <c r="HGJ10" s="78"/>
      <c r="HGK10" s="78"/>
      <c r="HGL10" s="78"/>
      <c r="HGM10" s="78"/>
      <c r="HGN10" s="78"/>
      <c r="HGO10" s="78"/>
      <c r="HGP10" s="78"/>
      <c r="HGQ10" s="78"/>
      <c r="HGR10" s="78"/>
      <c r="HGS10" s="78"/>
      <c r="HGT10" s="78"/>
      <c r="HGU10" s="78"/>
      <c r="HGV10" s="78"/>
      <c r="HGW10" s="78"/>
      <c r="HGX10" s="78"/>
      <c r="HGY10" s="78"/>
      <c r="HGZ10" s="78"/>
      <c r="HHA10" s="78"/>
      <c r="HHB10" s="78"/>
      <c r="HHC10" s="78"/>
      <c r="HHD10" s="78"/>
      <c r="HHE10" s="78"/>
      <c r="HHF10" s="78"/>
      <c r="HHG10" s="78"/>
      <c r="HHH10" s="78"/>
      <c r="HHI10" s="78"/>
      <c r="HHJ10" s="78"/>
      <c r="HHK10" s="78"/>
      <c r="HHL10" s="78"/>
      <c r="HHM10" s="78"/>
      <c r="HHN10" s="78"/>
      <c r="HHO10" s="78"/>
      <c r="HHP10" s="78"/>
      <c r="HHQ10" s="78"/>
      <c r="HHR10" s="78"/>
      <c r="HHS10" s="78"/>
      <c r="HHT10" s="78"/>
      <c r="HHU10" s="78"/>
      <c r="HHV10" s="78"/>
      <c r="HHW10" s="78"/>
      <c r="HHX10" s="78"/>
      <c r="HHY10" s="78"/>
      <c r="HHZ10" s="78"/>
      <c r="HIA10" s="78"/>
      <c r="HIB10" s="78"/>
      <c r="HIC10" s="78"/>
      <c r="HID10" s="78"/>
      <c r="HIE10" s="78"/>
      <c r="HIF10" s="78"/>
      <c r="HIG10" s="78"/>
      <c r="HIH10" s="78"/>
      <c r="HII10" s="78"/>
      <c r="HIJ10" s="78"/>
      <c r="HIK10" s="78"/>
      <c r="HIL10" s="78"/>
      <c r="HIM10" s="78"/>
      <c r="HIN10" s="78"/>
      <c r="HIO10" s="78"/>
      <c r="HIP10" s="78"/>
      <c r="HIQ10" s="78"/>
      <c r="HIR10" s="78"/>
      <c r="HIS10" s="78"/>
      <c r="HIT10" s="78"/>
      <c r="HIU10" s="78"/>
      <c r="HIV10" s="78"/>
      <c r="HIW10" s="78"/>
      <c r="HIX10" s="78"/>
      <c r="HIY10" s="78"/>
      <c r="HIZ10" s="78"/>
      <c r="HJA10" s="78"/>
      <c r="HJB10" s="78"/>
      <c r="HJC10" s="78"/>
      <c r="HJD10" s="78"/>
      <c r="HJE10" s="78"/>
      <c r="HJF10" s="78"/>
      <c r="HJG10" s="78"/>
      <c r="HJH10" s="78"/>
      <c r="HJI10" s="78"/>
      <c r="HJJ10" s="78"/>
      <c r="HJK10" s="78"/>
      <c r="HJL10" s="78"/>
      <c r="HJM10" s="78"/>
      <c r="HJN10" s="78"/>
      <c r="HJO10" s="78"/>
      <c r="HJP10" s="78"/>
      <c r="HJQ10" s="78"/>
      <c r="HJR10" s="78"/>
      <c r="HJS10" s="78"/>
      <c r="HJT10" s="78"/>
      <c r="HJU10" s="78"/>
      <c r="HJV10" s="78"/>
      <c r="HJW10" s="78"/>
      <c r="HJX10" s="78"/>
      <c r="HJY10" s="78"/>
      <c r="HJZ10" s="78"/>
      <c r="HKA10" s="78"/>
      <c r="HKB10" s="78"/>
      <c r="HKC10" s="78"/>
      <c r="HKD10" s="78"/>
      <c r="HKE10" s="78"/>
      <c r="HKF10" s="78"/>
      <c r="HKG10" s="78"/>
      <c r="HKH10" s="78"/>
      <c r="HKI10" s="78"/>
      <c r="HKJ10" s="78"/>
      <c r="HKK10" s="78"/>
      <c r="HKL10" s="78"/>
      <c r="HKM10" s="78"/>
      <c r="HKN10" s="78"/>
      <c r="HKO10" s="78"/>
      <c r="HKP10" s="78"/>
      <c r="HKQ10" s="78"/>
      <c r="HKR10" s="78"/>
      <c r="HKS10" s="78"/>
      <c r="HKT10" s="78"/>
      <c r="HKU10" s="78"/>
      <c r="HKV10" s="78"/>
      <c r="HKW10" s="78"/>
      <c r="HKX10" s="78"/>
      <c r="HKY10" s="78"/>
      <c r="HKZ10" s="78"/>
      <c r="HLA10" s="78"/>
      <c r="HLB10" s="78"/>
      <c r="HLC10" s="78"/>
      <c r="HLD10" s="78"/>
      <c r="HLE10" s="78"/>
      <c r="HLF10" s="78"/>
      <c r="HLG10" s="78"/>
      <c r="HLH10" s="78"/>
      <c r="HLI10" s="78"/>
      <c r="HLJ10" s="78"/>
      <c r="HLK10" s="78"/>
      <c r="HLL10" s="78"/>
      <c r="HLM10" s="78"/>
      <c r="HLN10" s="78"/>
      <c r="HLO10" s="78"/>
      <c r="HLP10" s="78"/>
      <c r="HLQ10" s="78"/>
      <c r="HLR10" s="78"/>
      <c r="HLS10" s="78"/>
      <c r="HLT10" s="78"/>
      <c r="HLU10" s="78"/>
      <c r="HLV10" s="78"/>
      <c r="HLW10" s="78"/>
      <c r="HLX10" s="78"/>
      <c r="HLY10" s="78"/>
      <c r="HLZ10" s="78"/>
      <c r="HMA10" s="78"/>
      <c r="HMB10" s="78"/>
      <c r="HMC10" s="78"/>
      <c r="HMD10" s="78"/>
      <c r="HME10" s="78"/>
      <c r="HMF10" s="78"/>
      <c r="HMG10" s="78"/>
      <c r="HMH10" s="78"/>
      <c r="HMI10" s="78"/>
      <c r="HMJ10" s="78"/>
      <c r="HMK10" s="78"/>
      <c r="HML10" s="78"/>
      <c r="HMM10" s="78"/>
      <c r="HMN10" s="78"/>
      <c r="HMO10" s="78"/>
      <c r="HMP10" s="78"/>
      <c r="HMQ10" s="78"/>
      <c r="HMR10" s="78"/>
      <c r="HMS10" s="78"/>
      <c r="HMT10" s="78"/>
      <c r="HMU10" s="78"/>
      <c r="HMV10" s="78"/>
      <c r="HMW10" s="78"/>
      <c r="HMX10" s="78"/>
      <c r="HMY10" s="78"/>
      <c r="HMZ10" s="78"/>
      <c r="HNA10" s="78"/>
      <c r="HNB10" s="78"/>
      <c r="HNC10" s="78"/>
      <c r="HND10" s="78"/>
      <c r="HNE10" s="78"/>
      <c r="HNF10" s="78"/>
      <c r="HNG10" s="78"/>
      <c r="HNH10" s="78"/>
      <c r="HNI10" s="78"/>
      <c r="HNJ10" s="78"/>
      <c r="HNK10" s="78"/>
      <c r="HNL10" s="78"/>
      <c r="HNM10" s="78"/>
      <c r="HNN10" s="78"/>
      <c r="HNO10" s="78"/>
      <c r="HNP10" s="78"/>
      <c r="HNQ10" s="78"/>
      <c r="HNR10" s="78"/>
      <c r="HNS10" s="78"/>
      <c r="HNT10" s="78"/>
      <c r="HNU10" s="78"/>
      <c r="HNV10" s="78"/>
      <c r="HNW10" s="78"/>
      <c r="HNX10" s="78"/>
      <c r="HNY10" s="78"/>
      <c r="HNZ10" s="78"/>
      <c r="HOA10" s="78"/>
      <c r="HOB10" s="78"/>
      <c r="HOC10" s="78"/>
      <c r="HOD10" s="78"/>
      <c r="HOE10" s="78"/>
      <c r="HOF10" s="78"/>
      <c r="HOG10" s="78"/>
      <c r="HOH10" s="78"/>
      <c r="HOI10" s="78"/>
      <c r="HOJ10" s="78"/>
      <c r="HOK10" s="78"/>
      <c r="HOL10" s="78"/>
      <c r="HOM10" s="78"/>
      <c r="HON10" s="78"/>
      <c r="HOO10" s="78"/>
      <c r="HOP10" s="78"/>
      <c r="HOQ10" s="78"/>
      <c r="HOR10" s="78"/>
      <c r="HOS10" s="78"/>
      <c r="HOT10" s="78"/>
      <c r="HOU10" s="78"/>
      <c r="HOV10" s="78"/>
      <c r="HOW10" s="78"/>
      <c r="HOX10" s="78"/>
      <c r="HOY10" s="78"/>
      <c r="HOZ10" s="78"/>
      <c r="HPA10" s="78"/>
      <c r="HPB10" s="78"/>
      <c r="HPC10" s="78"/>
      <c r="HPD10" s="78"/>
      <c r="HPE10" s="78"/>
      <c r="HPF10" s="78"/>
      <c r="HPG10" s="78"/>
      <c r="HPH10" s="78"/>
      <c r="HPI10" s="78"/>
      <c r="HPJ10" s="78"/>
      <c r="HPK10" s="78"/>
      <c r="HPL10" s="78"/>
      <c r="HPM10" s="78"/>
      <c r="HPN10" s="78"/>
      <c r="HPO10" s="78"/>
      <c r="HPP10" s="78"/>
      <c r="HPQ10" s="78"/>
      <c r="HPR10" s="78"/>
      <c r="HPS10" s="78"/>
      <c r="HPT10" s="78"/>
      <c r="HPU10" s="78"/>
      <c r="HPV10" s="78"/>
      <c r="HPW10" s="78"/>
      <c r="HPX10" s="78"/>
      <c r="HPY10" s="78"/>
      <c r="HPZ10" s="78"/>
      <c r="HQA10" s="78"/>
      <c r="HQB10" s="78"/>
      <c r="HQC10" s="78"/>
      <c r="HQD10" s="78"/>
      <c r="HQE10" s="78"/>
      <c r="HQF10" s="78"/>
      <c r="HQG10" s="78"/>
      <c r="HQH10" s="78"/>
      <c r="HQI10" s="78"/>
      <c r="HQJ10" s="78"/>
      <c r="HQK10" s="78"/>
      <c r="HQL10" s="78"/>
      <c r="HQM10" s="78"/>
      <c r="HQN10" s="78"/>
      <c r="HQO10" s="78"/>
      <c r="HQP10" s="78"/>
      <c r="HQQ10" s="78"/>
      <c r="HQR10" s="78"/>
      <c r="HQS10" s="78"/>
      <c r="HQT10" s="78"/>
      <c r="HQU10" s="78"/>
      <c r="HQV10" s="78"/>
      <c r="HQW10" s="78"/>
      <c r="HQX10" s="78"/>
      <c r="HQY10" s="78"/>
      <c r="HQZ10" s="78"/>
      <c r="HRA10" s="78"/>
      <c r="HRB10" s="78"/>
      <c r="HRC10" s="78"/>
      <c r="HRD10" s="78"/>
      <c r="HRE10" s="78"/>
      <c r="HRF10" s="78"/>
      <c r="HRG10" s="78"/>
      <c r="HRH10" s="78"/>
      <c r="HRI10" s="78"/>
      <c r="HRJ10" s="78"/>
      <c r="HRK10" s="78"/>
      <c r="HRL10" s="78"/>
      <c r="HRM10" s="78"/>
      <c r="HRN10" s="78"/>
      <c r="HRO10" s="78"/>
      <c r="HRP10" s="78"/>
      <c r="HRQ10" s="78"/>
      <c r="HRR10" s="78"/>
      <c r="HRS10" s="78"/>
      <c r="HRT10" s="78"/>
      <c r="HRU10" s="78"/>
      <c r="HRV10" s="78"/>
      <c r="HRW10" s="78"/>
      <c r="HRX10" s="78"/>
      <c r="HRY10" s="78"/>
      <c r="HRZ10" s="78"/>
      <c r="HSA10" s="78"/>
      <c r="HSB10" s="78"/>
      <c r="HSC10" s="78"/>
      <c r="HSD10" s="78"/>
      <c r="HSE10" s="78"/>
      <c r="HSF10" s="78"/>
      <c r="HSG10" s="78"/>
      <c r="HSH10" s="78"/>
      <c r="HSI10" s="78"/>
      <c r="HSJ10" s="78"/>
      <c r="HSK10" s="78"/>
      <c r="HSL10" s="78"/>
      <c r="HSM10" s="78"/>
      <c r="HSN10" s="78"/>
      <c r="HSO10" s="78"/>
      <c r="HSP10" s="78"/>
      <c r="HSQ10" s="78"/>
      <c r="HSR10" s="78"/>
      <c r="HSS10" s="78"/>
      <c r="HST10" s="78"/>
      <c r="HSU10" s="78"/>
      <c r="HSV10" s="78"/>
      <c r="HSW10" s="78"/>
      <c r="HSX10" s="78"/>
      <c r="HSY10" s="78"/>
      <c r="HSZ10" s="78"/>
      <c r="HTA10" s="78"/>
      <c r="HTB10" s="78"/>
      <c r="HTC10" s="78"/>
      <c r="HTD10" s="78"/>
      <c r="HTE10" s="78"/>
      <c r="HTF10" s="78"/>
      <c r="HTG10" s="78"/>
      <c r="HTH10" s="78"/>
      <c r="HTI10" s="78"/>
      <c r="HTJ10" s="78"/>
      <c r="HTK10" s="78"/>
      <c r="HTL10" s="78"/>
      <c r="HTM10" s="78"/>
      <c r="HTN10" s="78"/>
      <c r="HTO10" s="78"/>
      <c r="HTP10" s="78"/>
      <c r="HTQ10" s="78"/>
      <c r="HTR10" s="78"/>
      <c r="HTS10" s="78"/>
      <c r="HTT10" s="78"/>
      <c r="HTU10" s="78"/>
      <c r="HTV10" s="78"/>
      <c r="HTW10" s="78"/>
      <c r="HTX10" s="78"/>
      <c r="HTY10" s="78"/>
      <c r="HTZ10" s="78"/>
      <c r="HUA10" s="78"/>
      <c r="HUB10" s="78"/>
      <c r="HUC10" s="78"/>
      <c r="HUD10" s="78"/>
      <c r="HUE10" s="78"/>
      <c r="HUF10" s="78"/>
      <c r="HUG10" s="78"/>
      <c r="HUH10" s="78"/>
      <c r="HUI10" s="78"/>
      <c r="HUJ10" s="78"/>
      <c r="HUK10" s="78"/>
      <c r="HUL10" s="78"/>
      <c r="HUM10" s="78"/>
      <c r="HUN10" s="78"/>
      <c r="HUO10" s="78"/>
      <c r="HUP10" s="78"/>
      <c r="HUQ10" s="78"/>
      <c r="HUR10" s="78"/>
      <c r="HUS10" s="78"/>
      <c r="HUT10" s="78"/>
      <c r="HUU10" s="78"/>
      <c r="HUV10" s="78"/>
      <c r="HUW10" s="78"/>
      <c r="HUX10" s="78"/>
      <c r="HUY10" s="78"/>
      <c r="HUZ10" s="78"/>
      <c r="HVA10" s="78"/>
      <c r="HVB10" s="78"/>
      <c r="HVC10" s="78"/>
      <c r="HVD10" s="78"/>
      <c r="HVE10" s="78"/>
      <c r="HVF10" s="78"/>
      <c r="HVG10" s="78"/>
      <c r="HVH10" s="78"/>
      <c r="HVI10" s="78"/>
      <c r="HVJ10" s="78"/>
      <c r="HVK10" s="78"/>
      <c r="HVL10" s="78"/>
      <c r="HVM10" s="78"/>
      <c r="HVN10" s="78"/>
      <c r="HVO10" s="78"/>
      <c r="HVP10" s="78"/>
      <c r="HVQ10" s="78"/>
      <c r="HVR10" s="78"/>
      <c r="HVS10" s="78"/>
      <c r="HVT10" s="78"/>
      <c r="HVU10" s="78"/>
      <c r="HVV10" s="78"/>
      <c r="HVW10" s="78"/>
      <c r="HVX10" s="78"/>
      <c r="HVY10" s="78"/>
      <c r="HVZ10" s="78"/>
      <c r="HWA10" s="78"/>
      <c r="HWB10" s="78"/>
      <c r="HWC10" s="78"/>
      <c r="HWD10" s="78"/>
      <c r="HWE10" s="78"/>
      <c r="HWF10" s="78"/>
      <c r="HWG10" s="78"/>
      <c r="HWH10" s="78"/>
      <c r="HWI10" s="78"/>
      <c r="HWJ10" s="78"/>
      <c r="HWK10" s="78"/>
      <c r="HWL10" s="78"/>
      <c r="HWM10" s="78"/>
      <c r="HWN10" s="78"/>
      <c r="HWO10" s="78"/>
      <c r="HWP10" s="78"/>
      <c r="HWQ10" s="78"/>
      <c r="HWR10" s="78"/>
      <c r="HWS10" s="78"/>
      <c r="HWT10" s="78"/>
      <c r="HWU10" s="78"/>
      <c r="HWV10" s="78"/>
      <c r="HWW10" s="78"/>
      <c r="HWX10" s="78"/>
      <c r="HWY10" s="78"/>
      <c r="HWZ10" s="78"/>
      <c r="HXA10" s="78"/>
      <c r="HXB10" s="78"/>
      <c r="HXC10" s="78"/>
      <c r="HXD10" s="78"/>
      <c r="HXE10" s="78"/>
      <c r="HXF10" s="78"/>
      <c r="HXG10" s="78"/>
      <c r="HXH10" s="78"/>
      <c r="HXI10" s="78"/>
      <c r="HXJ10" s="78"/>
      <c r="HXK10" s="78"/>
      <c r="HXL10" s="78"/>
      <c r="HXM10" s="78"/>
      <c r="HXN10" s="78"/>
      <c r="HXO10" s="78"/>
      <c r="HXP10" s="78"/>
      <c r="HXQ10" s="78"/>
      <c r="HXR10" s="78"/>
      <c r="HXS10" s="78"/>
      <c r="HXT10" s="78"/>
      <c r="HXU10" s="78"/>
      <c r="HXV10" s="78"/>
      <c r="HXW10" s="78"/>
      <c r="HXX10" s="78"/>
      <c r="HXY10" s="78"/>
      <c r="HXZ10" s="78"/>
      <c r="HYA10" s="78"/>
      <c r="HYB10" s="78"/>
      <c r="HYC10" s="78"/>
      <c r="HYD10" s="78"/>
      <c r="HYE10" s="78"/>
      <c r="HYF10" s="78"/>
      <c r="HYG10" s="78"/>
      <c r="HYH10" s="78"/>
      <c r="HYI10" s="78"/>
      <c r="HYJ10" s="78"/>
      <c r="HYK10" s="78"/>
      <c r="HYL10" s="78"/>
      <c r="HYM10" s="78"/>
      <c r="HYN10" s="78"/>
      <c r="HYO10" s="78"/>
      <c r="HYP10" s="78"/>
      <c r="HYQ10" s="78"/>
      <c r="HYR10" s="78"/>
      <c r="HYS10" s="78"/>
      <c r="HYT10" s="78"/>
      <c r="HYU10" s="78"/>
      <c r="HYV10" s="78"/>
      <c r="HYW10" s="78"/>
      <c r="HYX10" s="78"/>
      <c r="HYY10" s="78"/>
      <c r="HYZ10" s="78"/>
      <c r="HZA10" s="78"/>
      <c r="HZB10" s="78"/>
      <c r="HZC10" s="78"/>
      <c r="HZD10" s="78"/>
      <c r="HZE10" s="78"/>
      <c r="HZF10" s="78"/>
      <c r="HZG10" s="78"/>
      <c r="HZH10" s="78"/>
      <c r="HZI10" s="78"/>
      <c r="HZJ10" s="78"/>
      <c r="HZK10" s="78"/>
      <c r="HZL10" s="78"/>
      <c r="HZM10" s="78"/>
      <c r="HZN10" s="78"/>
      <c r="HZO10" s="78"/>
      <c r="HZP10" s="78"/>
      <c r="HZQ10" s="78"/>
      <c r="HZR10" s="78"/>
      <c r="HZS10" s="78"/>
      <c r="HZT10" s="78"/>
      <c r="HZU10" s="78"/>
      <c r="HZV10" s="78"/>
      <c r="HZW10" s="78"/>
      <c r="HZX10" s="78"/>
      <c r="HZY10" s="78"/>
      <c r="HZZ10" s="78"/>
      <c r="IAA10" s="78"/>
      <c r="IAB10" s="78"/>
      <c r="IAC10" s="78"/>
      <c r="IAD10" s="78"/>
      <c r="IAE10" s="78"/>
      <c r="IAF10" s="78"/>
      <c r="IAG10" s="78"/>
      <c r="IAH10" s="78"/>
      <c r="IAI10" s="78"/>
      <c r="IAJ10" s="78"/>
      <c r="IAK10" s="78"/>
      <c r="IAL10" s="78"/>
      <c r="IAM10" s="78"/>
      <c r="IAN10" s="78"/>
      <c r="IAO10" s="78"/>
      <c r="IAP10" s="78"/>
      <c r="IAQ10" s="78"/>
      <c r="IAR10" s="78"/>
      <c r="IAS10" s="78"/>
      <c r="IAT10" s="78"/>
      <c r="IAU10" s="78"/>
      <c r="IAV10" s="78"/>
      <c r="IAW10" s="78"/>
      <c r="IAX10" s="78"/>
      <c r="IAY10" s="78"/>
      <c r="IAZ10" s="78"/>
      <c r="IBA10" s="78"/>
      <c r="IBB10" s="78"/>
      <c r="IBC10" s="78"/>
      <c r="IBD10" s="78"/>
      <c r="IBE10" s="78"/>
      <c r="IBF10" s="78"/>
      <c r="IBG10" s="78"/>
      <c r="IBH10" s="78"/>
      <c r="IBI10" s="78"/>
      <c r="IBJ10" s="78"/>
      <c r="IBK10" s="78"/>
      <c r="IBL10" s="78"/>
      <c r="IBM10" s="78"/>
      <c r="IBN10" s="78"/>
      <c r="IBO10" s="78"/>
      <c r="IBP10" s="78"/>
      <c r="IBQ10" s="78"/>
      <c r="IBR10" s="78"/>
      <c r="IBS10" s="78"/>
      <c r="IBT10" s="78"/>
      <c r="IBU10" s="78"/>
      <c r="IBV10" s="78"/>
      <c r="IBW10" s="78"/>
      <c r="IBX10" s="78"/>
      <c r="IBY10" s="78"/>
      <c r="IBZ10" s="78"/>
      <c r="ICA10" s="78"/>
      <c r="ICB10" s="78"/>
      <c r="ICC10" s="78"/>
      <c r="ICD10" s="78"/>
      <c r="ICE10" s="78"/>
      <c r="ICF10" s="78"/>
      <c r="ICG10" s="78"/>
      <c r="ICH10" s="78"/>
      <c r="ICI10" s="78"/>
      <c r="ICJ10" s="78"/>
      <c r="ICK10" s="78"/>
      <c r="ICL10" s="78"/>
      <c r="ICM10" s="78"/>
      <c r="ICN10" s="78"/>
      <c r="ICO10" s="78"/>
      <c r="ICP10" s="78"/>
      <c r="ICQ10" s="78"/>
      <c r="ICR10" s="78"/>
      <c r="ICS10" s="78"/>
      <c r="ICT10" s="78"/>
      <c r="ICU10" s="78"/>
      <c r="ICV10" s="78"/>
      <c r="ICW10" s="78"/>
      <c r="ICX10" s="78"/>
      <c r="ICY10" s="78"/>
      <c r="ICZ10" s="78"/>
      <c r="IDA10" s="78"/>
      <c r="IDB10" s="78"/>
      <c r="IDC10" s="78"/>
      <c r="IDD10" s="78"/>
      <c r="IDE10" s="78"/>
      <c r="IDF10" s="78"/>
      <c r="IDG10" s="78"/>
      <c r="IDH10" s="78"/>
      <c r="IDI10" s="78"/>
      <c r="IDJ10" s="78"/>
      <c r="IDK10" s="78"/>
      <c r="IDL10" s="78"/>
      <c r="IDM10" s="78"/>
      <c r="IDN10" s="78"/>
      <c r="IDO10" s="78"/>
      <c r="IDP10" s="78"/>
      <c r="IDQ10" s="78"/>
      <c r="IDR10" s="78"/>
      <c r="IDS10" s="78"/>
      <c r="IDT10" s="78"/>
      <c r="IDU10" s="78"/>
      <c r="IDV10" s="78"/>
      <c r="IDW10" s="78"/>
      <c r="IDX10" s="78"/>
      <c r="IDY10" s="78"/>
      <c r="IDZ10" s="78"/>
      <c r="IEA10" s="78"/>
      <c r="IEB10" s="78"/>
      <c r="IEC10" s="78"/>
      <c r="IED10" s="78"/>
      <c r="IEE10" s="78"/>
      <c r="IEF10" s="78"/>
      <c r="IEG10" s="78"/>
      <c r="IEH10" s="78"/>
      <c r="IEI10" s="78"/>
      <c r="IEJ10" s="78"/>
      <c r="IEK10" s="78"/>
      <c r="IEL10" s="78"/>
      <c r="IEM10" s="78"/>
      <c r="IEN10" s="78"/>
      <c r="IEO10" s="78"/>
      <c r="IEP10" s="78"/>
      <c r="IEQ10" s="78"/>
      <c r="IER10" s="78"/>
      <c r="IES10" s="78"/>
      <c r="IET10" s="78"/>
      <c r="IEU10" s="78"/>
      <c r="IEV10" s="78"/>
      <c r="IEW10" s="78"/>
      <c r="IEX10" s="78"/>
      <c r="IEY10" s="78"/>
      <c r="IEZ10" s="78"/>
      <c r="IFA10" s="78"/>
      <c r="IFB10" s="78"/>
      <c r="IFC10" s="78"/>
      <c r="IFD10" s="78"/>
      <c r="IFE10" s="78"/>
      <c r="IFF10" s="78"/>
      <c r="IFG10" s="78"/>
      <c r="IFH10" s="78"/>
      <c r="IFI10" s="78"/>
      <c r="IFJ10" s="78"/>
      <c r="IFK10" s="78"/>
      <c r="IFL10" s="78"/>
      <c r="IFM10" s="78"/>
      <c r="IFN10" s="78"/>
      <c r="IFO10" s="78"/>
      <c r="IFP10" s="78"/>
      <c r="IFQ10" s="78"/>
      <c r="IFR10" s="78"/>
      <c r="IFS10" s="78"/>
      <c r="IFT10" s="78"/>
      <c r="IFU10" s="78"/>
      <c r="IFV10" s="78"/>
      <c r="IFW10" s="78"/>
      <c r="IFX10" s="78"/>
      <c r="IFY10" s="78"/>
      <c r="IFZ10" s="78"/>
      <c r="IGA10" s="78"/>
      <c r="IGB10" s="78"/>
      <c r="IGC10" s="78"/>
      <c r="IGD10" s="78"/>
      <c r="IGE10" s="78"/>
      <c r="IGF10" s="78"/>
      <c r="IGG10" s="78"/>
      <c r="IGH10" s="78"/>
      <c r="IGI10" s="78"/>
      <c r="IGJ10" s="78"/>
      <c r="IGK10" s="78"/>
      <c r="IGL10" s="78"/>
      <c r="IGM10" s="78"/>
      <c r="IGN10" s="78"/>
      <c r="IGO10" s="78"/>
      <c r="IGP10" s="78"/>
      <c r="IGQ10" s="78"/>
      <c r="IGR10" s="78"/>
      <c r="IGS10" s="78"/>
      <c r="IGT10" s="78"/>
      <c r="IGU10" s="78"/>
      <c r="IGV10" s="78"/>
      <c r="IGW10" s="78"/>
      <c r="IGX10" s="78"/>
      <c r="IGY10" s="78"/>
      <c r="IGZ10" s="78"/>
      <c r="IHA10" s="78"/>
      <c r="IHB10" s="78"/>
      <c r="IHC10" s="78"/>
      <c r="IHD10" s="78"/>
      <c r="IHE10" s="78"/>
      <c r="IHF10" s="78"/>
      <c r="IHG10" s="78"/>
      <c r="IHH10" s="78"/>
      <c r="IHI10" s="78"/>
      <c r="IHJ10" s="78"/>
      <c r="IHK10" s="78"/>
      <c r="IHL10" s="78"/>
      <c r="IHM10" s="78"/>
      <c r="IHN10" s="78"/>
      <c r="IHO10" s="78"/>
      <c r="IHP10" s="78"/>
      <c r="IHQ10" s="78"/>
      <c r="IHR10" s="78"/>
      <c r="IHS10" s="78"/>
      <c r="IHT10" s="78"/>
      <c r="IHU10" s="78"/>
      <c r="IHV10" s="78"/>
      <c r="IHW10" s="78"/>
      <c r="IHX10" s="78"/>
      <c r="IHY10" s="78"/>
      <c r="IHZ10" s="78"/>
      <c r="IIA10" s="78"/>
      <c r="IIB10" s="78"/>
      <c r="IIC10" s="78"/>
      <c r="IID10" s="78"/>
      <c r="IIE10" s="78"/>
      <c r="IIF10" s="78"/>
      <c r="IIG10" s="78"/>
      <c r="IIH10" s="78"/>
      <c r="III10" s="78"/>
      <c r="IIJ10" s="78"/>
      <c r="IIK10" s="78"/>
      <c r="IIL10" s="78"/>
      <c r="IIM10" s="78"/>
      <c r="IIN10" s="78"/>
      <c r="IIO10" s="78"/>
      <c r="IIP10" s="78"/>
      <c r="IIQ10" s="78"/>
      <c r="IIR10" s="78"/>
      <c r="IIS10" s="78"/>
      <c r="IIT10" s="78"/>
      <c r="IIU10" s="78"/>
      <c r="IIV10" s="78"/>
      <c r="IIW10" s="78"/>
      <c r="IIX10" s="78"/>
      <c r="IIY10" s="78"/>
      <c r="IIZ10" s="78"/>
      <c r="IJA10" s="78"/>
      <c r="IJB10" s="78"/>
      <c r="IJC10" s="78"/>
      <c r="IJD10" s="78"/>
      <c r="IJE10" s="78"/>
      <c r="IJF10" s="78"/>
      <c r="IJG10" s="78"/>
      <c r="IJH10" s="78"/>
      <c r="IJI10" s="78"/>
      <c r="IJJ10" s="78"/>
      <c r="IJK10" s="78"/>
      <c r="IJL10" s="78"/>
      <c r="IJM10" s="78"/>
      <c r="IJN10" s="78"/>
      <c r="IJO10" s="78"/>
      <c r="IJP10" s="78"/>
      <c r="IJQ10" s="78"/>
      <c r="IJR10" s="78"/>
      <c r="IJS10" s="78"/>
      <c r="IJT10" s="78"/>
      <c r="IJU10" s="78"/>
      <c r="IJV10" s="78"/>
      <c r="IJW10" s="78"/>
      <c r="IJX10" s="78"/>
      <c r="IJY10" s="78"/>
      <c r="IJZ10" s="78"/>
      <c r="IKA10" s="78"/>
      <c r="IKB10" s="78"/>
      <c r="IKC10" s="78"/>
      <c r="IKD10" s="78"/>
      <c r="IKE10" s="78"/>
      <c r="IKF10" s="78"/>
      <c r="IKG10" s="78"/>
      <c r="IKH10" s="78"/>
      <c r="IKI10" s="78"/>
      <c r="IKJ10" s="78"/>
      <c r="IKK10" s="78"/>
      <c r="IKL10" s="78"/>
      <c r="IKM10" s="78"/>
      <c r="IKN10" s="78"/>
      <c r="IKO10" s="78"/>
      <c r="IKP10" s="78"/>
      <c r="IKQ10" s="78"/>
      <c r="IKR10" s="78"/>
      <c r="IKS10" s="78"/>
      <c r="IKT10" s="78"/>
      <c r="IKU10" s="78"/>
      <c r="IKV10" s="78"/>
      <c r="IKW10" s="78"/>
      <c r="IKX10" s="78"/>
      <c r="IKY10" s="78"/>
      <c r="IKZ10" s="78"/>
      <c r="ILA10" s="78"/>
      <c r="ILB10" s="78"/>
      <c r="ILC10" s="78"/>
      <c r="ILD10" s="78"/>
      <c r="ILE10" s="78"/>
      <c r="ILF10" s="78"/>
      <c r="ILG10" s="78"/>
      <c r="ILH10" s="78"/>
      <c r="ILI10" s="78"/>
      <c r="ILJ10" s="78"/>
      <c r="ILK10" s="78"/>
      <c r="ILL10" s="78"/>
      <c r="ILM10" s="78"/>
      <c r="ILN10" s="78"/>
      <c r="ILO10" s="78"/>
      <c r="ILP10" s="78"/>
      <c r="ILQ10" s="78"/>
      <c r="ILR10" s="78"/>
      <c r="ILS10" s="78"/>
      <c r="ILT10" s="78"/>
      <c r="ILU10" s="78"/>
      <c r="ILV10" s="78"/>
      <c r="ILW10" s="78"/>
      <c r="ILX10" s="78"/>
      <c r="ILY10" s="78"/>
      <c r="ILZ10" s="78"/>
      <c r="IMA10" s="78"/>
      <c r="IMB10" s="78"/>
      <c r="IMC10" s="78"/>
      <c r="IMD10" s="78"/>
      <c r="IME10" s="78"/>
      <c r="IMF10" s="78"/>
      <c r="IMG10" s="78"/>
      <c r="IMH10" s="78"/>
      <c r="IMI10" s="78"/>
      <c r="IMJ10" s="78"/>
      <c r="IMK10" s="78"/>
      <c r="IML10" s="78"/>
      <c r="IMM10" s="78"/>
      <c r="IMN10" s="78"/>
      <c r="IMO10" s="78"/>
      <c r="IMP10" s="78"/>
      <c r="IMQ10" s="78"/>
      <c r="IMR10" s="78"/>
      <c r="IMS10" s="78"/>
      <c r="IMT10" s="78"/>
      <c r="IMU10" s="78"/>
      <c r="IMV10" s="78"/>
      <c r="IMW10" s="78"/>
      <c r="IMX10" s="78"/>
      <c r="IMY10" s="78"/>
      <c r="IMZ10" s="78"/>
      <c r="INA10" s="78"/>
      <c r="INB10" s="78"/>
      <c r="INC10" s="78"/>
      <c r="IND10" s="78"/>
      <c r="INE10" s="78"/>
      <c r="INF10" s="78"/>
      <c r="ING10" s="78"/>
      <c r="INH10" s="78"/>
      <c r="INI10" s="78"/>
      <c r="INJ10" s="78"/>
      <c r="INK10" s="78"/>
      <c r="INL10" s="78"/>
      <c r="INM10" s="78"/>
      <c r="INN10" s="78"/>
      <c r="INO10" s="78"/>
      <c r="INP10" s="78"/>
      <c r="INQ10" s="78"/>
      <c r="INR10" s="78"/>
      <c r="INS10" s="78"/>
      <c r="INT10" s="78"/>
      <c r="INU10" s="78"/>
      <c r="INV10" s="78"/>
      <c r="INW10" s="78"/>
      <c r="INX10" s="78"/>
      <c r="INY10" s="78"/>
      <c r="INZ10" s="78"/>
      <c r="IOA10" s="78"/>
      <c r="IOB10" s="78"/>
      <c r="IOC10" s="78"/>
      <c r="IOD10" s="78"/>
      <c r="IOE10" s="78"/>
      <c r="IOF10" s="78"/>
      <c r="IOG10" s="78"/>
      <c r="IOH10" s="78"/>
      <c r="IOI10" s="78"/>
      <c r="IOJ10" s="78"/>
      <c r="IOK10" s="78"/>
      <c r="IOL10" s="78"/>
      <c r="IOM10" s="78"/>
      <c r="ION10" s="78"/>
      <c r="IOO10" s="78"/>
      <c r="IOP10" s="78"/>
      <c r="IOQ10" s="78"/>
      <c r="IOR10" s="78"/>
      <c r="IOS10" s="78"/>
      <c r="IOT10" s="78"/>
      <c r="IOU10" s="78"/>
      <c r="IOV10" s="78"/>
      <c r="IOW10" s="78"/>
      <c r="IOX10" s="78"/>
      <c r="IOY10" s="78"/>
      <c r="IOZ10" s="78"/>
      <c r="IPA10" s="78"/>
      <c r="IPB10" s="78"/>
      <c r="IPC10" s="78"/>
      <c r="IPD10" s="78"/>
      <c r="IPE10" s="78"/>
      <c r="IPF10" s="78"/>
      <c r="IPG10" s="78"/>
      <c r="IPH10" s="78"/>
      <c r="IPI10" s="78"/>
      <c r="IPJ10" s="78"/>
      <c r="IPK10" s="78"/>
      <c r="IPL10" s="78"/>
      <c r="IPM10" s="78"/>
      <c r="IPN10" s="78"/>
      <c r="IPO10" s="78"/>
      <c r="IPP10" s="78"/>
      <c r="IPQ10" s="78"/>
      <c r="IPR10" s="78"/>
      <c r="IPS10" s="78"/>
      <c r="IPT10" s="78"/>
      <c r="IPU10" s="78"/>
      <c r="IPV10" s="78"/>
      <c r="IPW10" s="78"/>
      <c r="IPX10" s="78"/>
      <c r="IPY10" s="78"/>
      <c r="IPZ10" s="78"/>
      <c r="IQA10" s="78"/>
      <c r="IQB10" s="78"/>
      <c r="IQC10" s="78"/>
      <c r="IQD10" s="78"/>
      <c r="IQE10" s="78"/>
      <c r="IQF10" s="78"/>
      <c r="IQG10" s="78"/>
      <c r="IQH10" s="78"/>
      <c r="IQI10" s="78"/>
      <c r="IQJ10" s="78"/>
      <c r="IQK10" s="78"/>
      <c r="IQL10" s="78"/>
      <c r="IQM10" s="78"/>
      <c r="IQN10" s="78"/>
      <c r="IQO10" s="78"/>
      <c r="IQP10" s="78"/>
      <c r="IQQ10" s="78"/>
      <c r="IQR10" s="78"/>
      <c r="IQS10" s="78"/>
      <c r="IQT10" s="78"/>
      <c r="IQU10" s="78"/>
      <c r="IQV10" s="78"/>
      <c r="IQW10" s="78"/>
      <c r="IQX10" s="78"/>
      <c r="IQY10" s="78"/>
      <c r="IQZ10" s="78"/>
      <c r="IRA10" s="78"/>
      <c r="IRB10" s="78"/>
      <c r="IRC10" s="78"/>
      <c r="IRD10" s="78"/>
      <c r="IRE10" s="78"/>
      <c r="IRF10" s="78"/>
      <c r="IRG10" s="78"/>
      <c r="IRH10" s="78"/>
      <c r="IRI10" s="78"/>
      <c r="IRJ10" s="78"/>
      <c r="IRK10" s="78"/>
      <c r="IRL10" s="78"/>
      <c r="IRM10" s="78"/>
      <c r="IRN10" s="78"/>
      <c r="IRO10" s="78"/>
      <c r="IRP10" s="78"/>
      <c r="IRQ10" s="78"/>
      <c r="IRR10" s="78"/>
      <c r="IRS10" s="78"/>
      <c r="IRT10" s="78"/>
      <c r="IRU10" s="78"/>
      <c r="IRV10" s="78"/>
      <c r="IRW10" s="78"/>
      <c r="IRX10" s="78"/>
      <c r="IRY10" s="78"/>
      <c r="IRZ10" s="78"/>
      <c r="ISA10" s="78"/>
      <c r="ISB10" s="78"/>
      <c r="ISC10" s="78"/>
      <c r="ISD10" s="78"/>
      <c r="ISE10" s="78"/>
      <c r="ISF10" s="78"/>
      <c r="ISG10" s="78"/>
      <c r="ISH10" s="78"/>
      <c r="ISI10" s="78"/>
      <c r="ISJ10" s="78"/>
      <c r="ISK10" s="78"/>
      <c r="ISL10" s="78"/>
      <c r="ISM10" s="78"/>
      <c r="ISN10" s="78"/>
      <c r="ISO10" s="78"/>
      <c r="ISP10" s="78"/>
      <c r="ISQ10" s="78"/>
      <c r="ISR10" s="78"/>
      <c r="ISS10" s="78"/>
      <c r="IST10" s="78"/>
      <c r="ISU10" s="78"/>
      <c r="ISV10" s="78"/>
      <c r="ISW10" s="78"/>
      <c r="ISX10" s="78"/>
      <c r="ISY10" s="78"/>
      <c r="ISZ10" s="78"/>
      <c r="ITA10" s="78"/>
      <c r="ITB10" s="78"/>
      <c r="ITC10" s="78"/>
      <c r="ITD10" s="78"/>
      <c r="ITE10" s="78"/>
      <c r="ITF10" s="78"/>
      <c r="ITG10" s="78"/>
      <c r="ITH10" s="78"/>
      <c r="ITI10" s="78"/>
      <c r="ITJ10" s="78"/>
      <c r="ITK10" s="78"/>
      <c r="ITL10" s="78"/>
      <c r="ITM10" s="78"/>
      <c r="ITN10" s="78"/>
      <c r="ITO10" s="78"/>
      <c r="ITP10" s="78"/>
      <c r="ITQ10" s="78"/>
      <c r="ITR10" s="78"/>
      <c r="ITS10" s="78"/>
      <c r="ITT10" s="78"/>
      <c r="ITU10" s="78"/>
      <c r="ITV10" s="78"/>
      <c r="ITW10" s="78"/>
      <c r="ITX10" s="78"/>
      <c r="ITY10" s="78"/>
      <c r="ITZ10" s="78"/>
      <c r="IUA10" s="78"/>
      <c r="IUB10" s="78"/>
      <c r="IUC10" s="78"/>
      <c r="IUD10" s="78"/>
      <c r="IUE10" s="78"/>
      <c r="IUF10" s="78"/>
      <c r="IUG10" s="78"/>
      <c r="IUH10" s="78"/>
      <c r="IUI10" s="78"/>
      <c r="IUJ10" s="78"/>
      <c r="IUK10" s="78"/>
      <c r="IUL10" s="78"/>
      <c r="IUM10" s="78"/>
      <c r="IUN10" s="78"/>
      <c r="IUO10" s="78"/>
      <c r="IUP10" s="78"/>
      <c r="IUQ10" s="78"/>
      <c r="IUR10" s="78"/>
      <c r="IUS10" s="78"/>
      <c r="IUT10" s="78"/>
      <c r="IUU10" s="78"/>
      <c r="IUV10" s="78"/>
      <c r="IUW10" s="78"/>
      <c r="IUX10" s="78"/>
      <c r="IUY10" s="78"/>
      <c r="IUZ10" s="78"/>
      <c r="IVA10" s="78"/>
      <c r="IVB10" s="78"/>
      <c r="IVC10" s="78"/>
      <c r="IVD10" s="78"/>
      <c r="IVE10" s="78"/>
      <c r="IVF10" s="78"/>
      <c r="IVG10" s="78"/>
      <c r="IVH10" s="78"/>
      <c r="IVI10" s="78"/>
      <c r="IVJ10" s="78"/>
      <c r="IVK10" s="78"/>
      <c r="IVL10" s="78"/>
      <c r="IVM10" s="78"/>
      <c r="IVN10" s="78"/>
      <c r="IVO10" s="78"/>
      <c r="IVP10" s="78"/>
      <c r="IVQ10" s="78"/>
      <c r="IVR10" s="78"/>
      <c r="IVS10" s="78"/>
      <c r="IVT10" s="78"/>
      <c r="IVU10" s="78"/>
      <c r="IVV10" s="78"/>
      <c r="IVW10" s="78"/>
      <c r="IVX10" s="78"/>
      <c r="IVY10" s="78"/>
      <c r="IVZ10" s="78"/>
      <c r="IWA10" s="78"/>
      <c r="IWB10" s="78"/>
      <c r="IWC10" s="78"/>
      <c r="IWD10" s="78"/>
      <c r="IWE10" s="78"/>
      <c r="IWF10" s="78"/>
      <c r="IWG10" s="78"/>
      <c r="IWH10" s="78"/>
      <c r="IWI10" s="78"/>
      <c r="IWJ10" s="78"/>
      <c r="IWK10" s="78"/>
      <c r="IWL10" s="78"/>
      <c r="IWM10" s="78"/>
      <c r="IWN10" s="78"/>
      <c r="IWO10" s="78"/>
      <c r="IWP10" s="78"/>
      <c r="IWQ10" s="78"/>
      <c r="IWR10" s="78"/>
      <c r="IWS10" s="78"/>
      <c r="IWT10" s="78"/>
      <c r="IWU10" s="78"/>
      <c r="IWV10" s="78"/>
      <c r="IWW10" s="78"/>
      <c r="IWX10" s="78"/>
      <c r="IWY10" s="78"/>
      <c r="IWZ10" s="78"/>
      <c r="IXA10" s="78"/>
      <c r="IXB10" s="78"/>
      <c r="IXC10" s="78"/>
      <c r="IXD10" s="78"/>
      <c r="IXE10" s="78"/>
      <c r="IXF10" s="78"/>
      <c r="IXG10" s="78"/>
      <c r="IXH10" s="78"/>
      <c r="IXI10" s="78"/>
      <c r="IXJ10" s="78"/>
      <c r="IXK10" s="78"/>
      <c r="IXL10" s="78"/>
      <c r="IXM10" s="78"/>
      <c r="IXN10" s="78"/>
      <c r="IXO10" s="78"/>
      <c r="IXP10" s="78"/>
      <c r="IXQ10" s="78"/>
      <c r="IXR10" s="78"/>
      <c r="IXS10" s="78"/>
      <c r="IXT10" s="78"/>
      <c r="IXU10" s="78"/>
      <c r="IXV10" s="78"/>
      <c r="IXW10" s="78"/>
      <c r="IXX10" s="78"/>
      <c r="IXY10" s="78"/>
      <c r="IXZ10" s="78"/>
      <c r="IYA10" s="78"/>
      <c r="IYB10" s="78"/>
      <c r="IYC10" s="78"/>
      <c r="IYD10" s="78"/>
      <c r="IYE10" s="78"/>
      <c r="IYF10" s="78"/>
      <c r="IYG10" s="78"/>
      <c r="IYH10" s="78"/>
      <c r="IYI10" s="78"/>
      <c r="IYJ10" s="78"/>
      <c r="IYK10" s="78"/>
      <c r="IYL10" s="78"/>
      <c r="IYM10" s="78"/>
      <c r="IYN10" s="78"/>
      <c r="IYO10" s="78"/>
      <c r="IYP10" s="78"/>
      <c r="IYQ10" s="78"/>
      <c r="IYR10" s="78"/>
      <c r="IYS10" s="78"/>
      <c r="IYT10" s="78"/>
      <c r="IYU10" s="78"/>
      <c r="IYV10" s="78"/>
      <c r="IYW10" s="78"/>
      <c r="IYX10" s="78"/>
      <c r="IYY10" s="78"/>
      <c r="IYZ10" s="78"/>
      <c r="IZA10" s="78"/>
      <c r="IZB10" s="78"/>
      <c r="IZC10" s="78"/>
      <c r="IZD10" s="78"/>
      <c r="IZE10" s="78"/>
      <c r="IZF10" s="78"/>
      <c r="IZG10" s="78"/>
      <c r="IZH10" s="78"/>
      <c r="IZI10" s="78"/>
      <c r="IZJ10" s="78"/>
      <c r="IZK10" s="78"/>
      <c r="IZL10" s="78"/>
      <c r="IZM10" s="78"/>
      <c r="IZN10" s="78"/>
      <c r="IZO10" s="78"/>
      <c r="IZP10" s="78"/>
      <c r="IZQ10" s="78"/>
      <c r="IZR10" s="78"/>
      <c r="IZS10" s="78"/>
      <c r="IZT10" s="78"/>
      <c r="IZU10" s="78"/>
      <c r="IZV10" s="78"/>
      <c r="IZW10" s="78"/>
      <c r="IZX10" s="78"/>
      <c r="IZY10" s="78"/>
      <c r="IZZ10" s="78"/>
      <c r="JAA10" s="78"/>
      <c r="JAB10" s="78"/>
      <c r="JAC10" s="78"/>
      <c r="JAD10" s="78"/>
      <c r="JAE10" s="78"/>
      <c r="JAF10" s="78"/>
      <c r="JAG10" s="78"/>
      <c r="JAH10" s="78"/>
      <c r="JAI10" s="78"/>
      <c r="JAJ10" s="78"/>
      <c r="JAK10" s="78"/>
      <c r="JAL10" s="78"/>
      <c r="JAM10" s="78"/>
      <c r="JAN10" s="78"/>
      <c r="JAO10" s="78"/>
      <c r="JAP10" s="78"/>
      <c r="JAQ10" s="78"/>
      <c r="JAR10" s="78"/>
      <c r="JAS10" s="78"/>
      <c r="JAT10" s="78"/>
      <c r="JAU10" s="78"/>
      <c r="JAV10" s="78"/>
      <c r="JAW10" s="78"/>
      <c r="JAX10" s="78"/>
      <c r="JAY10" s="78"/>
      <c r="JAZ10" s="78"/>
      <c r="JBA10" s="78"/>
      <c r="JBB10" s="78"/>
      <c r="JBC10" s="78"/>
      <c r="JBD10" s="78"/>
      <c r="JBE10" s="78"/>
      <c r="JBF10" s="78"/>
      <c r="JBG10" s="78"/>
      <c r="JBH10" s="78"/>
      <c r="JBI10" s="78"/>
      <c r="JBJ10" s="78"/>
      <c r="JBK10" s="78"/>
      <c r="JBL10" s="78"/>
      <c r="JBM10" s="78"/>
      <c r="JBN10" s="78"/>
      <c r="JBO10" s="78"/>
      <c r="JBP10" s="78"/>
      <c r="JBQ10" s="78"/>
      <c r="JBR10" s="78"/>
      <c r="JBS10" s="78"/>
      <c r="JBT10" s="78"/>
      <c r="JBU10" s="78"/>
      <c r="JBV10" s="78"/>
      <c r="JBW10" s="78"/>
      <c r="JBX10" s="78"/>
      <c r="JBY10" s="78"/>
      <c r="JBZ10" s="78"/>
      <c r="JCA10" s="78"/>
      <c r="JCB10" s="78"/>
      <c r="JCC10" s="78"/>
      <c r="JCD10" s="78"/>
      <c r="JCE10" s="78"/>
      <c r="JCF10" s="78"/>
      <c r="JCG10" s="78"/>
      <c r="JCH10" s="78"/>
      <c r="JCI10" s="78"/>
      <c r="JCJ10" s="78"/>
      <c r="JCK10" s="78"/>
      <c r="JCL10" s="78"/>
      <c r="JCM10" s="78"/>
      <c r="JCN10" s="78"/>
      <c r="JCO10" s="78"/>
      <c r="JCP10" s="78"/>
      <c r="JCQ10" s="78"/>
      <c r="JCR10" s="78"/>
      <c r="JCS10" s="78"/>
      <c r="JCT10" s="78"/>
      <c r="JCU10" s="78"/>
      <c r="JCV10" s="78"/>
      <c r="JCW10" s="78"/>
      <c r="JCX10" s="78"/>
      <c r="JCY10" s="78"/>
      <c r="JCZ10" s="78"/>
      <c r="JDA10" s="78"/>
      <c r="JDB10" s="78"/>
      <c r="JDC10" s="78"/>
      <c r="JDD10" s="78"/>
      <c r="JDE10" s="78"/>
      <c r="JDF10" s="78"/>
      <c r="JDG10" s="78"/>
      <c r="JDH10" s="78"/>
      <c r="JDI10" s="78"/>
      <c r="JDJ10" s="78"/>
      <c r="JDK10" s="78"/>
      <c r="JDL10" s="78"/>
      <c r="JDM10" s="78"/>
      <c r="JDN10" s="78"/>
      <c r="JDO10" s="78"/>
      <c r="JDP10" s="78"/>
      <c r="JDQ10" s="78"/>
      <c r="JDR10" s="78"/>
      <c r="JDS10" s="78"/>
      <c r="JDT10" s="78"/>
      <c r="JDU10" s="78"/>
      <c r="JDV10" s="78"/>
      <c r="JDW10" s="78"/>
      <c r="JDX10" s="78"/>
      <c r="JDY10" s="78"/>
      <c r="JDZ10" s="78"/>
      <c r="JEA10" s="78"/>
      <c r="JEB10" s="78"/>
      <c r="JEC10" s="78"/>
      <c r="JED10" s="78"/>
      <c r="JEE10" s="78"/>
      <c r="JEF10" s="78"/>
      <c r="JEG10" s="78"/>
      <c r="JEH10" s="78"/>
      <c r="JEI10" s="78"/>
      <c r="JEJ10" s="78"/>
      <c r="JEK10" s="78"/>
      <c r="JEL10" s="78"/>
      <c r="JEM10" s="78"/>
      <c r="JEN10" s="78"/>
      <c r="JEO10" s="78"/>
      <c r="JEP10" s="78"/>
      <c r="JEQ10" s="78"/>
      <c r="JER10" s="78"/>
      <c r="JES10" s="78"/>
      <c r="JET10" s="78"/>
      <c r="JEU10" s="78"/>
      <c r="JEV10" s="78"/>
      <c r="JEW10" s="78"/>
      <c r="JEX10" s="78"/>
      <c r="JEY10" s="78"/>
      <c r="JEZ10" s="78"/>
      <c r="JFA10" s="78"/>
      <c r="JFB10" s="78"/>
      <c r="JFC10" s="78"/>
      <c r="JFD10" s="78"/>
      <c r="JFE10" s="78"/>
      <c r="JFF10" s="78"/>
      <c r="JFG10" s="78"/>
      <c r="JFH10" s="78"/>
      <c r="JFI10" s="78"/>
      <c r="JFJ10" s="78"/>
      <c r="JFK10" s="78"/>
      <c r="JFL10" s="78"/>
      <c r="JFM10" s="78"/>
      <c r="JFN10" s="78"/>
      <c r="JFO10" s="78"/>
      <c r="JFP10" s="78"/>
      <c r="JFQ10" s="78"/>
      <c r="JFR10" s="78"/>
      <c r="JFS10" s="78"/>
      <c r="JFT10" s="78"/>
      <c r="JFU10" s="78"/>
      <c r="JFV10" s="78"/>
      <c r="JFW10" s="78"/>
      <c r="JFX10" s="78"/>
      <c r="JFY10" s="78"/>
      <c r="JFZ10" s="78"/>
      <c r="JGA10" s="78"/>
      <c r="JGB10" s="78"/>
      <c r="JGC10" s="78"/>
      <c r="JGD10" s="78"/>
      <c r="JGE10" s="78"/>
      <c r="JGF10" s="78"/>
      <c r="JGG10" s="78"/>
      <c r="JGH10" s="78"/>
      <c r="JGI10" s="78"/>
      <c r="JGJ10" s="78"/>
      <c r="JGK10" s="78"/>
      <c r="JGL10" s="78"/>
      <c r="JGM10" s="78"/>
      <c r="JGN10" s="78"/>
      <c r="JGO10" s="78"/>
      <c r="JGP10" s="78"/>
      <c r="JGQ10" s="78"/>
      <c r="JGR10" s="78"/>
      <c r="JGS10" s="78"/>
      <c r="JGT10" s="78"/>
      <c r="JGU10" s="78"/>
      <c r="JGV10" s="78"/>
      <c r="JGW10" s="78"/>
      <c r="JGX10" s="78"/>
      <c r="JGY10" s="78"/>
      <c r="JGZ10" s="78"/>
      <c r="JHA10" s="78"/>
      <c r="JHB10" s="78"/>
      <c r="JHC10" s="78"/>
      <c r="JHD10" s="78"/>
      <c r="JHE10" s="78"/>
      <c r="JHF10" s="78"/>
      <c r="JHG10" s="78"/>
      <c r="JHH10" s="78"/>
      <c r="JHI10" s="78"/>
      <c r="JHJ10" s="78"/>
      <c r="JHK10" s="78"/>
      <c r="JHL10" s="78"/>
      <c r="JHM10" s="78"/>
      <c r="JHN10" s="78"/>
      <c r="JHO10" s="78"/>
      <c r="JHP10" s="78"/>
      <c r="JHQ10" s="78"/>
      <c r="JHR10" s="78"/>
      <c r="JHS10" s="78"/>
      <c r="JHT10" s="78"/>
      <c r="JHU10" s="78"/>
      <c r="JHV10" s="78"/>
      <c r="JHW10" s="78"/>
      <c r="JHX10" s="78"/>
      <c r="JHY10" s="78"/>
      <c r="JHZ10" s="78"/>
      <c r="JIA10" s="78"/>
      <c r="JIB10" s="78"/>
      <c r="JIC10" s="78"/>
      <c r="JID10" s="78"/>
      <c r="JIE10" s="78"/>
      <c r="JIF10" s="78"/>
      <c r="JIG10" s="78"/>
      <c r="JIH10" s="78"/>
      <c r="JII10" s="78"/>
      <c r="JIJ10" s="78"/>
      <c r="JIK10" s="78"/>
      <c r="JIL10" s="78"/>
      <c r="JIM10" s="78"/>
      <c r="JIN10" s="78"/>
      <c r="JIO10" s="78"/>
      <c r="JIP10" s="78"/>
      <c r="JIQ10" s="78"/>
      <c r="JIR10" s="78"/>
      <c r="JIS10" s="78"/>
      <c r="JIT10" s="78"/>
      <c r="JIU10" s="78"/>
      <c r="JIV10" s="78"/>
      <c r="JIW10" s="78"/>
      <c r="JIX10" s="78"/>
      <c r="JIY10" s="78"/>
      <c r="JIZ10" s="78"/>
      <c r="JJA10" s="78"/>
      <c r="JJB10" s="78"/>
      <c r="JJC10" s="78"/>
      <c r="JJD10" s="78"/>
      <c r="JJE10" s="78"/>
      <c r="JJF10" s="78"/>
      <c r="JJG10" s="78"/>
      <c r="JJH10" s="78"/>
      <c r="JJI10" s="78"/>
      <c r="JJJ10" s="78"/>
      <c r="JJK10" s="78"/>
      <c r="JJL10" s="78"/>
      <c r="JJM10" s="78"/>
      <c r="JJN10" s="78"/>
      <c r="JJO10" s="78"/>
      <c r="JJP10" s="78"/>
      <c r="JJQ10" s="78"/>
      <c r="JJR10" s="78"/>
      <c r="JJS10" s="78"/>
      <c r="JJT10" s="78"/>
      <c r="JJU10" s="78"/>
      <c r="JJV10" s="78"/>
      <c r="JJW10" s="78"/>
      <c r="JJX10" s="78"/>
      <c r="JJY10" s="78"/>
      <c r="JJZ10" s="78"/>
      <c r="JKA10" s="78"/>
      <c r="JKB10" s="78"/>
      <c r="JKC10" s="78"/>
      <c r="JKD10" s="78"/>
      <c r="JKE10" s="78"/>
      <c r="JKF10" s="78"/>
      <c r="JKG10" s="78"/>
      <c r="JKH10" s="78"/>
      <c r="JKI10" s="78"/>
      <c r="JKJ10" s="78"/>
      <c r="JKK10" s="78"/>
      <c r="JKL10" s="78"/>
      <c r="JKM10" s="78"/>
      <c r="JKN10" s="78"/>
      <c r="JKO10" s="78"/>
      <c r="JKP10" s="78"/>
      <c r="JKQ10" s="78"/>
      <c r="JKR10" s="78"/>
      <c r="JKS10" s="78"/>
      <c r="JKT10" s="78"/>
      <c r="JKU10" s="78"/>
      <c r="JKV10" s="78"/>
      <c r="JKW10" s="78"/>
      <c r="JKX10" s="78"/>
      <c r="JKY10" s="78"/>
      <c r="JKZ10" s="78"/>
      <c r="JLA10" s="78"/>
      <c r="JLB10" s="78"/>
      <c r="JLC10" s="78"/>
      <c r="JLD10" s="78"/>
      <c r="JLE10" s="78"/>
      <c r="JLF10" s="78"/>
      <c r="JLG10" s="78"/>
      <c r="JLH10" s="78"/>
      <c r="JLI10" s="78"/>
      <c r="JLJ10" s="78"/>
      <c r="JLK10" s="78"/>
      <c r="JLL10" s="78"/>
      <c r="JLM10" s="78"/>
      <c r="JLN10" s="78"/>
      <c r="JLO10" s="78"/>
      <c r="JLP10" s="78"/>
      <c r="JLQ10" s="78"/>
      <c r="JLR10" s="78"/>
      <c r="JLS10" s="78"/>
      <c r="JLT10" s="78"/>
      <c r="JLU10" s="78"/>
      <c r="JLV10" s="78"/>
      <c r="JLW10" s="78"/>
      <c r="JLX10" s="78"/>
      <c r="JLY10" s="78"/>
      <c r="JLZ10" s="78"/>
      <c r="JMA10" s="78"/>
      <c r="JMB10" s="78"/>
      <c r="JMC10" s="78"/>
      <c r="JMD10" s="78"/>
      <c r="JME10" s="78"/>
      <c r="JMF10" s="78"/>
      <c r="JMG10" s="78"/>
      <c r="JMH10" s="78"/>
      <c r="JMI10" s="78"/>
      <c r="JMJ10" s="78"/>
      <c r="JMK10" s="78"/>
      <c r="JML10" s="78"/>
      <c r="JMM10" s="78"/>
      <c r="JMN10" s="78"/>
      <c r="JMO10" s="78"/>
      <c r="JMP10" s="78"/>
      <c r="JMQ10" s="78"/>
      <c r="JMR10" s="78"/>
      <c r="JMS10" s="78"/>
      <c r="JMT10" s="78"/>
      <c r="JMU10" s="78"/>
      <c r="JMV10" s="78"/>
      <c r="JMW10" s="78"/>
      <c r="JMX10" s="78"/>
      <c r="JMY10" s="78"/>
      <c r="JMZ10" s="78"/>
      <c r="JNA10" s="78"/>
      <c r="JNB10" s="78"/>
      <c r="JNC10" s="78"/>
      <c r="JND10" s="78"/>
      <c r="JNE10" s="78"/>
      <c r="JNF10" s="78"/>
      <c r="JNG10" s="78"/>
      <c r="JNH10" s="78"/>
      <c r="JNI10" s="78"/>
      <c r="JNJ10" s="78"/>
      <c r="JNK10" s="78"/>
      <c r="JNL10" s="78"/>
      <c r="JNM10" s="78"/>
      <c r="JNN10" s="78"/>
      <c r="JNO10" s="78"/>
      <c r="JNP10" s="78"/>
      <c r="JNQ10" s="78"/>
      <c r="JNR10" s="78"/>
      <c r="JNS10" s="78"/>
      <c r="JNT10" s="78"/>
      <c r="JNU10" s="78"/>
      <c r="JNV10" s="78"/>
      <c r="JNW10" s="78"/>
      <c r="JNX10" s="78"/>
      <c r="JNY10" s="78"/>
      <c r="JNZ10" s="78"/>
      <c r="JOA10" s="78"/>
      <c r="JOB10" s="78"/>
      <c r="JOC10" s="78"/>
      <c r="JOD10" s="78"/>
      <c r="JOE10" s="78"/>
      <c r="JOF10" s="78"/>
      <c r="JOG10" s="78"/>
      <c r="JOH10" s="78"/>
      <c r="JOI10" s="78"/>
      <c r="JOJ10" s="78"/>
      <c r="JOK10" s="78"/>
      <c r="JOL10" s="78"/>
      <c r="JOM10" s="78"/>
      <c r="JON10" s="78"/>
      <c r="JOO10" s="78"/>
      <c r="JOP10" s="78"/>
      <c r="JOQ10" s="78"/>
      <c r="JOR10" s="78"/>
      <c r="JOS10" s="78"/>
      <c r="JOT10" s="78"/>
      <c r="JOU10" s="78"/>
      <c r="JOV10" s="78"/>
      <c r="JOW10" s="78"/>
      <c r="JOX10" s="78"/>
      <c r="JOY10" s="78"/>
      <c r="JOZ10" s="78"/>
      <c r="JPA10" s="78"/>
      <c r="JPB10" s="78"/>
      <c r="JPC10" s="78"/>
      <c r="JPD10" s="78"/>
      <c r="JPE10" s="78"/>
      <c r="JPF10" s="78"/>
      <c r="JPG10" s="78"/>
      <c r="JPH10" s="78"/>
      <c r="JPI10" s="78"/>
      <c r="JPJ10" s="78"/>
      <c r="JPK10" s="78"/>
      <c r="JPL10" s="78"/>
      <c r="JPM10" s="78"/>
      <c r="JPN10" s="78"/>
      <c r="JPO10" s="78"/>
      <c r="JPP10" s="78"/>
      <c r="JPQ10" s="78"/>
      <c r="JPR10" s="78"/>
      <c r="JPS10" s="78"/>
      <c r="JPT10" s="78"/>
      <c r="JPU10" s="78"/>
      <c r="JPV10" s="78"/>
      <c r="JPW10" s="78"/>
      <c r="JPX10" s="78"/>
      <c r="JPY10" s="78"/>
      <c r="JPZ10" s="78"/>
      <c r="JQA10" s="78"/>
      <c r="JQB10" s="78"/>
      <c r="JQC10" s="78"/>
      <c r="JQD10" s="78"/>
      <c r="JQE10" s="78"/>
      <c r="JQF10" s="78"/>
      <c r="JQG10" s="78"/>
      <c r="JQH10" s="78"/>
      <c r="JQI10" s="78"/>
      <c r="JQJ10" s="78"/>
      <c r="JQK10" s="78"/>
      <c r="JQL10" s="78"/>
      <c r="JQM10" s="78"/>
      <c r="JQN10" s="78"/>
      <c r="JQO10" s="78"/>
      <c r="JQP10" s="78"/>
      <c r="JQQ10" s="78"/>
      <c r="JQR10" s="78"/>
      <c r="JQS10" s="78"/>
      <c r="JQT10" s="78"/>
      <c r="JQU10" s="78"/>
      <c r="JQV10" s="78"/>
      <c r="JQW10" s="78"/>
      <c r="JQX10" s="78"/>
      <c r="JQY10" s="78"/>
      <c r="JQZ10" s="78"/>
      <c r="JRA10" s="78"/>
      <c r="JRB10" s="78"/>
      <c r="JRC10" s="78"/>
      <c r="JRD10" s="78"/>
      <c r="JRE10" s="78"/>
      <c r="JRF10" s="78"/>
      <c r="JRG10" s="78"/>
      <c r="JRH10" s="78"/>
      <c r="JRI10" s="78"/>
      <c r="JRJ10" s="78"/>
      <c r="JRK10" s="78"/>
      <c r="JRL10" s="78"/>
      <c r="JRM10" s="78"/>
      <c r="JRN10" s="78"/>
      <c r="JRO10" s="78"/>
      <c r="JRP10" s="78"/>
      <c r="JRQ10" s="78"/>
      <c r="JRR10" s="78"/>
      <c r="JRS10" s="78"/>
      <c r="JRT10" s="78"/>
      <c r="JRU10" s="78"/>
      <c r="JRV10" s="78"/>
      <c r="JRW10" s="78"/>
      <c r="JRX10" s="78"/>
      <c r="JRY10" s="78"/>
      <c r="JRZ10" s="78"/>
      <c r="JSA10" s="78"/>
      <c r="JSB10" s="78"/>
      <c r="JSC10" s="78"/>
      <c r="JSD10" s="78"/>
      <c r="JSE10" s="78"/>
      <c r="JSF10" s="78"/>
      <c r="JSG10" s="78"/>
      <c r="JSH10" s="78"/>
      <c r="JSI10" s="78"/>
      <c r="JSJ10" s="78"/>
      <c r="JSK10" s="78"/>
      <c r="JSL10" s="78"/>
      <c r="JSM10" s="78"/>
      <c r="JSN10" s="78"/>
      <c r="JSO10" s="78"/>
      <c r="JSP10" s="78"/>
      <c r="JSQ10" s="78"/>
      <c r="JSR10" s="78"/>
      <c r="JSS10" s="78"/>
      <c r="JST10" s="78"/>
      <c r="JSU10" s="78"/>
      <c r="JSV10" s="78"/>
      <c r="JSW10" s="78"/>
      <c r="JSX10" s="78"/>
      <c r="JSY10" s="78"/>
      <c r="JSZ10" s="78"/>
      <c r="JTA10" s="78"/>
      <c r="JTB10" s="78"/>
      <c r="JTC10" s="78"/>
      <c r="JTD10" s="78"/>
      <c r="JTE10" s="78"/>
      <c r="JTF10" s="78"/>
      <c r="JTG10" s="78"/>
      <c r="JTH10" s="78"/>
      <c r="JTI10" s="78"/>
      <c r="JTJ10" s="78"/>
      <c r="JTK10" s="78"/>
      <c r="JTL10" s="78"/>
      <c r="JTM10" s="78"/>
      <c r="JTN10" s="78"/>
      <c r="JTO10" s="78"/>
      <c r="JTP10" s="78"/>
      <c r="JTQ10" s="78"/>
      <c r="JTR10" s="78"/>
      <c r="JTS10" s="78"/>
      <c r="JTT10" s="78"/>
      <c r="JTU10" s="78"/>
      <c r="JTV10" s="78"/>
      <c r="JTW10" s="78"/>
      <c r="JTX10" s="78"/>
      <c r="JTY10" s="78"/>
      <c r="JTZ10" s="78"/>
      <c r="JUA10" s="78"/>
      <c r="JUB10" s="78"/>
      <c r="JUC10" s="78"/>
      <c r="JUD10" s="78"/>
      <c r="JUE10" s="78"/>
      <c r="JUF10" s="78"/>
      <c r="JUG10" s="78"/>
      <c r="JUH10" s="78"/>
      <c r="JUI10" s="78"/>
      <c r="JUJ10" s="78"/>
      <c r="JUK10" s="78"/>
      <c r="JUL10" s="78"/>
      <c r="JUM10" s="78"/>
      <c r="JUN10" s="78"/>
      <c r="JUO10" s="78"/>
      <c r="JUP10" s="78"/>
      <c r="JUQ10" s="78"/>
      <c r="JUR10" s="78"/>
      <c r="JUS10" s="78"/>
      <c r="JUT10" s="78"/>
      <c r="JUU10" s="78"/>
      <c r="JUV10" s="78"/>
      <c r="JUW10" s="78"/>
      <c r="JUX10" s="78"/>
      <c r="JUY10" s="78"/>
      <c r="JUZ10" s="78"/>
      <c r="JVA10" s="78"/>
      <c r="JVB10" s="78"/>
      <c r="JVC10" s="78"/>
      <c r="JVD10" s="78"/>
      <c r="JVE10" s="78"/>
      <c r="JVF10" s="78"/>
      <c r="JVG10" s="78"/>
      <c r="JVH10" s="78"/>
      <c r="JVI10" s="78"/>
      <c r="JVJ10" s="78"/>
      <c r="JVK10" s="78"/>
      <c r="JVL10" s="78"/>
      <c r="JVM10" s="78"/>
      <c r="JVN10" s="78"/>
      <c r="JVO10" s="78"/>
      <c r="JVP10" s="78"/>
      <c r="JVQ10" s="78"/>
      <c r="JVR10" s="78"/>
      <c r="JVS10" s="78"/>
      <c r="JVT10" s="78"/>
      <c r="JVU10" s="78"/>
      <c r="JVV10" s="78"/>
      <c r="JVW10" s="78"/>
      <c r="JVX10" s="78"/>
      <c r="JVY10" s="78"/>
      <c r="JVZ10" s="78"/>
      <c r="JWA10" s="78"/>
      <c r="JWB10" s="78"/>
      <c r="JWC10" s="78"/>
      <c r="JWD10" s="78"/>
      <c r="JWE10" s="78"/>
      <c r="JWF10" s="78"/>
      <c r="JWG10" s="78"/>
      <c r="JWH10" s="78"/>
      <c r="JWI10" s="78"/>
      <c r="JWJ10" s="78"/>
      <c r="JWK10" s="78"/>
      <c r="JWL10" s="78"/>
      <c r="JWM10" s="78"/>
      <c r="JWN10" s="78"/>
      <c r="JWO10" s="78"/>
      <c r="JWP10" s="78"/>
      <c r="JWQ10" s="78"/>
      <c r="JWR10" s="78"/>
      <c r="JWS10" s="78"/>
      <c r="JWT10" s="78"/>
      <c r="JWU10" s="78"/>
      <c r="JWV10" s="78"/>
      <c r="JWW10" s="78"/>
      <c r="JWX10" s="78"/>
      <c r="JWY10" s="78"/>
      <c r="JWZ10" s="78"/>
      <c r="JXA10" s="78"/>
      <c r="JXB10" s="78"/>
      <c r="JXC10" s="78"/>
      <c r="JXD10" s="78"/>
      <c r="JXE10" s="78"/>
      <c r="JXF10" s="78"/>
      <c r="JXG10" s="78"/>
      <c r="JXH10" s="78"/>
      <c r="JXI10" s="78"/>
      <c r="JXJ10" s="78"/>
      <c r="JXK10" s="78"/>
      <c r="JXL10" s="78"/>
      <c r="JXM10" s="78"/>
      <c r="JXN10" s="78"/>
      <c r="JXO10" s="78"/>
      <c r="JXP10" s="78"/>
      <c r="JXQ10" s="78"/>
      <c r="JXR10" s="78"/>
      <c r="JXS10" s="78"/>
      <c r="JXT10" s="78"/>
      <c r="JXU10" s="78"/>
      <c r="JXV10" s="78"/>
      <c r="JXW10" s="78"/>
      <c r="JXX10" s="78"/>
      <c r="JXY10" s="78"/>
      <c r="JXZ10" s="78"/>
      <c r="JYA10" s="78"/>
      <c r="JYB10" s="78"/>
      <c r="JYC10" s="78"/>
      <c r="JYD10" s="78"/>
      <c r="JYE10" s="78"/>
      <c r="JYF10" s="78"/>
      <c r="JYG10" s="78"/>
      <c r="JYH10" s="78"/>
      <c r="JYI10" s="78"/>
      <c r="JYJ10" s="78"/>
      <c r="JYK10" s="78"/>
      <c r="JYL10" s="78"/>
      <c r="JYM10" s="78"/>
      <c r="JYN10" s="78"/>
      <c r="JYO10" s="78"/>
      <c r="JYP10" s="78"/>
      <c r="JYQ10" s="78"/>
      <c r="JYR10" s="78"/>
      <c r="JYS10" s="78"/>
      <c r="JYT10" s="78"/>
      <c r="JYU10" s="78"/>
      <c r="JYV10" s="78"/>
      <c r="JYW10" s="78"/>
      <c r="JYX10" s="78"/>
      <c r="JYY10" s="78"/>
      <c r="JYZ10" s="78"/>
      <c r="JZA10" s="78"/>
      <c r="JZB10" s="78"/>
      <c r="JZC10" s="78"/>
      <c r="JZD10" s="78"/>
      <c r="JZE10" s="78"/>
      <c r="JZF10" s="78"/>
      <c r="JZG10" s="78"/>
      <c r="JZH10" s="78"/>
      <c r="JZI10" s="78"/>
      <c r="JZJ10" s="78"/>
      <c r="JZK10" s="78"/>
      <c r="JZL10" s="78"/>
      <c r="JZM10" s="78"/>
      <c r="JZN10" s="78"/>
      <c r="JZO10" s="78"/>
      <c r="JZP10" s="78"/>
      <c r="JZQ10" s="78"/>
      <c r="JZR10" s="78"/>
      <c r="JZS10" s="78"/>
      <c r="JZT10" s="78"/>
      <c r="JZU10" s="78"/>
      <c r="JZV10" s="78"/>
      <c r="JZW10" s="78"/>
      <c r="JZX10" s="78"/>
      <c r="JZY10" s="78"/>
      <c r="JZZ10" s="78"/>
      <c r="KAA10" s="78"/>
      <c r="KAB10" s="78"/>
      <c r="KAC10" s="78"/>
      <c r="KAD10" s="78"/>
      <c r="KAE10" s="78"/>
      <c r="KAF10" s="78"/>
      <c r="KAG10" s="78"/>
      <c r="KAH10" s="78"/>
      <c r="KAI10" s="78"/>
      <c r="KAJ10" s="78"/>
      <c r="KAK10" s="78"/>
      <c r="KAL10" s="78"/>
      <c r="KAM10" s="78"/>
      <c r="KAN10" s="78"/>
      <c r="KAO10" s="78"/>
      <c r="KAP10" s="78"/>
      <c r="KAQ10" s="78"/>
      <c r="KAR10" s="78"/>
      <c r="KAS10" s="78"/>
      <c r="KAT10" s="78"/>
      <c r="KAU10" s="78"/>
      <c r="KAV10" s="78"/>
      <c r="KAW10" s="78"/>
      <c r="KAX10" s="78"/>
      <c r="KAY10" s="78"/>
      <c r="KAZ10" s="78"/>
      <c r="KBA10" s="78"/>
      <c r="KBB10" s="78"/>
      <c r="KBC10" s="78"/>
      <c r="KBD10" s="78"/>
      <c r="KBE10" s="78"/>
      <c r="KBF10" s="78"/>
      <c r="KBG10" s="78"/>
      <c r="KBH10" s="78"/>
      <c r="KBI10" s="78"/>
      <c r="KBJ10" s="78"/>
      <c r="KBK10" s="78"/>
      <c r="KBL10" s="78"/>
      <c r="KBM10" s="78"/>
      <c r="KBN10" s="78"/>
      <c r="KBO10" s="78"/>
      <c r="KBP10" s="78"/>
      <c r="KBQ10" s="78"/>
      <c r="KBR10" s="78"/>
      <c r="KBS10" s="78"/>
      <c r="KBT10" s="78"/>
      <c r="KBU10" s="78"/>
      <c r="KBV10" s="78"/>
      <c r="KBW10" s="78"/>
      <c r="KBX10" s="78"/>
      <c r="KBY10" s="78"/>
      <c r="KBZ10" s="78"/>
      <c r="KCA10" s="78"/>
      <c r="KCB10" s="78"/>
      <c r="KCC10" s="78"/>
      <c r="KCD10" s="78"/>
      <c r="KCE10" s="78"/>
      <c r="KCF10" s="78"/>
      <c r="KCG10" s="78"/>
      <c r="KCH10" s="78"/>
      <c r="KCI10" s="78"/>
      <c r="KCJ10" s="78"/>
      <c r="KCK10" s="78"/>
      <c r="KCL10" s="78"/>
      <c r="KCM10" s="78"/>
      <c r="KCN10" s="78"/>
      <c r="KCO10" s="78"/>
      <c r="KCP10" s="78"/>
      <c r="KCQ10" s="78"/>
      <c r="KCR10" s="78"/>
      <c r="KCS10" s="78"/>
      <c r="KCT10" s="78"/>
      <c r="KCU10" s="78"/>
      <c r="KCV10" s="78"/>
      <c r="KCW10" s="78"/>
      <c r="KCX10" s="78"/>
      <c r="KCY10" s="78"/>
      <c r="KCZ10" s="78"/>
      <c r="KDA10" s="78"/>
      <c r="KDB10" s="78"/>
      <c r="KDC10" s="78"/>
      <c r="KDD10" s="78"/>
      <c r="KDE10" s="78"/>
      <c r="KDF10" s="78"/>
      <c r="KDG10" s="78"/>
      <c r="KDH10" s="78"/>
      <c r="KDI10" s="78"/>
      <c r="KDJ10" s="78"/>
      <c r="KDK10" s="78"/>
      <c r="KDL10" s="78"/>
      <c r="KDM10" s="78"/>
      <c r="KDN10" s="78"/>
      <c r="KDO10" s="78"/>
      <c r="KDP10" s="78"/>
      <c r="KDQ10" s="78"/>
      <c r="KDR10" s="78"/>
      <c r="KDS10" s="78"/>
      <c r="KDT10" s="78"/>
      <c r="KDU10" s="78"/>
      <c r="KDV10" s="78"/>
      <c r="KDW10" s="78"/>
      <c r="KDX10" s="78"/>
      <c r="KDY10" s="78"/>
      <c r="KDZ10" s="78"/>
      <c r="KEA10" s="78"/>
      <c r="KEB10" s="78"/>
      <c r="KEC10" s="78"/>
      <c r="KED10" s="78"/>
      <c r="KEE10" s="78"/>
      <c r="KEF10" s="78"/>
      <c r="KEG10" s="78"/>
      <c r="KEH10" s="78"/>
      <c r="KEI10" s="78"/>
      <c r="KEJ10" s="78"/>
      <c r="KEK10" s="78"/>
      <c r="KEL10" s="78"/>
      <c r="KEM10" s="78"/>
      <c r="KEN10" s="78"/>
      <c r="KEO10" s="78"/>
      <c r="KEP10" s="78"/>
      <c r="KEQ10" s="78"/>
      <c r="KER10" s="78"/>
      <c r="KES10" s="78"/>
      <c r="KET10" s="78"/>
      <c r="KEU10" s="78"/>
      <c r="KEV10" s="78"/>
      <c r="KEW10" s="78"/>
      <c r="KEX10" s="78"/>
      <c r="KEY10" s="78"/>
      <c r="KEZ10" s="78"/>
      <c r="KFA10" s="78"/>
      <c r="KFB10" s="78"/>
      <c r="KFC10" s="78"/>
      <c r="KFD10" s="78"/>
      <c r="KFE10" s="78"/>
      <c r="KFF10" s="78"/>
      <c r="KFG10" s="78"/>
      <c r="KFH10" s="78"/>
      <c r="KFI10" s="78"/>
      <c r="KFJ10" s="78"/>
      <c r="KFK10" s="78"/>
      <c r="KFL10" s="78"/>
      <c r="KFM10" s="78"/>
      <c r="KFN10" s="78"/>
      <c r="KFO10" s="78"/>
      <c r="KFP10" s="78"/>
      <c r="KFQ10" s="78"/>
      <c r="KFR10" s="78"/>
      <c r="KFS10" s="78"/>
      <c r="KFT10" s="78"/>
      <c r="KFU10" s="78"/>
      <c r="KFV10" s="78"/>
      <c r="KFW10" s="78"/>
      <c r="KFX10" s="78"/>
      <c r="KFY10" s="78"/>
      <c r="KFZ10" s="78"/>
      <c r="KGA10" s="78"/>
      <c r="KGB10" s="78"/>
      <c r="KGC10" s="78"/>
      <c r="KGD10" s="78"/>
      <c r="KGE10" s="78"/>
      <c r="KGF10" s="78"/>
      <c r="KGG10" s="78"/>
      <c r="KGH10" s="78"/>
      <c r="KGI10" s="78"/>
      <c r="KGJ10" s="78"/>
      <c r="KGK10" s="78"/>
      <c r="KGL10" s="78"/>
      <c r="KGM10" s="78"/>
      <c r="KGN10" s="78"/>
      <c r="KGO10" s="78"/>
      <c r="KGP10" s="78"/>
      <c r="KGQ10" s="78"/>
      <c r="KGR10" s="78"/>
      <c r="KGS10" s="78"/>
      <c r="KGT10" s="78"/>
      <c r="KGU10" s="78"/>
      <c r="KGV10" s="78"/>
      <c r="KGW10" s="78"/>
      <c r="KGX10" s="78"/>
      <c r="KGY10" s="78"/>
      <c r="KGZ10" s="78"/>
      <c r="KHA10" s="78"/>
      <c r="KHB10" s="78"/>
      <c r="KHC10" s="78"/>
      <c r="KHD10" s="78"/>
      <c r="KHE10" s="78"/>
      <c r="KHF10" s="78"/>
      <c r="KHG10" s="78"/>
      <c r="KHH10" s="78"/>
      <c r="KHI10" s="78"/>
      <c r="KHJ10" s="78"/>
      <c r="KHK10" s="78"/>
      <c r="KHL10" s="78"/>
      <c r="KHM10" s="78"/>
      <c r="KHN10" s="78"/>
      <c r="KHO10" s="78"/>
      <c r="KHP10" s="78"/>
      <c r="KHQ10" s="78"/>
      <c r="KHR10" s="78"/>
      <c r="KHS10" s="78"/>
      <c r="KHT10" s="78"/>
      <c r="KHU10" s="78"/>
      <c r="KHV10" s="78"/>
      <c r="KHW10" s="78"/>
      <c r="KHX10" s="78"/>
      <c r="KHY10" s="78"/>
      <c r="KHZ10" s="78"/>
      <c r="KIA10" s="78"/>
      <c r="KIB10" s="78"/>
      <c r="KIC10" s="78"/>
      <c r="KID10" s="78"/>
      <c r="KIE10" s="78"/>
      <c r="KIF10" s="78"/>
      <c r="KIG10" s="78"/>
      <c r="KIH10" s="78"/>
      <c r="KII10" s="78"/>
      <c r="KIJ10" s="78"/>
      <c r="KIK10" s="78"/>
      <c r="KIL10" s="78"/>
      <c r="KIM10" s="78"/>
      <c r="KIN10" s="78"/>
      <c r="KIO10" s="78"/>
      <c r="KIP10" s="78"/>
      <c r="KIQ10" s="78"/>
      <c r="KIR10" s="78"/>
      <c r="KIS10" s="78"/>
      <c r="KIT10" s="78"/>
      <c r="KIU10" s="78"/>
      <c r="KIV10" s="78"/>
      <c r="KIW10" s="78"/>
      <c r="KIX10" s="78"/>
      <c r="KIY10" s="78"/>
      <c r="KIZ10" s="78"/>
      <c r="KJA10" s="78"/>
      <c r="KJB10" s="78"/>
      <c r="KJC10" s="78"/>
      <c r="KJD10" s="78"/>
      <c r="KJE10" s="78"/>
      <c r="KJF10" s="78"/>
      <c r="KJG10" s="78"/>
      <c r="KJH10" s="78"/>
      <c r="KJI10" s="78"/>
      <c r="KJJ10" s="78"/>
      <c r="KJK10" s="78"/>
      <c r="KJL10" s="78"/>
      <c r="KJM10" s="78"/>
      <c r="KJN10" s="78"/>
      <c r="KJO10" s="78"/>
      <c r="KJP10" s="78"/>
      <c r="KJQ10" s="78"/>
      <c r="KJR10" s="78"/>
      <c r="KJS10" s="78"/>
      <c r="KJT10" s="78"/>
      <c r="KJU10" s="78"/>
      <c r="KJV10" s="78"/>
      <c r="KJW10" s="78"/>
      <c r="KJX10" s="78"/>
      <c r="KJY10" s="78"/>
      <c r="KJZ10" s="78"/>
      <c r="KKA10" s="78"/>
      <c r="KKB10" s="78"/>
      <c r="KKC10" s="78"/>
      <c r="KKD10" s="78"/>
      <c r="KKE10" s="78"/>
      <c r="KKF10" s="78"/>
      <c r="KKG10" s="78"/>
      <c r="KKH10" s="78"/>
      <c r="KKI10" s="78"/>
      <c r="KKJ10" s="78"/>
      <c r="KKK10" s="78"/>
      <c r="KKL10" s="78"/>
      <c r="KKM10" s="78"/>
      <c r="KKN10" s="78"/>
      <c r="KKO10" s="78"/>
      <c r="KKP10" s="78"/>
      <c r="KKQ10" s="78"/>
      <c r="KKR10" s="78"/>
      <c r="KKS10" s="78"/>
      <c r="KKT10" s="78"/>
      <c r="KKU10" s="78"/>
      <c r="KKV10" s="78"/>
      <c r="KKW10" s="78"/>
      <c r="KKX10" s="78"/>
      <c r="KKY10" s="78"/>
      <c r="KKZ10" s="78"/>
      <c r="KLA10" s="78"/>
      <c r="KLB10" s="78"/>
      <c r="KLC10" s="78"/>
      <c r="KLD10" s="78"/>
      <c r="KLE10" s="78"/>
      <c r="KLF10" s="78"/>
      <c r="KLG10" s="78"/>
      <c r="KLH10" s="78"/>
      <c r="KLI10" s="78"/>
      <c r="KLJ10" s="78"/>
      <c r="KLK10" s="78"/>
      <c r="KLL10" s="78"/>
      <c r="KLM10" s="78"/>
      <c r="KLN10" s="78"/>
      <c r="KLO10" s="78"/>
      <c r="KLP10" s="78"/>
      <c r="KLQ10" s="78"/>
      <c r="KLR10" s="78"/>
      <c r="KLS10" s="78"/>
      <c r="KLT10" s="78"/>
      <c r="KLU10" s="78"/>
      <c r="KLV10" s="78"/>
      <c r="KLW10" s="78"/>
      <c r="KLX10" s="78"/>
      <c r="KLY10" s="78"/>
      <c r="KLZ10" s="78"/>
      <c r="KMA10" s="78"/>
      <c r="KMB10" s="78"/>
      <c r="KMC10" s="78"/>
      <c r="KMD10" s="78"/>
      <c r="KME10" s="78"/>
      <c r="KMF10" s="78"/>
      <c r="KMG10" s="78"/>
      <c r="KMH10" s="78"/>
      <c r="KMI10" s="78"/>
      <c r="KMJ10" s="78"/>
      <c r="KMK10" s="78"/>
      <c r="KML10" s="78"/>
      <c r="KMM10" s="78"/>
      <c r="KMN10" s="78"/>
      <c r="KMO10" s="78"/>
      <c r="KMP10" s="78"/>
      <c r="KMQ10" s="78"/>
      <c r="KMR10" s="78"/>
      <c r="KMS10" s="78"/>
      <c r="KMT10" s="78"/>
      <c r="KMU10" s="78"/>
      <c r="KMV10" s="78"/>
      <c r="KMW10" s="78"/>
      <c r="KMX10" s="78"/>
      <c r="KMY10" s="78"/>
      <c r="KMZ10" s="78"/>
      <c r="KNA10" s="78"/>
      <c r="KNB10" s="78"/>
      <c r="KNC10" s="78"/>
      <c r="KND10" s="78"/>
      <c r="KNE10" s="78"/>
      <c r="KNF10" s="78"/>
      <c r="KNG10" s="78"/>
      <c r="KNH10" s="78"/>
      <c r="KNI10" s="78"/>
      <c r="KNJ10" s="78"/>
      <c r="KNK10" s="78"/>
      <c r="KNL10" s="78"/>
      <c r="KNM10" s="78"/>
      <c r="KNN10" s="78"/>
      <c r="KNO10" s="78"/>
      <c r="KNP10" s="78"/>
      <c r="KNQ10" s="78"/>
      <c r="KNR10" s="78"/>
      <c r="KNS10" s="78"/>
      <c r="KNT10" s="78"/>
      <c r="KNU10" s="78"/>
      <c r="KNV10" s="78"/>
      <c r="KNW10" s="78"/>
      <c r="KNX10" s="78"/>
      <c r="KNY10" s="78"/>
      <c r="KNZ10" s="78"/>
      <c r="KOA10" s="78"/>
      <c r="KOB10" s="78"/>
      <c r="KOC10" s="78"/>
      <c r="KOD10" s="78"/>
      <c r="KOE10" s="78"/>
      <c r="KOF10" s="78"/>
      <c r="KOG10" s="78"/>
      <c r="KOH10" s="78"/>
      <c r="KOI10" s="78"/>
      <c r="KOJ10" s="78"/>
      <c r="KOK10" s="78"/>
      <c r="KOL10" s="78"/>
      <c r="KOM10" s="78"/>
      <c r="KON10" s="78"/>
      <c r="KOO10" s="78"/>
      <c r="KOP10" s="78"/>
      <c r="KOQ10" s="78"/>
      <c r="KOR10" s="78"/>
      <c r="KOS10" s="78"/>
      <c r="KOT10" s="78"/>
      <c r="KOU10" s="78"/>
      <c r="KOV10" s="78"/>
      <c r="KOW10" s="78"/>
      <c r="KOX10" s="78"/>
      <c r="KOY10" s="78"/>
      <c r="KOZ10" s="78"/>
      <c r="KPA10" s="78"/>
      <c r="KPB10" s="78"/>
      <c r="KPC10" s="78"/>
      <c r="KPD10" s="78"/>
      <c r="KPE10" s="78"/>
      <c r="KPF10" s="78"/>
      <c r="KPG10" s="78"/>
      <c r="KPH10" s="78"/>
      <c r="KPI10" s="78"/>
      <c r="KPJ10" s="78"/>
      <c r="KPK10" s="78"/>
      <c r="KPL10" s="78"/>
      <c r="KPM10" s="78"/>
      <c r="KPN10" s="78"/>
      <c r="KPO10" s="78"/>
      <c r="KPP10" s="78"/>
      <c r="KPQ10" s="78"/>
      <c r="KPR10" s="78"/>
      <c r="KPS10" s="78"/>
      <c r="KPT10" s="78"/>
      <c r="KPU10" s="78"/>
      <c r="KPV10" s="78"/>
      <c r="KPW10" s="78"/>
      <c r="KPX10" s="78"/>
      <c r="KPY10" s="78"/>
      <c r="KPZ10" s="78"/>
      <c r="KQA10" s="78"/>
      <c r="KQB10" s="78"/>
      <c r="KQC10" s="78"/>
      <c r="KQD10" s="78"/>
      <c r="KQE10" s="78"/>
      <c r="KQF10" s="78"/>
      <c r="KQG10" s="78"/>
      <c r="KQH10" s="78"/>
      <c r="KQI10" s="78"/>
      <c r="KQJ10" s="78"/>
      <c r="KQK10" s="78"/>
      <c r="KQL10" s="78"/>
      <c r="KQM10" s="78"/>
      <c r="KQN10" s="78"/>
      <c r="KQO10" s="78"/>
      <c r="KQP10" s="78"/>
      <c r="KQQ10" s="78"/>
      <c r="KQR10" s="78"/>
      <c r="KQS10" s="78"/>
      <c r="KQT10" s="78"/>
      <c r="KQU10" s="78"/>
      <c r="KQV10" s="78"/>
      <c r="KQW10" s="78"/>
      <c r="KQX10" s="78"/>
      <c r="KQY10" s="78"/>
      <c r="KQZ10" s="78"/>
      <c r="KRA10" s="78"/>
      <c r="KRB10" s="78"/>
      <c r="KRC10" s="78"/>
      <c r="KRD10" s="78"/>
      <c r="KRE10" s="78"/>
      <c r="KRF10" s="78"/>
      <c r="KRG10" s="78"/>
      <c r="KRH10" s="78"/>
      <c r="KRI10" s="78"/>
      <c r="KRJ10" s="78"/>
      <c r="KRK10" s="78"/>
      <c r="KRL10" s="78"/>
      <c r="KRM10" s="78"/>
      <c r="KRN10" s="78"/>
      <c r="KRO10" s="78"/>
      <c r="KRP10" s="78"/>
      <c r="KRQ10" s="78"/>
      <c r="KRR10" s="78"/>
      <c r="KRS10" s="78"/>
      <c r="KRT10" s="78"/>
      <c r="KRU10" s="78"/>
      <c r="KRV10" s="78"/>
      <c r="KRW10" s="78"/>
      <c r="KRX10" s="78"/>
      <c r="KRY10" s="78"/>
      <c r="KRZ10" s="78"/>
      <c r="KSA10" s="78"/>
      <c r="KSB10" s="78"/>
      <c r="KSC10" s="78"/>
      <c r="KSD10" s="78"/>
      <c r="KSE10" s="78"/>
      <c r="KSF10" s="78"/>
      <c r="KSG10" s="78"/>
      <c r="KSH10" s="78"/>
      <c r="KSI10" s="78"/>
      <c r="KSJ10" s="78"/>
      <c r="KSK10" s="78"/>
      <c r="KSL10" s="78"/>
      <c r="KSM10" s="78"/>
      <c r="KSN10" s="78"/>
      <c r="KSO10" s="78"/>
      <c r="KSP10" s="78"/>
      <c r="KSQ10" s="78"/>
      <c r="KSR10" s="78"/>
      <c r="KSS10" s="78"/>
      <c r="KST10" s="78"/>
      <c r="KSU10" s="78"/>
      <c r="KSV10" s="78"/>
      <c r="KSW10" s="78"/>
      <c r="KSX10" s="78"/>
      <c r="KSY10" s="78"/>
      <c r="KSZ10" s="78"/>
      <c r="KTA10" s="78"/>
      <c r="KTB10" s="78"/>
      <c r="KTC10" s="78"/>
      <c r="KTD10" s="78"/>
      <c r="KTE10" s="78"/>
      <c r="KTF10" s="78"/>
      <c r="KTG10" s="78"/>
      <c r="KTH10" s="78"/>
      <c r="KTI10" s="78"/>
      <c r="KTJ10" s="78"/>
      <c r="KTK10" s="78"/>
      <c r="KTL10" s="78"/>
      <c r="KTM10" s="78"/>
      <c r="KTN10" s="78"/>
      <c r="KTO10" s="78"/>
      <c r="KTP10" s="78"/>
      <c r="KTQ10" s="78"/>
      <c r="KTR10" s="78"/>
      <c r="KTS10" s="78"/>
      <c r="KTT10" s="78"/>
      <c r="KTU10" s="78"/>
      <c r="KTV10" s="78"/>
      <c r="KTW10" s="78"/>
      <c r="KTX10" s="78"/>
      <c r="KTY10" s="78"/>
      <c r="KTZ10" s="78"/>
      <c r="KUA10" s="78"/>
      <c r="KUB10" s="78"/>
      <c r="KUC10" s="78"/>
      <c r="KUD10" s="78"/>
      <c r="KUE10" s="78"/>
      <c r="KUF10" s="78"/>
      <c r="KUG10" s="78"/>
      <c r="KUH10" s="78"/>
      <c r="KUI10" s="78"/>
      <c r="KUJ10" s="78"/>
      <c r="KUK10" s="78"/>
      <c r="KUL10" s="78"/>
      <c r="KUM10" s="78"/>
      <c r="KUN10" s="78"/>
      <c r="KUO10" s="78"/>
      <c r="KUP10" s="78"/>
      <c r="KUQ10" s="78"/>
      <c r="KUR10" s="78"/>
      <c r="KUS10" s="78"/>
      <c r="KUT10" s="78"/>
      <c r="KUU10" s="78"/>
      <c r="KUV10" s="78"/>
      <c r="KUW10" s="78"/>
      <c r="KUX10" s="78"/>
      <c r="KUY10" s="78"/>
      <c r="KUZ10" s="78"/>
      <c r="KVA10" s="78"/>
      <c r="KVB10" s="78"/>
      <c r="KVC10" s="78"/>
      <c r="KVD10" s="78"/>
      <c r="KVE10" s="78"/>
      <c r="KVF10" s="78"/>
      <c r="KVG10" s="78"/>
      <c r="KVH10" s="78"/>
      <c r="KVI10" s="78"/>
      <c r="KVJ10" s="78"/>
      <c r="KVK10" s="78"/>
      <c r="KVL10" s="78"/>
      <c r="KVM10" s="78"/>
      <c r="KVN10" s="78"/>
      <c r="KVO10" s="78"/>
      <c r="KVP10" s="78"/>
      <c r="KVQ10" s="78"/>
      <c r="KVR10" s="78"/>
      <c r="KVS10" s="78"/>
      <c r="KVT10" s="78"/>
      <c r="KVU10" s="78"/>
      <c r="KVV10" s="78"/>
      <c r="KVW10" s="78"/>
      <c r="KVX10" s="78"/>
      <c r="KVY10" s="78"/>
      <c r="KVZ10" s="78"/>
      <c r="KWA10" s="78"/>
      <c r="KWB10" s="78"/>
      <c r="KWC10" s="78"/>
      <c r="KWD10" s="78"/>
      <c r="KWE10" s="78"/>
      <c r="KWF10" s="78"/>
      <c r="KWG10" s="78"/>
      <c r="KWH10" s="78"/>
      <c r="KWI10" s="78"/>
      <c r="KWJ10" s="78"/>
      <c r="KWK10" s="78"/>
      <c r="KWL10" s="78"/>
      <c r="KWM10" s="78"/>
      <c r="KWN10" s="78"/>
      <c r="KWO10" s="78"/>
      <c r="KWP10" s="78"/>
      <c r="KWQ10" s="78"/>
      <c r="KWR10" s="78"/>
      <c r="KWS10" s="78"/>
      <c r="KWT10" s="78"/>
      <c r="KWU10" s="78"/>
      <c r="KWV10" s="78"/>
      <c r="KWW10" s="78"/>
      <c r="KWX10" s="78"/>
      <c r="KWY10" s="78"/>
      <c r="KWZ10" s="78"/>
      <c r="KXA10" s="78"/>
      <c r="KXB10" s="78"/>
      <c r="KXC10" s="78"/>
      <c r="KXD10" s="78"/>
      <c r="KXE10" s="78"/>
      <c r="KXF10" s="78"/>
      <c r="KXG10" s="78"/>
      <c r="KXH10" s="78"/>
      <c r="KXI10" s="78"/>
      <c r="KXJ10" s="78"/>
      <c r="KXK10" s="78"/>
      <c r="KXL10" s="78"/>
      <c r="KXM10" s="78"/>
      <c r="KXN10" s="78"/>
      <c r="KXO10" s="78"/>
      <c r="KXP10" s="78"/>
      <c r="KXQ10" s="78"/>
      <c r="KXR10" s="78"/>
      <c r="KXS10" s="78"/>
      <c r="KXT10" s="78"/>
      <c r="KXU10" s="78"/>
      <c r="KXV10" s="78"/>
      <c r="KXW10" s="78"/>
      <c r="KXX10" s="78"/>
      <c r="KXY10" s="78"/>
      <c r="KXZ10" s="78"/>
      <c r="KYA10" s="78"/>
      <c r="KYB10" s="78"/>
      <c r="KYC10" s="78"/>
      <c r="KYD10" s="78"/>
      <c r="KYE10" s="78"/>
      <c r="KYF10" s="78"/>
      <c r="KYG10" s="78"/>
      <c r="KYH10" s="78"/>
      <c r="KYI10" s="78"/>
      <c r="KYJ10" s="78"/>
      <c r="KYK10" s="78"/>
      <c r="KYL10" s="78"/>
      <c r="KYM10" s="78"/>
      <c r="KYN10" s="78"/>
      <c r="KYO10" s="78"/>
      <c r="KYP10" s="78"/>
      <c r="KYQ10" s="78"/>
      <c r="KYR10" s="78"/>
      <c r="KYS10" s="78"/>
      <c r="KYT10" s="78"/>
      <c r="KYU10" s="78"/>
      <c r="KYV10" s="78"/>
      <c r="KYW10" s="78"/>
      <c r="KYX10" s="78"/>
      <c r="KYY10" s="78"/>
      <c r="KYZ10" s="78"/>
      <c r="KZA10" s="78"/>
      <c r="KZB10" s="78"/>
      <c r="KZC10" s="78"/>
      <c r="KZD10" s="78"/>
      <c r="KZE10" s="78"/>
      <c r="KZF10" s="78"/>
      <c r="KZG10" s="78"/>
      <c r="KZH10" s="78"/>
      <c r="KZI10" s="78"/>
      <c r="KZJ10" s="78"/>
      <c r="KZK10" s="78"/>
      <c r="KZL10" s="78"/>
      <c r="KZM10" s="78"/>
      <c r="KZN10" s="78"/>
      <c r="KZO10" s="78"/>
      <c r="KZP10" s="78"/>
      <c r="KZQ10" s="78"/>
      <c r="KZR10" s="78"/>
      <c r="KZS10" s="78"/>
      <c r="KZT10" s="78"/>
      <c r="KZU10" s="78"/>
      <c r="KZV10" s="78"/>
      <c r="KZW10" s="78"/>
      <c r="KZX10" s="78"/>
      <c r="KZY10" s="78"/>
      <c r="KZZ10" s="78"/>
      <c r="LAA10" s="78"/>
      <c r="LAB10" s="78"/>
      <c r="LAC10" s="78"/>
      <c r="LAD10" s="78"/>
      <c r="LAE10" s="78"/>
      <c r="LAF10" s="78"/>
      <c r="LAG10" s="78"/>
      <c r="LAH10" s="78"/>
      <c r="LAI10" s="78"/>
      <c r="LAJ10" s="78"/>
      <c r="LAK10" s="78"/>
      <c r="LAL10" s="78"/>
      <c r="LAM10" s="78"/>
      <c r="LAN10" s="78"/>
      <c r="LAO10" s="78"/>
      <c r="LAP10" s="78"/>
      <c r="LAQ10" s="78"/>
      <c r="LAR10" s="78"/>
      <c r="LAS10" s="78"/>
      <c r="LAT10" s="78"/>
      <c r="LAU10" s="78"/>
      <c r="LAV10" s="78"/>
      <c r="LAW10" s="78"/>
      <c r="LAX10" s="78"/>
      <c r="LAY10" s="78"/>
      <c r="LAZ10" s="78"/>
      <c r="LBA10" s="78"/>
      <c r="LBB10" s="78"/>
      <c r="LBC10" s="78"/>
      <c r="LBD10" s="78"/>
      <c r="LBE10" s="78"/>
      <c r="LBF10" s="78"/>
      <c r="LBG10" s="78"/>
      <c r="LBH10" s="78"/>
      <c r="LBI10" s="78"/>
      <c r="LBJ10" s="78"/>
      <c r="LBK10" s="78"/>
      <c r="LBL10" s="78"/>
      <c r="LBM10" s="78"/>
      <c r="LBN10" s="78"/>
      <c r="LBO10" s="78"/>
      <c r="LBP10" s="78"/>
      <c r="LBQ10" s="78"/>
      <c r="LBR10" s="78"/>
      <c r="LBS10" s="78"/>
      <c r="LBT10" s="78"/>
      <c r="LBU10" s="78"/>
      <c r="LBV10" s="78"/>
      <c r="LBW10" s="78"/>
      <c r="LBX10" s="78"/>
      <c r="LBY10" s="78"/>
      <c r="LBZ10" s="78"/>
      <c r="LCA10" s="78"/>
      <c r="LCB10" s="78"/>
      <c r="LCC10" s="78"/>
      <c r="LCD10" s="78"/>
      <c r="LCE10" s="78"/>
      <c r="LCF10" s="78"/>
      <c r="LCG10" s="78"/>
      <c r="LCH10" s="78"/>
      <c r="LCI10" s="78"/>
      <c r="LCJ10" s="78"/>
      <c r="LCK10" s="78"/>
      <c r="LCL10" s="78"/>
      <c r="LCM10" s="78"/>
      <c r="LCN10" s="78"/>
      <c r="LCO10" s="78"/>
      <c r="LCP10" s="78"/>
      <c r="LCQ10" s="78"/>
      <c r="LCR10" s="78"/>
      <c r="LCS10" s="78"/>
      <c r="LCT10" s="78"/>
      <c r="LCU10" s="78"/>
      <c r="LCV10" s="78"/>
      <c r="LCW10" s="78"/>
      <c r="LCX10" s="78"/>
      <c r="LCY10" s="78"/>
      <c r="LCZ10" s="78"/>
      <c r="LDA10" s="78"/>
      <c r="LDB10" s="78"/>
      <c r="LDC10" s="78"/>
      <c r="LDD10" s="78"/>
      <c r="LDE10" s="78"/>
      <c r="LDF10" s="78"/>
      <c r="LDG10" s="78"/>
      <c r="LDH10" s="78"/>
      <c r="LDI10" s="78"/>
      <c r="LDJ10" s="78"/>
      <c r="LDK10" s="78"/>
      <c r="LDL10" s="78"/>
      <c r="LDM10" s="78"/>
      <c r="LDN10" s="78"/>
      <c r="LDO10" s="78"/>
      <c r="LDP10" s="78"/>
      <c r="LDQ10" s="78"/>
      <c r="LDR10" s="78"/>
      <c r="LDS10" s="78"/>
      <c r="LDT10" s="78"/>
      <c r="LDU10" s="78"/>
      <c r="LDV10" s="78"/>
      <c r="LDW10" s="78"/>
      <c r="LDX10" s="78"/>
      <c r="LDY10" s="78"/>
      <c r="LDZ10" s="78"/>
      <c r="LEA10" s="78"/>
      <c r="LEB10" s="78"/>
      <c r="LEC10" s="78"/>
      <c r="LED10" s="78"/>
      <c r="LEE10" s="78"/>
      <c r="LEF10" s="78"/>
      <c r="LEG10" s="78"/>
      <c r="LEH10" s="78"/>
      <c r="LEI10" s="78"/>
      <c r="LEJ10" s="78"/>
      <c r="LEK10" s="78"/>
      <c r="LEL10" s="78"/>
      <c r="LEM10" s="78"/>
      <c r="LEN10" s="78"/>
      <c r="LEO10" s="78"/>
      <c r="LEP10" s="78"/>
      <c r="LEQ10" s="78"/>
      <c r="LER10" s="78"/>
      <c r="LES10" s="78"/>
      <c r="LET10" s="78"/>
      <c r="LEU10" s="78"/>
      <c r="LEV10" s="78"/>
      <c r="LEW10" s="78"/>
      <c r="LEX10" s="78"/>
      <c r="LEY10" s="78"/>
      <c r="LEZ10" s="78"/>
      <c r="LFA10" s="78"/>
      <c r="LFB10" s="78"/>
      <c r="LFC10" s="78"/>
      <c r="LFD10" s="78"/>
      <c r="LFE10" s="78"/>
      <c r="LFF10" s="78"/>
      <c r="LFG10" s="78"/>
      <c r="LFH10" s="78"/>
      <c r="LFI10" s="78"/>
      <c r="LFJ10" s="78"/>
      <c r="LFK10" s="78"/>
      <c r="LFL10" s="78"/>
      <c r="LFM10" s="78"/>
      <c r="LFN10" s="78"/>
      <c r="LFO10" s="78"/>
      <c r="LFP10" s="78"/>
      <c r="LFQ10" s="78"/>
      <c r="LFR10" s="78"/>
      <c r="LFS10" s="78"/>
      <c r="LFT10" s="78"/>
      <c r="LFU10" s="78"/>
      <c r="LFV10" s="78"/>
      <c r="LFW10" s="78"/>
      <c r="LFX10" s="78"/>
      <c r="LFY10" s="78"/>
      <c r="LFZ10" s="78"/>
      <c r="LGA10" s="78"/>
      <c r="LGB10" s="78"/>
      <c r="LGC10" s="78"/>
      <c r="LGD10" s="78"/>
      <c r="LGE10" s="78"/>
      <c r="LGF10" s="78"/>
      <c r="LGG10" s="78"/>
      <c r="LGH10" s="78"/>
      <c r="LGI10" s="78"/>
      <c r="LGJ10" s="78"/>
      <c r="LGK10" s="78"/>
      <c r="LGL10" s="78"/>
      <c r="LGM10" s="78"/>
      <c r="LGN10" s="78"/>
      <c r="LGO10" s="78"/>
      <c r="LGP10" s="78"/>
      <c r="LGQ10" s="78"/>
      <c r="LGR10" s="78"/>
      <c r="LGS10" s="78"/>
      <c r="LGT10" s="78"/>
      <c r="LGU10" s="78"/>
      <c r="LGV10" s="78"/>
      <c r="LGW10" s="78"/>
      <c r="LGX10" s="78"/>
      <c r="LGY10" s="78"/>
      <c r="LGZ10" s="78"/>
      <c r="LHA10" s="78"/>
      <c r="LHB10" s="78"/>
      <c r="LHC10" s="78"/>
      <c r="LHD10" s="78"/>
      <c r="LHE10" s="78"/>
      <c r="LHF10" s="78"/>
      <c r="LHG10" s="78"/>
      <c r="LHH10" s="78"/>
      <c r="LHI10" s="78"/>
      <c r="LHJ10" s="78"/>
      <c r="LHK10" s="78"/>
      <c r="LHL10" s="78"/>
      <c r="LHM10" s="78"/>
      <c r="LHN10" s="78"/>
      <c r="LHO10" s="78"/>
      <c r="LHP10" s="78"/>
      <c r="LHQ10" s="78"/>
      <c r="LHR10" s="78"/>
      <c r="LHS10" s="78"/>
      <c r="LHT10" s="78"/>
      <c r="LHU10" s="78"/>
      <c r="LHV10" s="78"/>
      <c r="LHW10" s="78"/>
      <c r="LHX10" s="78"/>
      <c r="LHY10" s="78"/>
      <c r="LHZ10" s="78"/>
      <c r="LIA10" s="78"/>
      <c r="LIB10" s="78"/>
      <c r="LIC10" s="78"/>
      <c r="LID10" s="78"/>
      <c r="LIE10" s="78"/>
      <c r="LIF10" s="78"/>
      <c r="LIG10" s="78"/>
      <c r="LIH10" s="78"/>
      <c r="LII10" s="78"/>
      <c r="LIJ10" s="78"/>
      <c r="LIK10" s="78"/>
      <c r="LIL10" s="78"/>
      <c r="LIM10" s="78"/>
      <c r="LIN10" s="78"/>
      <c r="LIO10" s="78"/>
      <c r="LIP10" s="78"/>
      <c r="LIQ10" s="78"/>
      <c r="LIR10" s="78"/>
      <c r="LIS10" s="78"/>
      <c r="LIT10" s="78"/>
      <c r="LIU10" s="78"/>
      <c r="LIV10" s="78"/>
      <c r="LIW10" s="78"/>
      <c r="LIX10" s="78"/>
      <c r="LIY10" s="78"/>
      <c r="LIZ10" s="78"/>
      <c r="LJA10" s="78"/>
      <c r="LJB10" s="78"/>
      <c r="LJC10" s="78"/>
      <c r="LJD10" s="78"/>
      <c r="LJE10" s="78"/>
      <c r="LJF10" s="78"/>
      <c r="LJG10" s="78"/>
      <c r="LJH10" s="78"/>
      <c r="LJI10" s="78"/>
      <c r="LJJ10" s="78"/>
      <c r="LJK10" s="78"/>
      <c r="LJL10" s="78"/>
      <c r="LJM10" s="78"/>
      <c r="LJN10" s="78"/>
      <c r="LJO10" s="78"/>
      <c r="LJP10" s="78"/>
      <c r="LJQ10" s="78"/>
      <c r="LJR10" s="78"/>
      <c r="LJS10" s="78"/>
      <c r="LJT10" s="78"/>
      <c r="LJU10" s="78"/>
      <c r="LJV10" s="78"/>
      <c r="LJW10" s="78"/>
      <c r="LJX10" s="78"/>
      <c r="LJY10" s="78"/>
      <c r="LJZ10" s="78"/>
      <c r="LKA10" s="78"/>
      <c r="LKB10" s="78"/>
      <c r="LKC10" s="78"/>
      <c r="LKD10" s="78"/>
      <c r="LKE10" s="78"/>
      <c r="LKF10" s="78"/>
      <c r="LKG10" s="78"/>
      <c r="LKH10" s="78"/>
      <c r="LKI10" s="78"/>
      <c r="LKJ10" s="78"/>
      <c r="LKK10" s="78"/>
      <c r="LKL10" s="78"/>
      <c r="LKM10" s="78"/>
      <c r="LKN10" s="78"/>
      <c r="LKO10" s="78"/>
      <c r="LKP10" s="78"/>
      <c r="LKQ10" s="78"/>
      <c r="LKR10" s="78"/>
      <c r="LKS10" s="78"/>
      <c r="LKT10" s="78"/>
      <c r="LKU10" s="78"/>
      <c r="LKV10" s="78"/>
      <c r="LKW10" s="78"/>
      <c r="LKX10" s="78"/>
      <c r="LKY10" s="78"/>
      <c r="LKZ10" s="78"/>
      <c r="LLA10" s="78"/>
      <c r="LLB10" s="78"/>
      <c r="LLC10" s="78"/>
      <c r="LLD10" s="78"/>
      <c r="LLE10" s="78"/>
      <c r="LLF10" s="78"/>
      <c r="LLG10" s="78"/>
      <c r="LLH10" s="78"/>
      <c r="LLI10" s="78"/>
      <c r="LLJ10" s="78"/>
      <c r="LLK10" s="78"/>
      <c r="LLL10" s="78"/>
      <c r="LLM10" s="78"/>
      <c r="LLN10" s="78"/>
      <c r="LLO10" s="78"/>
      <c r="LLP10" s="78"/>
      <c r="LLQ10" s="78"/>
      <c r="LLR10" s="78"/>
      <c r="LLS10" s="78"/>
      <c r="LLT10" s="78"/>
      <c r="LLU10" s="78"/>
      <c r="LLV10" s="78"/>
      <c r="LLW10" s="78"/>
      <c r="LLX10" s="78"/>
      <c r="LLY10" s="78"/>
      <c r="LLZ10" s="78"/>
      <c r="LMA10" s="78"/>
      <c r="LMB10" s="78"/>
      <c r="LMC10" s="78"/>
      <c r="LMD10" s="78"/>
      <c r="LME10" s="78"/>
      <c r="LMF10" s="78"/>
      <c r="LMG10" s="78"/>
      <c r="LMH10" s="78"/>
      <c r="LMI10" s="78"/>
      <c r="LMJ10" s="78"/>
      <c r="LMK10" s="78"/>
      <c r="LML10" s="78"/>
      <c r="LMM10" s="78"/>
      <c r="LMN10" s="78"/>
      <c r="LMO10" s="78"/>
      <c r="LMP10" s="78"/>
      <c r="LMQ10" s="78"/>
      <c r="LMR10" s="78"/>
      <c r="LMS10" s="78"/>
      <c r="LMT10" s="78"/>
      <c r="LMU10" s="78"/>
      <c r="LMV10" s="78"/>
      <c r="LMW10" s="78"/>
      <c r="LMX10" s="78"/>
      <c r="LMY10" s="78"/>
      <c r="LMZ10" s="78"/>
      <c r="LNA10" s="78"/>
      <c r="LNB10" s="78"/>
      <c r="LNC10" s="78"/>
      <c r="LND10" s="78"/>
      <c r="LNE10" s="78"/>
      <c r="LNF10" s="78"/>
      <c r="LNG10" s="78"/>
      <c r="LNH10" s="78"/>
      <c r="LNI10" s="78"/>
      <c r="LNJ10" s="78"/>
      <c r="LNK10" s="78"/>
      <c r="LNL10" s="78"/>
      <c r="LNM10" s="78"/>
      <c r="LNN10" s="78"/>
      <c r="LNO10" s="78"/>
      <c r="LNP10" s="78"/>
      <c r="LNQ10" s="78"/>
      <c r="LNR10" s="78"/>
      <c r="LNS10" s="78"/>
      <c r="LNT10" s="78"/>
      <c r="LNU10" s="78"/>
      <c r="LNV10" s="78"/>
      <c r="LNW10" s="78"/>
      <c r="LNX10" s="78"/>
      <c r="LNY10" s="78"/>
      <c r="LNZ10" s="78"/>
      <c r="LOA10" s="78"/>
      <c r="LOB10" s="78"/>
      <c r="LOC10" s="78"/>
      <c r="LOD10" s="78"/>
      <c r="LOE10" s="78"/>
      <c r="LOF10" s="78"/>
      <c r="LOG10" s="78"/>
      <c r="LOH10" s="78"/>
      <c r="LOI10" s="78"/>
      <c r="LOJ10" s="78"/>
      <c r="LOK10" s="78"/>
      <c r="LOL10" s="78"/>
      <c r="LOM10" s="78"/>
      <c r="LON10" s="78"/>
      <c r="LOO10" s="78"/>
      <c r="LOP10" s="78"/>
      <c r="LOQ10" s="78"/>
      <c r="LOR10" s="78"/>
      <c r="LOS10" s="78"/>
      <c r="LOT10" s="78"/>
      <c r="LOU10" s="78"/>
      <c r="LOV10" s="78"/>
      <c r="LOW10" s="78"/>
      <c r="LOX10" s="78"/>
      <c r="LOY10" s="78"/>
      <c r="LOZ10" s="78"/>
      <c r="LPA10" s="78"/>
      <c r="LPB10" s="78"/>
      <c r="LPC10" s="78"/>
      <c r="LPD10" s="78"/>
      <c r="LPE10" s="78"/>
      <c r="LPF10" s="78"/>
      <c r="LPG10" s="78"/>
      <c r="LPH10" s="78"/>
      <c r="LPI10" s="78"/>
      <c r="LPJ10" s="78"/>
      <c r="LPK10" s="78"/>
      <c r="LPL10" s="78"/>
      <c r="LPM10" s="78"/>
      <c r="LPN10" s="78"/>
      <c r="LPO10" s="78"/>
      <c r="LPP10" s="78"/>
      <c r="LPQ10" s="78"/>
      <c r="LPR10" s="78"/>
      <c r="LPS10" s="78"/>
      <c r="LPT10" s="78"/>
      <c r="LPU10" s="78"/>
      <c r="LPV10" s="78"/>
      <c r="LPW10" s="78"/>
      <c r="LPX10" s="78"/>
      <c r="LPY10" s="78"/>
      <c r="LPZ10" s="78"/>
      <c r="LQA10" s="78"/>
      <c r="LQB10" s="78"/>
      <c r="LQC10" s="78"/>
      <c r="LQD10" s="78"/>
      <c r="LQE10" s="78"/>
      <c r="LQF10" s="78"/>
      <c r="LQG10" s="78"/>
      <c r="LQH10" s="78"/>
      <c r="LQI10" s="78"/>
      <c r="LQJ10" s="78"/>
      <c r="LQK10" s="78"/>
      <c r="LQL10" s="78"/>
      <c r="LQM10" s="78"/>
      <c r="LQN10" s="78"/>
      <c r="LQO10" s="78"/>
      <c r="LQP10" s="78"/>
      <c r="LQQ10" s="78"/>
      <c r="LQR10" s="78"/>
      <c r="LQS10" s="78"/>
      <c r="LQT10" s="78"/>
      <c r="LQU10" s="78"/>
      <c r="LQV10" s="78"/>
      <c r="LQW10" s="78"/>
      <c r="LQX10" s="78"/>
      <c r="LQY10" s="78"/>
      <c r="LQZ10" s="78"/>
      <c r="LRA10" s="78"/>
      <c r="LRB10" s="78"/>
      <c r="LRC10" s="78"/>
      <c r="LRD10" s="78"/>
      <c r="LRE10" s="78"/>
      <c r="LRF10" s="78"/>
      <c r="LRG10" s="78"/>
      <c r="LRH10" s="78"/>
      <c r="LRI10" s="78"/>
      <c r="LRJ10" s="78"/>
      <c r="LRK10" s="78"/>
      <c r="LRL10" s="78"/>
      <c r="LRM10" s="78"/>
      <c r="LRN10" s="78"/>
      <c r="LRO10" s="78"/>
      <c r="LRP10" s="78"/>
      <c r="LRQ10" s="78"/>
      <c r="LRR10" s="78"/>
      <c r="LRS10" s="78"/>
      <c r="LRT10" s="78"/>
      <c r="LRU10" s="78"/>
      <c r="LRV10" s="78"/>
      <c r="LRW10" s="78"/>
      <c r="LRX10" s="78"/>
      <c r="LRY10" s="78"/>
      <c r="LRZ10" s="78"/>
      <c r="LSA10" s="78"/>
      <c r="LSB10" s="78"/>
      <c r="LSC10" s="78"/>
      <c r="LSD10" s="78"/>
      <c r="LSE10" s="78"/>
      <c r="LSF10" s="78"/>
      <c r="LSG10" s="78"/>
      <c r="LSH10" s="78"/>
      <c r="LSI10" s="78"/>
      <c r="LSJ10" s="78"/>
      <c r="LSK10" s="78"/>
      <c r="LSL10" s="78"/>
      <c r="LSM10" s="78"/>
      <c r="LSN10" s="78"/>
      <c r="LSO10" s="78"/>
      <c r="LSP10" s="78"/>
      <c r="LSQ10" s="78"/>
      <c r="LSR10" s="78"/>
      <c r="LSS10" s="78"/>
      <c r="LST10" s="78"/>
      <c r="LSU10" s="78"/>
      <c r="LSV10" s="78"/>
      <c r="LSW10" s="78"/>
      <c r="LSX10" s="78"/>
      <c r="LSY10" s="78"/>
      <c r="LSZ10" s="78"/>
      <c r="LTA10" s="78"/>
      <c r="LTB10" s="78"/>
      <c r="LTC10" s="78"/>
      <c r="LTD10" s="78"/>
      <c r="LTE10" s="78"/>
      <c r="LTF10" s="78"/>
      <c r="LTG10" s="78"/>
      <c r="LTH10" s="78"/>
      <c r="LTI10" s="78"/>
      <c r="LTJ10" s="78"/>
      <c r="LTK10" s="78"/>
      <c r="LTL10" s="78"/>
      <c r="LTM10" s="78"/>
      <c r="LTN10" s="78"/>
      <c r="LTO10" s="78"/>
      <c r="LTP10" s="78"/>
      <c r="LTQ10" s="78"/>
      <c r="LTR10" s="78"/>
      <c r="LTS10" s="78"/>
      <c r="LTT10" s="78"/>
      <c r="LTU10" s="78"/>
      <c r="LTV10" s="78"/>
      <c r="LTW10" s="78"/>
      <c r="LTX10" s="78"/>
      <c r="LTY10" s="78"/>
      <c r="LTZ10" s="78"/>
      <c r="LUA10" s="78"/>
      <c r="LUB10" s="78"/>
      <c r="LUC10" s="78"/>
      <c r="LUD10" s="78"/>
      <c r="LUE10" s="78"/>
      <c r="LUF10" s="78"/>
      <c r="LUG10" s="78"/>
      <c r="LUH10" s="78"/>
      <c r="LUI10" s="78"/>
      <c r="LUJ10" s="78"/>
      <c r="LUK10" s="78"/>
      <c r="LUL10" s="78"/>
      <c r="LUM10" s="78"/>
      <c r="LUN10" s="78"/>
      <c r="LUO10" s="78"/>
      <c r="LUP10" s="78"/>
      <c r="LUQ10" s="78"/>
      <c r="LUR10" s="78"/>
      <c r="LUS10" s="78"/>
      <c r="LUT10" s="78"/>
      <c r="LUU10" s="78"/>
      <c r="LUV10" s="78"/>
      <c r="LUW10" s="78"/>
      <c r="LUX10" s="78"/>
      <c r="LUY10" s="78"/>
      <c r="LUZ10" s="78"/>
      <c r="LVA10" s="78"/>
      <c r="LVB10" s="78"/>
      <c r="LVC10" s="78"/>
      <c r="LVD10" s="78"/>
      <c r="LVE10" s="78"/>
      <c r="LVF10" s="78"/>
      <c r="LVG10" s="78"/>
      <c r="LVH10" s="78"/>
      <c r="LVI10" s="78"/>
      <c r="LVJ10" s="78"/>
      <c r="LVK10" s="78"/>
      <c r="LVL10" s="78"/>
      <c r="LVM10" s="78"/>
      <c r="LVN10" s="78"/>
      <c r="LVO10" s="78"/>
      <c r="LVP10" s="78"/>
      <c r="LVQ10" s="78"/>
      <c r="LVR10" s="78"/>
      <c r="LVS10" s="78"/>
      <c r="LVT10" s="78"/>
      <c r="LVU10" s="78"/>
      <c r="LVV10" s="78"/>
      <c r="LVW10" s="78"/>
      <c r="LVX10" s="78"/>
      <c r="LVY10" s="78"/>
      <c r="LVZ10" s="78"/>
      <c r="LWA10" s="78"/>
      <c r="LWB10" s="78"/>
      <c r="LWC10" s="78"/>
      <c r="LWD10" s="78"/>
      <c r="LWE10" s="78"/>
      <c r="LWF10" s="78"/>
      <c r="LWG10" s="78"/>
      <c r="LWH10" s="78"/>
      <c r="LWI10" s="78"/>
      <c r="LWJ10" s="78"/>
      <c r="LWK10" s="78"/>
      <c r="LWL10" s="78"/>
      <c r="LWM10" s="78"/>
      <c r="LWN10" s="78"/>
      <c r="LWO10" s="78"/>
      <c r="LWP10" s="78"/>
      <c r="LWQ10" s="78"/>
      <c r="LWR10" s="78"/>
      <c r="LWS10" s="78"/>
      <c r="LWT10" s="78"/>
      <c r="LWU10" s="78"/>
      <c r="LWV10" s="78"/>
      <c r="LWW10" s="78"/>
      <c r="LWX10" s="78"/>
      <c r="LWY10" s="78"/>
      <c r="LWZ10" s="78"/>
      <c r="LXA10" s="78"/>
      <c r="LXB10" s="78"/>
      <c r="LXC10" s="78"/>
      <c r="LXD10" s="78"/>
      <c r="LXE10" s="78"/>
      <c r="LXF10" s="78"/>
      <c r="LXG10" s="78"/>
      <c r="LXH10" s="78"/>
      <c r="LXI10" s="78"/>
      <c r="LXJ10" s="78"/>
      <c r="LXK10" s="78"/>
      <c r="LXL10" s="78"/>
      <c r="LXM10" s="78"/>
      <c r="LXN10" s="78"/>
      <c r="LXO10" s="78"/>
      <c r="LXP10" s="78"/>
      <c r="LXQ10" s="78"/>
      <c r="LXR10" s="78"/>
      <c r="LXS10" s="78"/>
      <c r="LXT10" s="78"/>
      <c r="LXU10" s="78"/>
      <c r="LXV10" s="78"/>
      <c r="LXW10" s="78"/>
      <c r="LXX10" s="78"/>
      <c r="LXY10" s="78"/>
      <c r="LXZ10" s="78"/>
      <c r="LYA10" s="78"/>
      <c r="LYB10" s="78"/>
      <c r="LYC10" s="78"/>
      <c r="LYD10" s="78"/>
      <c r="LYE10" s="78"/>
      <c r="LYF10" s="78"/>
      <c r="LYG10" s="78"/>
      <c r="LYH10" s="78"/>
      <c r="LYI10" s="78"/>
      <c r="LYJ10" s="78"/>
      <c r="LYK10" s="78"/>
      <c r="LYL10" s="78"/>
      <c r="LYM10" s="78"/>
      <c r="LYN10" s="78"/>
      <c r="LYO10" s="78"/>
      <c r="LYP10" s="78"/>
      <c r="LYQ10" s="78"/>
      <c r="LYR10" s="78"/>
      <c r="LYS10" s="78"/>
      <c r="LYT10" s="78"/>
      <c r="LYU10" s="78"/>
      <c r="LYV10" s="78"/>
      <c r="LYW10" s="78"/>
      <c r="LYX10" s="78"/>
      <c r="LYY10" s="78"/>
      <c r="LYZ10" s="78"/>
      <c r="LZA10" s="78"/>
      <c r="LZB10" s="78"/>
      <c r="LZC10" s="78"/>
      <c r="LZD10" s="78"/>
      <c r="LZE10" s="78"/>
      <c r="LZF10" s="78"/>
      <c r="LZG10" s="78"/>
      <c r="LZH10" s="78"/>
      <c r="LZI10" s="78"/>
      <c r="LZJ10" s="78"/>
      <c r="LZK10" s="78"/>
      <c r="LZL10" s="78"/>
      <c r="LZM10" s="78"/>
      <c r="LZN10" s="78"/>
      <c r="LZO10" s="78"/>
      <c r="LZP10" s="78"/>
      <c r="LZQ10" s="78"/>
      <c r="LZR10" s="78"/>
      <c r="LZS10" s="78"/>
      <c r="LZT10" s="78"/>
      <c r="LZU10" s="78"/>
      <c r="LZV10" s="78"/>
      <c r="LZW10" s="78"/>
      <c r="LZX10" s="78"/>
      <c r="LZY10" s="78"/>
      <c r="LZZ10" s="78"/>
      <c r="MAA10" s="78"/>
      <c r="MAB10" s="78"/>
      <c r="MAC10" s="78"/>
      <c r="MAD10" s="78"/>
      <c r="MAE10" s="78"/>
      <c r="MAF10" s="78"/>
      <c r="MAG10" s="78"/>
      <c r="MAH10" s="78"/>
      <c r="MAI10" s="78"/>
      <c r="MAJ10" s="78"/>
      <c r="MAK10" s="78"/>
      <c r="MAL10" s="78"/>
      <c r="MAM10" s="78"/>
      <c r="MAN10" s="78"/>
      <c r="MAO10" s="78"/>
      <c r="MAP10" s="78"/>
      <c r="MAQ10" s="78"/>
      <c r="MAR10" s="78"/>
      <c r="MAS10" s="78"/>
      <c r="MAT10" s="78"/>
      <c r="MAU10" s="78"/>
      <c r="MAV10" s="78"/>
      <c r="MAW10" s="78"/>
      <c r="MAX10" s="78"/>
      <c r="MAY10" s="78"/>
      <c r="MAZ10" s="78"/>
      <c r="MBA10" s="78"/>
      <c r="MBB10" s="78"/>
      <c r="MBC10" s="78"/>
      <c r="MBD10" s="78"/>
      <c r="MBE10" s="78"/>
      <c r="MBF10" s="78"/>
      <c r="MBG10" s="78"/>
      <c r="MBH10" s="78"/>
      <c r="MBI10" s="78"/>
      <c r="MBJ10" s="78"/>
      <c r="MBK10" s="78"/>
      <c r="MBL10" s="78"/>
      <c r="MBM10" s="78"/>
      <c r="MBN10" s="78"/>
      <c r="MBO10" s="78"/>
      <c r="MBP10" s="78"/>
      <c r="MBQ10" s="78"/>
      <c r="MBR10" s="78"/>
      <c r="MBS10" s="78"/>
      <c r="MBT10" s="78"/>
      <c r="MBU10" s="78"/>
      <c r="MBV10" s="78"/>
      <c r="MBW10" s="78"/>
      <c r="MBX10" s="78"/>
      <c r="MBY10" s="78"/>
      <c r="MBZ10" s="78"/>
      <c r="MCA10" s="78"/>
      <c r="MCB10" s="78"/>
      <c r="MCC10" s="78"/>
      <c r="MCD10" s="78"/>
      <c r="MCE10" s="78"/>
      <c r="MCF10" s="78"/>
      <c r="MCG10" s="78"/>
      <c r="MCH10" s="78"/>
      <c r="MCI10" s="78"/>
      <c r="MCJ10" s="78"/>
      <c r="MCK10" s="78"/>
      <c r="MCL10" s="78"/>
      <c r="MCM10" s="78"/>
      <c r="MCN10" s="78"/>
      <c r="MCO10" s="78"/>
      <c r="MCP10" s="78"/>
      <c r="MCQ10" s="78"/>
      <c r="MCR10" s="78"/>
      <c r="MCS10" s="78"/>
      <c r="MCT10" s="78"/>
      <c r="MCU10" s="78"/>
      <c r="MCV10" s="78"/>
      <c r="MCW10" s="78"/>
      <c r="MCX10" s="78"/>
      <c r="MCY10" s="78"/>
      <c r="MCZ10" s="78"/>
      <c r="MDA10" s="78"/>
      <c r="MDB10" s="78"/>
      <c r="MDC10" s="78"/>
      <c r="MDD10" s="78"/>
      <c r="MDE10" s="78"/>
      <c r="MDF10" s="78"/>
      <c r="MDG10" s="78"/>
      <c r="MDH10" s="78"/>
      <c r="MDI10" s="78"/>
      <c r="MDJ10" s="78"/>
      <c r="MDK10" s="78"/>
      <c r="MDL10" s="78"/>
      <c r="MDM10" s="78"/>
      <c r="MDN10" s="78"/>
      <c r="MDO10" s="78"/>
      <c r="MDP10" s="78"/>
      <c r="MDQ10" s="78"/>
      <c r="MDR10" s="78"/>
      <c r="MDS10" s="78"/>
      <c r="MDT10" s="78"/>
      <c r="MDU10" s="78"/>
      <c r="MDV10" s="78"/>
      <c r="MDW10" s="78"/>
      <c r="MDX10" s="78"/>
      <c r="MDY10" s="78"/>
      <c r="MDZ10" s="78"/>
      <c r="MEA10" s="78"/>
      <c r="MEB10" s="78"/>
      <c r="MEC10" s="78"/>
      <c r="MED10" s="78"/>
      <c r="MEE10" s="78"/>
      <c r="MEF10" s="78"/>
      <c r="MEG10" s="78"/>
      <c r="MEH10" s="78"/>
      <c r="MEI10" s="78"/>
      <c r="MEJ10" s="78"/>
      <c r="MEK10" s="78"/>
      <c r="MEL10" s="78"/>
      <c r="MEM10" s="78"/>
      <c r="MEN10" s="78"/>
      <c r="MEO10" s="78"/>
      <c r="MEP10" s="78"/>
      <c r="MEQ10" s="78"/>
      <c r="MER10" s="78"/>
      <c r="MES10" s="78"/>
      <c r="MET10" s="78"/>
      <c r="MEU10" s="78"/>
      <c r="MEV10" s="78"/>
      <c r="MEW10" s="78"/>
      <c r="MEX10" s="78"/>
      <c r="MEY10" s="78"/>
      <c r="MEZ10" s="78"/>
      <c r="MFA10" s="78"/>
      <c r="MFB10" s="78"/>
      <c r="MFC10" s="78"/>
      <c r="MFD10" s="78"/>
      <c r="MFE10" s="78"/>
      <c r="MFF10" s="78"/>
      <c r="MFG10" s="78"/>
      <c r="MFH10" s="78"/>
      <c r="MFI10" s="78"/>
      <c r="MFJ10" s="78"/>
      <c r="MFK10" s="78"/>
      <c r="MFL10" s="78"/>
      <c r="MFM10" s="78"/>
      <c r="MFN10" s="78"/>
      <c r="MFO10" s="78"/>
      <c r="MFP10" s="78"/>
      <c r="MFQ10" s="78"/>
      <c r="MFR10" s="78"/>
      <c r="MFS10" s="78"/>
      <c r="MFT10" s="78"/>
      <c r="MFU10" s="78"/>
      <c r="MFV10" s="78"/>
      <c r="MFW10" s="78"/>
      <c r="MFX10" s="78"/>
      <c r="MFY10" s="78"/>
      <c r="MFZ10" s="78"/>
      <c r="MGA10" s="78"/>
      <c r="MGB10" s="78"/>
      <c r="MGC10" s="78"/>
      <c r="MGD10" s="78"/>
      <c r="MGE10" s="78"/>
      <c r="MGF10" s="78"/>
      <c r="MGG10" s="78"/>
      <c r="MGH10" s="78"/>
      <c r="MGI10" s="78"/>
      <c r="MGJ10" s="78"/>
      <c r="MGK10" s="78"/>
      <c r="MGL10" s="78"/>
      <c r="MGM10" s="78"/>
      <c r="MGN10" s="78"/>
      <c r="MGO10" s="78"/>
      <c r="MGP10" s="78"/>
      <c r="MGQ10" s="78"/>
      <c r="MGR10" s="78"/>
      <c r="MGS10" s="78"/>
      <c r="MGT10" s="78"/>
      <c r="MGU10" s="78"/>
      <c r="MGV10" s="78"/>
      <c r="MGW10" s="78"/>
      <c r="MGX10" s="78"/>
      <c r="MGY10" s="78"/>
      <c r="MGZ10" s="78"/>
      <c r="MHA10" s="78"/>
      <c r="MHB10" s="78"/>
      <c r="MHC10" s="78"/>
      <c r="MHD10" s="78"/>
      <c r="MHE10" s="78"/>
      <c r="MHF10" s="78"/>
      <c r="MHG10" s="78"/>
      <c r="MHH10" s="78"/>
      <c r="MHI10" s="78"/>
      <c r="MHJ10" s="78"/>
      <c r="MHK10" s="78"/>
      <c r="MHL10" s="78"/>
      <c r="MHM10" s="78"/>
      <c r="MHN10" s="78"/>
      <c r="MHO10" s="78"/>
      <c r="MHP10" s="78"/>
      <c r="MHQ10" s="78"/>
      <c r="MHR10" s="78"/>
      <c r="MHS10" s="78"/>
      <c r="MHT10" s="78"/>
      <c r="MHU10" s="78"/>
      <c r="MHV10" s="78"/>
      <c r="MHW10" s="78"/>
      <c r="MHX10" s="78"/>
      <c r="MHY10" s="78"/>
      <c r="MHZ10" s="78"/>
      <c r="MIA10" s="78"/>
      <c r="MIB10" s="78"/>
      <c r="MIC10" s="78"/>
      <c r="MID10" s="78"/>
      <c r="MIE10" s="78"/>
      <c r="MIF10" s="78"/>
      <c r="MIG10" s="78"/>
      <c r="MIH10" s="78"/>
      <c r="MII10" s="78"/>
      <c r="MIJ10" s="78"/>
      <c r="MIK10" s="78"/>
      <c r="MIL10" s="78"/>
      <c r="MIM10" s="78"/>
      <c r="MIN10" s="78"/>
      <c r="MIO10" s="78"/>
      <c r="MIP10" s="78"/>
      <c r="MIQ10" s="78"/>
      <c r="MIR10" s="78"/>
      <c r="MIS10" s="78"/>
      <c r="MIT10" s="78"/>
      <c r="MIU10" s="78"/>
      <c r="MIV10" s="78"/>
      <c r="MIW10" s="78"/>
      <c r="MIX10" s="78"/>
      <c r="MIY10" s="78"/>
      <c r="MIZ10" s="78"/>
      <c r="MJA10" s="78"/>
      <c r="MJB10" s="78"/>
      <c r="MJC10" s="78"/>
      <c r="MJD10" s="78"/>
      <c r="MJE10" s="78"/>
      <c r="MJF10" s="78"/>
      <c r="MJG10" s="78"/>
      <c r="MJH10" s="78"/>
      <c r="MJI10" s="78"/>
      <c r="MJJ10" s="78"/>
      <c r="MJK10" s="78"/>
      <c r="MJL10" s="78"/>
      <c r="MJM10" s="78"/>
      <c r="MJN10" s="78"/>
      <c r="MJO10" s="78"/>
      <c r="MJP10" s="78"/>
      <c r="MJQ10" s="78"/>
      <c r="MJR10" s="78"/>
      <c r="MJS10" s="78"/>
      <c r="MJT10" s="78"/>
      <c r="MJU10" s="78"/>
      <c r="MJV10" s="78"/>
      <c r="MJW10" s="78"/>
      <c r="MJX10" s="78"/>
      <c r="MJY10" s="78"/>
      <c r="MJZ10" s="78"/>
      <c r="MKA10" s="78"/>
      <c r="MKB10" s="78"/>
      <c r="MKC10" s="78"/>
      <c r="MKD10" s="78"/>
      <c r="MKE10" s="78"/>
      <c r="MKF10" s="78"/>
      <c r="MKG10" s="78"/>
      <c r="MKH10" s="78"/>
      <c r="MKI10" s="78"/>
      <c r="MKJ10" s="78"/>
      <c r="MKK10" s="78"/>
      <c r="MKL10" s="78"/>
      <c r="MKM10" s="78"/>
      <c r="MKN10" s="78"/>
      <c r="MKO10" s="78"/>
      <c r="MKP10" s="78"/>
      <c r="MKQ10" s="78"/>
      <c r="MKR10" s="78"/>
      <c r="MKS10" s="78"/>
      <c r="MKT10" s="78"/>
      <c r="MKU10" s="78"/>
      <c r="MKV10" s="78"/>
      <c r="MKW10" s="78"/>
      <c r="MKX10" s="78"/>
      <c r="MKY10" s="78"/>
      <c r="MKZ10" s="78"/>
      <c r="MLA10" s="78"/>
      <c r="MLB10" s="78"/>
      <c r="MLC10" s="78"/>
      <c r="MLD10" s="78"/>
      <c r="MLE10" s="78"/>
      <c r="MLF10" s="78"/>
      <c r="MLG10" s="78"/>
      <c r="MLH10" s="78"/>
      <c r="MLI10" s="78"/>
      <c r="MLJ10" s="78"/>
      <c r="MLK10" s="78"/>
      <c r="MLL10" s="78"/>
      <c r="MLM10" s="78"/>
      <c r="MLN10" s="78"/>
      <c r="MLO10" s="78"/>
      <c r="MLP10" s="78"/>
      <c r="MLQ10" s="78"/>
      <c r="MLR10" s="78"/>
      <c r="MLS10" s="78"/>
      <c r="MLT10" s="78"/>
      <c r="MLU10" s="78"/>
      <c r="MLV10" s="78"/>
      <c r="MLW10" s="78"/>
      <c r="MLX10" s="78"/>
      <c r="MLY10" s="78"/>
      <c r="MLZ10" s="78"/>
      <c r="MMA10" s="78"/>
      <c r="MMB10" s="78"/>
      <c r="MMC10" s="78"/>
      <c r="MMD10" s="78"/>
      <c r="MME10" s="78"/>
      <c r="MMF10" s="78"/>
      <c r="MMG10" s="78"/>
      <c r="MMH10" s="78"/>
      <c r="MMI10" s="78"/>
      <c r="MMJ10" s="78"/>
      <c r="MMK10" s="78"/>
      <c r="MML10" s="78"/>
      <c r="MMM10" s="78"/>
      <c r="MMN10" s="78"/>
      <c r="MMO10" s="78"/>
      <c r="MMP10" s="78"/>
      <c r="MMQ10" s="78"/>
      <c r="MMR10" s="78"/>
      <c r="MMS10" s="78"/>
      <c r="MMT10" s="78"/>
      <c r="MMU10" s="78"/>
      <c r="MMV10" s="78"/>
      <c r="MMW10" s="78"/>
      <c r="MMX10" s="78"/>
      <c r="MMY10" s="78"/>
      <c r="MMZ10" s="78"/>
      <c r="MNA10" s="78"/>
      <c r="MNB10" s="78"/>
      <c r="MNC10" s="78"/>
      <c r="MND10" s="78"/>
      <c r="MNE10" s="78"/>
      <c r="MNF10" s="78"/>
      <c r="MNG10" s="78"/>
      <c r="MNH10" s="78"/>
      <c r="MNI10" s="78"/>
      <c r="MNJ10" s="78"/>
      <c r="MNK10" s="78"/>
      <c r="MNL10" s="78"/>
      <c r="MNM10" s="78"/>
      <c r="MNN10" s="78"/>
      <c r="MNO10" s="78"/>
      <c r="MNP10" s="78"/>
      <c r="MNQ10" s="78"/>
      <c r="MNR10" s="78"/>
      <c r="MNS10" s="78"/>
      <c r="MNT10" s="78"/>
      <c r="MNU10" s="78"/>
      <c r="MNV10" s="78"/>
      <c r="MNW10" s="78"/>
      <c r="MNX10" s="78"/>
      <c r="MNY10" s="78"/>
      <c r="MNZ10" s="78"/>
      <c r="MOA10" s="78"/>
      <c r="MOB10" s="78"/>
      <c r="MOC10" s="78"/>
      <c r="MOD10" s="78"/>
      <c r="MOE10" s="78"/>
      <c r="MOF10" s="78"/>
      <c r="MOG10" s="78"/>
      <c r="MOH10" s="78"/>
      <c r="MOI10" s="78"/>
      <c r="MOJ10" s="78"/>
      <c r="MOK10" s="78"/>
      <c r="MOL10" s="78"/>
      <c r="MOM10" s="78"/>
      <c r="MON10" s="78"/>
      <c r="MOO10" s="78"/>
      <c r="MOP10" s="78"/>
      <c r="MOQ10" s="78"/>
      <c r="MOR10" s="78"/>
      <c r="MOS10" s="78"/>
      <c r="MOT10" s="78"/>
      <c r="MOU10" s="78"/>
      <c r="MOV10" s="78"/>
      <c r="MOW10" s="78"/>
      <c r="MOX10" s="78"/>
      <c r="MOY10" s="78"/>
      <c r="MOZ10" s="78"/>
      <c r="MPA10" s="78"/>
      <c r="MPB10" s="78"/>
      <c r="MPC10" s="78"/>
      <c r="MPD10" s="78"/>
      <c r="MPE10" s="78"/>
      <c r="MPF10" s="78"/>
      <c r="MPG10" s="78"/>
      <c r="MPH10" s="78"/>
      <c r="MPI10" s="78"/>
      <c r="MPJ10" s="78"/>
      <c r="MPK10" s="78"/>
      <c r="MPL10" s="78"/>
      <c r="MPM10" s="78"/>
      <c r="MPN10" s="78"/>
      <c r="MPO10" s="78"/>
      <c r="MPP10" s="78"/>
      <c r="MPQ10" s="78"/>
      <c r="MPR10" s="78"/>
      <c r="MPS10" s="78"/>
      <c r="MPT10" s="78"/>
      <c r="MPU10" s="78"/>
      <c r="MPV10" s="78"/>
      <c r="MPW10" s="78"/>
      <c r="MPX10" s="78"/>
      <c r="MPY10" s="78"/>
      <c r="MPZ10" s="78"/>
      <c r="MQA10" s="78"/>
      <c r="MQB10" s="78"/>
      <c r="MQC10" s="78"/>
      <c r="MQD10" s="78"/>
      <c r="MQE10" s="78"/>
      <c r="MQF10" s="78"/>
      <c r="MQG10" s="78"/>
      <c r="MQH10" s="78"/>
      <c r="MQI10" s="78"/>
      <c r="MQJ10" s="78"/>
      <c r="MQK10" s="78"/>
      <c r="MQL10" s="78"/>
      <c r="MQM10" s="78"/>
      <c r="MQN10" s="78"/>
      <c r="MQO10" s="78"/>
      <c r="MQP10" s="78"/>
      <c r="MQQ10" s="78"/>
      <c r="MQR10" s="78"/>
      <c r="MQS10" s="78"/>
      <c r="MQT10" s="78"/>
      <c r="MQU10" s="78"/>
      <c r="MQV10" s="78"/>
      <c r="MQW10" s="78"/>
      <c r="MQX10" s="78"/>
      <c r="MQY10" s="78"/>
      <c r="MQZ10" s="78"/>
      <c r="MRA10" s="78"/>
      <c r="MRB10" s="78"/>
      <c r="MRC10" s="78"/>
      <c r="MRD10" s="78"/>
      <c r="MRE10" s="78"/>
      <c r="MRF10" s="78"/>
      <c r="MRG10" s="78"/>
      <c r="MRH10" s="78"/>
      <c r="MRI10" s="78"/>
      <c r="MRJ10" s="78"/>
      <c r="MRK10" s="78"/>
      <c r="MRL10" s="78"/>
      <c r="MRM10" s="78"/>
      <c r="MRN10" s="78"/>
      <c r="MRO10" s="78"/>
      <c r="MRP10" s="78"/>
      <c r="MRQ10" s="78"/>
      <c r="MRR10" s="78"/>
      <c r="MRS10" s="78"/>
      <c r="MRT10" s="78"/>
      <c r="MRU10" s="78"/>
      <c r="MRV10" s="78"/>
      <c r="MRW10" s="78"/>
      <c r="MRX10" s="78"/>
      <c r="MRY10" s="78"/>
      <c r="MRZ10" s="78"/>
      <c r="MSA10" s="78"/>
      <c r="MSB10" s="78"/>
      <c r="MSC10" s="78"/>
      <c r="MSD10" s="78"/>
      <c r="MSE10" s="78"/>
      <c r="MSF10" s="78"/>
      <c r="MSG10" s="78"/>
      <c r="MSH10" s="78"/>
      <c r="MSI10" s="78"/>
      <c r="MSJ10" s="78"/>
      <c r="MSK10" s="78"/>
      <c r="MSL10" s="78"/>
      <c r="MSM10" s="78"/>
      <c r="MSN10" s="78"/>
      <c r="MSO10" s="78"/>
      <c r="MSP10" s="78"/>
      <c r="MSQ10" s="78"/>
      <c r="MSR10" s="78"/>
      <c r="MSS10" s="78"/>
      <c r="MST10" s="78"/>
      <c r="MSU10" s="78"/>
      <c r="MSV10" s="78"/>
      <c r="MSW10" s="78"/>
      <c r="MSX10" s="78"/>
      <c r="MSY10" s="78"/>
      <c r="MSZ10" s="78"/>
      <c r="MTA10" s="78"/>
      <c r="MTB10" s="78"/>
      <c r="MTC10" s="78"/>
      <c r="MTD10" s="78"/>
      <c r="MTE10" s="78"/>
      <c r="MTF10" s="78"/>
      <c r="MTG10" s="78"/>
      <c r="MTH10" s="78"/>
      <c r="MTI10" s="78"/>
      <c r="MTJ10" s="78"/>
      <c r="MTK10" s="78"/>
      <c r="MTL10" s="78"/>
      <c r="MTM10" s="78"/>
      <c r="MTN10" s="78"/>
      <c r="MTO10" s="78"/>
      <c r="MTP10" s="78"/>
      <c r="MTQ10" s="78"/>
      <c r="MTR10" s="78"/>
      <c r="MTS10" s="78"/>
      <c r="MTT10" s="78"/>
      <c r="MTU10" s="78"/>
      <c r="MTV10" s="78"/>
      <c r="MTW10" s="78"/>
      <c r="MTX10" s="78"/>
      <c r="MTY10" s="78"/>
      <c r="MTZ10" s="78"/>
      <c r="MUA10" s="78"/>
      <c r="MUB10" s="78"/>
      <c r="MUC10" s="78"/>
      <c r="MUD10" s="78"/>
      <c r="MUE10" s="78"/>
      <c r="MUF10" s="78"/>
      <c r="MUG10" s="78"/>
      <c r="MUH10" s="78"/>
      <c r="MUI10" s="78"/>
      <c r="MUJ10" s="78"/>
      <c r="MUK10" s="78"/>
      <c r="MUL10" s="78"/>
      <c r="MUM10" s="78"/>
      <c r="MUN10" s="78"/>
      <c r="MUO10" s="78"/>
      <c r="MUP10" s="78"/>
      <c r="MUQ10" s="78"/>
      <c r="MUR10" s="78"/>
      <c r="MUS10" s="78"/>
      <c r="MUT10" s="78"/>
      <c r="MUU10" s="78"/>
      <c r="MUV10" s="78"/>
      <c r="MUW10" s="78"/>
      <c r="MUX10" s="78"/>
      <c r="MUY10" s="78"/>
      <c r="MUZ10" s="78"/>
      <c r="MVA10" s="78"/>
      <c r="MVB10" s="78"/>
      <c r="MVC10" s="78"/>
      <c r="MVD10" s="78"/>
      <c r="MVE10" s="78"/>
      <c r="MVF10" s="78"/>
      <c r="MVG10" s="78"/>
      <c r="MVH10" s="78"/>
      <c r="MVI10" s="78"/>
      <c r="MVJ10" s="78"/>
      <c r="MVK10" s="78"/>
      <c r="MVL10" s="78"/>
      <c r="MVM10" s="78"/>
      <c r="MVN10" s="78"/>
      <c r="MVO10" s="78"/>
      <c r="MVP10" s="78"/>
      <c r="MVQ10" s="78"/>
      <c r="MVR10" s="78"/>
      <c r="MVS10" s="78"/>
      <c r="MVT10" s="78"/>
      <c r="MVU10" s="78"/>
      <c r="MVV10" s="78"/>
      <c r="MVW10" s="78"/>
      <c r="MVX10" s="78"/>
      <c r="MVY10" s="78"/>
      <c r="MVZ10" s="78"/>
      <c r="MWA10" s="78"/>
      <c r="MWB10" s="78"/>
      <c r="MWC10" s="78"/>
      <c r="MWD10" s="78"/>
      <c r="MWE10" s="78"/>
      <c r="MWF10" s="78"/>
      <c r="MWG10" s="78"/>
      <c r="MWH10" s="78"/>
      <c r="MWI10" s="78"/>
      <c r="MWJ10" s="78"/>
      <c r="MWK10" s="78"/>
      <c r="MWL10" s="78"/>
      <c r="MWM10" s="78"/>
      <c r="MWN10" s="78"/>
      <c r="MWO10" s="78"/>
      <c r="MWP10" s="78"/>
      <c r="MWQ10" s="78"/>
      <c r="MWR10" s="78"/>
      <c r="MWS10" s="78"/>
      <c r="MWT10" s="78"/>
      <c r="MWU10" s="78"/>
      <c r="MWV10" s="78"/>
      <c r="MWW10" s="78"/>
      <c r="MWX10" s="78"/>
      <c r="MWY10" s="78"/>
      <c r="MWZ10" s="78"/>
      <c r="MXA10" s="78"/>
      <c r="MXB10" s="78"/>
      <c r="MXC10" s="78"/>
      <c r="MXD10" s="78"/>
      <c r="MXE10" s="78"/>
      <c r="MXF10" s="78"/>
      <c r="MXG10" s="78"/>
      <c r="MXH10" s="78"/>
      <c r="MXI10" s="78"/>
      <c r="MXJ10" s="78"/>
      <c r="MXK10" s="78"/>
      <c r="MXL10" s="78"/>
      <c r="MXM10" s="78"/>
      <c r="MXN10" s="78"/>
      <c r="MXO10" s="78"/>
      <c r="MXP10" s="78"/>
      <c r="MXQ10" s="78"/>
      <c r="MXR10" s="78"/>
      <c r="MXS10" s="78"/>
      <c r="MXT10" s="78"/>
      <c r="MXU10" s="78"/>
      <c r="MXV10" s="78"/>
      <c r="MXW10" s="78"/>
      <c r="MXX10" s="78"/>
      <c r="MXY10" s="78"/>
      <c r="MXZ10" s="78"/>
      <c r="MYA10" s="78"/>
      <c r="MYB10" s="78"/>
      <c r="MYC10" s="78"/>
      <c r="MYD10" s="78"/>
      <c r="MYE10" s="78"/>
      <c r="MYF10" s="78"/>
      <c r="MYG10" s="78"/>
      <c r="MYH10" s="78"/>
      <c r="MYI10" s="78"/>
      <c r="MYJ10" s="78"/>
      <c r="MYK10" s="78"/>
      <c r="MYL10" s="78"/>
      <c r="MYM10" s="78"/>
      <c r="MYN10" s="78"/>
      <c r="MYO10" s="78"/>
      <c r="MYP10" s="78"/>
      <c r="MYQ10" s="78"/>
      <c r="MYR10" s="78"/>
      <c r="MYS10" s="78"/>
      <c r="MYT10" s="78"/>
      <c r="MYU10" s="78"/>
      <c r="MYV10" s="78"/>
      <c r="MYW10" s="78"/>
      <c r="MYX10" s="78"/>
      <c r="MYY10" s="78"/>
      <c r="MYZ10" s="78"/>
      <c r="MZA10" s="78"/>
      <c r="MZB10" s="78"/>
      <c r="MZC10" s="78"/>
      <c r="MZD10" s="78"/>
      <c r="MZE10" s="78"/>
      <c r="MZF10" s="78"/>
      <c r="MZG10" s="78"/>
      <c r="MZH10" s="78"/>
      <c r="MZI10" s="78"/>
      <c r="MZJ10" s="78"/>
      <c r="MZK10" s="78"/>
      <c r="MZL10" s="78"/>
      <c r="MZM10" s="78"/>
      <c r="MZN10" s="78"/>
      <c r="MZO10" s="78"/>
      <c r="MZP10" s="78"/>
      <c r="MZQ10" s="78"/>
      <c r="MZR10" s="78"/>
      <c r="MZS10" s="78"/>
      <c r="MZT10" s="78"/>
      <c r="MZU10" s="78"/>
      <c r="MZV10" s="78"/>
      <c r="MZW10" s="78"/>
      <c r="MZX10" s="78"/>
      <c r="MZY10" s="78"/>
      <c r="MZZ10" s="78"/>
      <c r="NAA10" s="78"/>
      <c r="NAB10" s="78"/>
      <c r="NAC10" s="78"/>
      <c r="NAD10" s="78"/>
      <c r="NAE10" s="78"/>
      <c r="NAF10" s="78"/>
      <c r="NAG10" s="78"/>
      <c r="NAH10" s="78"/>
      <c r="NAI10" s="78"/>
      <c r="NAJ10" s="78"/>
      <c r="NAK10" s="78"/>
      <c r="NAL10" s="78"/>
      <c r="NAM10" s="78"/>
      <c r="NAN10" s="78"/>
      <c r="NAO10" s="78"/>
      <c r="NAP10" s="78"/>
      <c r="NAQ10" s="78"/>
      <c r="NAR10" s="78"/>
      <c r="NAS10" s="78"/>
      <c r="NAT10" s="78"/>
      <c r="NAU10" s="78"/>
      <c r="NAV10" s="78"/>
      <c r="NAW10" s="78"/>
      <c r="NAX10" s="78"/>
      <c r="NAY10" s="78"/>
      <c r="NAZ10" s="78"/>
      <c r="NBA10" s="78"/>
      <c r="NBB10" s="78"/>
      <c r="NBC10" s="78"/>
      <c r="NBD10" s="78"/>
      <c r="NBE10" s="78"/>
      <c r="NBF10" s="78"/>
      <c r="NBG10" s="78"/>
      <c r="NBH10" s="78"/>
      <c r="NBI10" s="78"/>
      <c r="NBJ10" s="78"/>
      <c r="NBK10" s="78"/>
      <c r="NBL10" s="78"/>
      <c r="NBM10" s="78"/>
      <c r="NBN10" s="78"/>
      <c r="NBO10" s="78"/>
      <c r="NBP10" s="78"/>
      <c r="NBQ10" s="78"/>
      <c r="NBR10" s="78"/>
      <c r="NBS10" s="78"/>
      <c r="NBT10" s="78"/>
      <c r="NBU10" s="78"/>
      <c r="NBV10" s="78"/>
      <c r="NBW10" s="78"/>
      <c r="NBX10" s="78"/>
      <c r="NBY10" s="78"/>
      <c r="NBZ10" s="78"/>
      <c r="NCA10" s="78"/>
      <c r="NCB10" s="78"/>
      <c r="NCC10" s="78"/>
      <c r="NCD10" s="78"/>
      <c r="NCE10" s="78"/>
      <c r="NCF10" s="78"/>
      <c r="NCG10" s="78"/>
      <c r="NCH10" s="78"/>
      <c r="NCI10" s="78"/>
      <c r="NCJ10" s="78"/>
      <c r="NCK10" s="78"/>
      <c r="NCL10" s="78"/>
      <c r="NCM10" s="78"/>
      <c r="NCN10" s="78"/>
      <c r="NCO10" s="78"/>
      <c r="NCP10" s="78"/>
      <c r="NCQ10" s="78"/>
      <c r="NCR10" s="78"/>
      <c r="NCS10" s="78"/>
      <c r="NCT10" s="78"/>
      <c r="NCU10" s="78"/>
      <c r="NCV10" s="78"/>
      <c r="NCW10" s="78"/>
      <c r="NCX10" s="78"/>
      <c r="NCY10" s="78"/>
      <c r="NCZ10" s="78"/>
      <c r="NDA10" s="78"/>
      <c r="NDB10" s="78"/>
      <c r="NDC10" s="78"/>
      <c r="NDD10" s="78"/>
      <c r="NDE10" s="78"/>
      <c r="NDF10" s="78"/>
      <c r="NDG10" s="78"/>
      <c r="NDH10" s="78"/>
      <c r="NDI10" s="78"/>
      <c r="NDJ10" s="78"/>
      <c r="NDK10" s="78"/>
      <c r="NDL10" s="78"/>
      <c r="NDM10" s="78"/>
      <c r="NDN10" s="78"/>
      <c r="NDO10" s="78"/>
      <c r="NDP10" s="78"/>
      <c r="NDQ10" s="78"/>
      <c r="NDR10" s="78"/>
      <c r="NDS10" s="78"/>
      <c r="NDT10" s="78"/>
      <c r="NDU10" s="78"/>
      <c r="NDV10" s="78"/>
      <c r="NDW10" s="78"/>
      <c r="NDX10" s="78"/>
      <c r="NDY10" s="78"/>
      <c r="NDZ10" s="78"/>
      <c r="NEA10" s="78"/>
      <c r="NEB10" s="78"/>
      <c r="NEC10" s="78"/>
      <c r="NED10" s="78"/>
      <c r="NEE10" s="78"/>
      <c r="NEF10" s="78"/>
      <c r="NEG10" s="78"/>
      <c r="NEH10" s="78"/>
      <c r="NEI10" s="78"/>
      <c r="NEJ10" s="78"/>
      <c r="NEK10" s="78"/>
      <c r="NEL10" s="78"/>
      <c r="NEM10" s="78"/>
      <c r="NEN10" s="78"/>
      <c r="NEO10" s="78"/>
      <c r="NEP10" s="78"/>
      <c r="NEQ10" s="78"/>
      <c r="NER10" s="78"/>
      <c r="NES10" s="78"/>
      <c r="NET10" s="78"/>
      <c r="NEU10" s="78"/>
      <c r="NEV10" s="78"/>
      <c r="NEW10" s="78"/>
      <c r="NEX10" s="78"/>
      <c r="NEY10" s="78"/>
      <c r="NEZ10" s="78"/>
      <c r="NFA10" s="78"/>
      <c r="NFB10" s="78"/>
      <c r="NFC10" s="78"/>
      <c r="NFD10" s="78"/>
      <c r="NFE10" s="78"/>
      <c r="NFF10" s="78"/>
      <c r="NFG10" s="78"/>
      <c r="NFH10" s="78"/>
      <c r="NFI10" s="78"/>
      <c r="NFJ10" s="78"/>
      <c r="NFK10" s="78"/>
      <c r="NFL10" s="78"/>
      <c r="NFM10" s="78"/>
      <c r="NFN10" s="78"/>
      <c r="NFO10" s="78"/>
      <c r="NFP10" s="78"/>
      <c r="NFQ10" s="78"/>
      <c r="NFR10" s="78"/>
      <c r="NFS10" s="78"/>
      <c r="NFT10" s="78"/>
      <c r="NFU10" s="78"/>
      <c r="NFV10" s="78"/>
      <c r="NFW10" s="78"/>
      <c r="NFX10" s="78"/>
      <c r="NFY10" s="78"/>
      <c r="NFZ10" s="78"/>
      <c r="NGA10" s="78"/>
      <c r="NGB10" s="78"/>
      <c r="NGC10" s="78"/>
      <c r="NGD10" s="78"/>
      <c r="NGE10" s="78"/>
      <c r="NGF10" s="78"/>
      <c r="NGG10" s="78"/>
      <c r="NGH10" s="78"/>
      <c r="NGI10" s="78"/>
      <c r="NGJ10" s="78"/>
      <c r="NGK10" s="78"/>
      <c r="NGL10" s="78"/>
      <c r="NGM10" s="78"/>
      <c r="NGN10" s="78"/>
      <c r="NGO10" s="78"/>
      <c r="NGP10" s="78"/>
      <c r="NGQ10" s="78"/>
      <c r="NGR10" s="78"/>
      <c r="NGS10" s="78"/>
      <c r="NGT10" s="78"/>
      <c r="NGU10" s="78"/>
      <c r="NGV10" s="78"/>
      <c r="NGW10" s="78"/>
      <c r="NGX10" s="78"/>
      <c r="NGY10" s="78"/>
      <c r="NGZ10" s="78"/>
      <c r="NHA10" s="78"/>
      <c r="NHB10" s="78"/>
      <c r="NHC10" s="78"/>
      <c r="NHD10" s="78"/>
      <c r="NHE10" s="78"/>
      <c r="NHF10" s="78"/>
      <c r="NHG10" s="78"/>
      <c r="NHH10" s="78"/>
      <c r="NHI10" s="78"/>
      <c r="NHJ10" s="78"/>
      <c r="NHK10" s="78"/>
      <c r="NHL10" s="78"/>
      <c r="NHM10" s="78"/>
      <c r="NHN10" s="78"/>
      <c r="NHO10" s="78"/>
      <c r="NHP10" s="78"/>
      <c r="NHQ10" s="78"/>
      <c r="NHR10" s="78"/>
      <c r="NHS10" s="78"/>
      <c r="NHT10" s="78"/>
      <c r="NHU10" s="78"/>
      <c r="NHV10" s="78"/>
      <c r="NHW10" s="78"/>
      <c r="NHX10" s="78"/>
      <c r="NHY10" s="78"/>
      <c r="NHZ10" s="78"/>
      <c r="NIA10" s="78"/>
      <c r="NIB10" s="78"/>
      <c r="NIC10" s="78"/>
      <c r="NID10" s="78"/>
      <c r="NIE10" s="78"/>
      <c r="NIF10" s="78"/>
      <c r="NIG10" s="78"/>
      <c r="NIH10" s="78"/>
      <c r="NII10" s="78"/>
      <c r="NIJ10" s="78"/>
      <c r="NIK10" s="78"/>
      <c r="NIL10" s="78"/>
      <c r="NIM10" s="78"/>
      <c r="NIN10" s="78"/>
      <c r="NIO10" s="78"/>
      <c r="NIP10" s="78"/>
      <c r="NIQ10" s="78"/>
      <c r="NIR10" s="78"/>
      <c r="NIS10" s="78"/>
      <c r="NIT10" s="78"/>
      <c r="NIU10" s="78"/>
      <c r="NIV10" s="78"/>
      <c r="NIW10" s="78"/>
      <c r="NIX10" s="78"/>
      <c r="NIY10" s="78"/>
      <c r="NIZ10" s="78"/>
      <c r="NJA10" s="78"/>
      <c r="NJB10" s="78"/>
      <c r="NJC10" s="78"/>
      <c r="NJD10" s="78"/>
      <c r="NJE10" s="78"/>
      <c r="NJF10" s="78"/>
      <c r="NJG10" s="78"/>
      <c r="NJH10" s="78"/>
      <c r="NJI10" s="78"/>
      <c r="NJJ10" s="78"/>
      <c r="NJK10" s="78"/>
      <c r="NJL10" s="78"/>
      <c r="NJM10" s="78"/>
      <c r="NJN10" s="78"/>
      <c r="NJO10" s="78"/>
      <c r="NJP10" s="78"/>
      <c r="NJQ10" s="78"/>
      <c r="NJR10" s="78"/>
      <c r="NJS10" s="78"/>
      <c r="NJT10" s="78"/>
      <c r="NJU10" s="78"/>
      <c r="NJV10" s="78"/>
      <c r="NJW10" s="78"/>
      <c r="NJX10" s="78"/>
      <c r="NJY10" s="78"/>
      <c r="NJZ10" s="78"/>
      <c r="NKA10" s="78"/>
      <c r="NKB10" s="78"/>
      <c r="NKC10" s="78"/>
      <c r="NKD10" s="78"/>
      <c r="NKE10" s="78"/>
      <c r="NKF10" s="78"/>
      <c r="NKG10" s="78"/>
      <c r="NKH10" s="78"/>
      <c r="NKI10" s="78"/>
      <c r="NKJ10" s="78"/>
      <c r="NKK10" s="78"/>
      <c r="NKL10" s="78"/>
      <c r="NKM10" s="78"/>
      <c r="NKN10" s="78"/>
      <c r="NKO10" s="78"/>
      <c r="NKP10" s="78"/>
      <c r="NKQ10" s="78"/>
      <c r="NKR10" s="78"/>
      <c r="NKS10" s="78"/>
      <c r="NKT10" s="78"/>
      <c r="NKU10" s="78"/>
      <c r="NKV10" s="78"/>
      <c r="NKW10" s="78"/>
      <c r="NKX10" s="78"/>
      <c r="NKY10" s="78"/>
      <c r="NKZ10" s="78"/>
      <c r="NLA10" s="78"/>
      <c r="NLB10" s="78"/>
      <c r="NLC10" s="78"/>
      <c r="NLD10" s="78"/>
      <c r="NLE10" s="78"/>
      <c r="NLF10" s="78"/>
      <c r="NLG10" s="78"/>
      <c r="NLH10" s="78"/>
      <c r="NLI10" s="78"/>
      <c r="NLJ10" s="78"/>
      <c r="NLK10" s="78"/>
      <c r="NLL10" s="78"/>
      <c r="NLM10" s="78"/>
      <c r="NLN10" s="78"/>
      <c r="NLO10" s="78"/>
      <c r="NLP10" s="78"/>
      <c r="NLQ10" s="78"/>
      <c r="NLR10" s="78"/>
      <c r="NLS10" s="78"/>
      <c r="NLT10" s="78"/>
      <c r="NLU10" s="78"/>
      <c r="NLV10" s="78"/>
      <c r="NLW10" s="78"/>
      <c r="NLX10" s="78"/>
      <c r="NLY10" s="78"/>
      <c r="NLZ10" s="78"/>
      <c r="NMA10" s="78"/>
      <c r="NMB10" s="78"/>
      <c r="NMC10" s="78"/>
      <c r="NMD10" s="78"/>
      <c r="NME10" s="78"/>
      <c r="NMF10" s="78"/>
      <c r="NMG10" s="78"/>
      <c r="NMH10" s="78"/>
      <c r="NMI10" s="78"/>
      <c r="NMJ10" s="78"/>
      <c r="NMK10" s="78"/>
      <c r="NML10" s="78"/>
      <c r="NMM10" s="78"/>
      <c r="NMN10" s="78"/>
      <c r="NMO10" s="78"/>
      <c r="NMP10" s="78"/>
      <c r="NMQ10" s="78"/>
      <c r="NMR10" s="78"/>
      <c r="NMS10" s="78"/>
      <c r="NMT10" s="78"/>
      <c r="NMU10" s="78"/>
      <c r="NMV10" s="78"/>
      <c r="NMW10" s="78"/>
      <c r="NMX10" s="78"/>
      <c r="NMY10" s="78"/>
      <c r="NMZ10" s="78"/>
      <c r="NNA10" s="78"/>
      <c r="NNB10" s="78"/>
      <c r="NNC10" s="78"/>
      <c r="NND10" s="78"/>
      <c r="NNE10" s="78"/>
      <c r="NNF10" s="78"/>
      <c r="NNG10" s="78"/>
      <c r="NNH10" s="78"/>
      <c r="NNI10" s="78"/>
      <c r="NNJ10" s="78"/>
      <c r="NNK10" s="78"/>
      <c r="NNL10" s="78"/>
      <c r="NNM10" s="78"/>
      <c r="NNN10" s="78"/>
      <c r="NNO10" s="78"/>
      <c r="NNP10" s="78"/>
      <c r="NNQ10" s="78"/>
      <c r="NNR10" s="78"/>
      <c r="NNS10" s="78"/>
      <c r="NNT10" s="78"/>
      <c r="NNU10" s="78"/>
      <c r="NNV10" s="78"/>
      <c r="NNW10" s="78"/>
      <c r="NNX10" s="78"/>
      <c r="NNY10" s="78"/>
      <c r="NNZ10" s="78"/>
      <c r="NOA10" s="78"/>
      <c r="NOB10" s="78"/>
      <c r="NOC10" s="78"/>
      <c r="NOD10" s="78"/>
      <c r="NOE10" s="78"/>
      <c r="NOF10" s="78"/>
      <c r="NOG10" s="78"/>
      <c r="NOH10" s="78"/>
      <c r="NOI10" s="78"/>
      <c r="NOJ10" s="78"/>
      <c r="NOK10" s="78"/>
      <c r="NOL10" s="78"/>
      <c r="NOM10" s="78"/>
      <c r="NON10" s="78"/>
      <c r="NOO10" s="78"/>
      <c r="NOP10" s="78"/>
      <c r="NOQ10" s="78"/>
      <c r="NOR10" s="78"/>
      <c r="NOS10" s="78"/>
      <c r="NOT10" s="78"/>
      <c r="NOU10" s="78"/>
      <c r="NOV10" s="78"/>
      <c r="NOW10" s="78"/>
      <c r="NOX10" s="78"/>
      <c r="NOY10" s="78"/>
      <c r="NOZ10" s="78"/>
      <c r="NPA10" s="78"/>
      <c r="NPB10" s="78"/>
      <c r="NPC10" s="78"/>
      <c r="NPD10" s="78"/>
      <c r="NPE10" s="78"/>
      <c r="NPF10" s="78"/>
      <c r="NPG10" s="78"/>
      <c r="NPH10" s="78"/>
      <c r="NPI10" s="78"/>
      <c r="NPJ10" s="78"/>
      <c r="NPK10" s="78"/>
      <c r="NPL10" s="78"/>
      <c r="NPM10" s="78"/>
      <c r="NPN10" s="78"/>
      <c r="NPO10" s="78"/>
      <c r="NPP10" s="78"/>
      <c r="NPQ10" s="78"/>
      <c r="NPR10" s="78"/>
      <c r="NPS10" s="78"/>
      <c r="NPT10" s="78"/>
      <c r="NPU10" s="78"/>
      <c r="NPV10" s="78"/>
      <c r="NPW10" s="78"/>
      <c r="NPX10" s="78"/>
      <c r="NPY10" s="78"/>
      <c r="NPZ10" s="78"/>
      <c r="NQA10" s="78"/>
      <c r="NQB10" s="78"/>
      <c r="NQC10" s="78"/>
      <c r="NQD10" s="78"/>
      <c r="NQE10" s="78"/>
      <c r="NQF10" s="78"/>
      <c r="NQG10" s="78"/>
      <c r="NQH10" s="78"/>
      <c r="NQI10" s="78"/>
      <c r="NQJ10" s="78"/>
      <c r="NQK10" s="78"/>
      <c r="NQL10" s="78"/>
      <c r="NQM10" s="78"/>
      <c r="NQN10" s="78"/>
      <c r="NQO10" s="78"/>
      <c r="NQP10" s="78"/>
      <c r="NQQ10" s="78"/>
      <c r="NQR10" s="78"/>
      <c r="NQS10" s="78"/>
      <c r="NQT10" s="78"/>
      <c r="NQU10" s="78"/>
      <c r="NQV10" s="78"/>
      <c r="NQW10" s="78"/>
      <c r="NQX10" s="78"/>
      <c r="NQY10" s="78"/>
      <c r="NQZ10" s="78"/>
      <c r="NRA10" s="78"/>
      <c r="NRB10" s="78"/>
      <c r="NRC10" s="78"/>
      <c r="NRD10" s="78"/>
      <c r="NRE10" s="78"/>
      <c r="NRF10" s="78"/>
      <c r="NRG10" s="78"/>
      <c r="NRH10" s="78"/>
      <c r="NRI10" s="78"/>
      <c r="NRJ10" s="78"/>
      <c r="NRK10" s="78"/>
      <c r="NRL10" s="78"/>
      <c r="NRM10" s="78"/>
      <c r="NRN10" s="78"/>
      <c r="NRO10" s="78"/>
      <c r="NRP10" s="78"/>
      <c r="NRQ10" s="78"/>
      <c r="NRR10" s="78"/>
      <c r="NRS10" s="78"/>
      <c r="NRT10" s="78"/>
      <c r="NRU10" s="78"/>
      <c r="NRV10" s="78"/>
      <c r="NRW10" s="78"/>
      <c r="NRX10" s="78"/>
      <c r="NRY10" s="78"/>
      <c r="NRZ10" s="78"/>
      <c r="NSA10" s="78"/>
      <c r="NSB10" s="78"/>
      <c r="NSC10" s="78"/>
      <c r="NSD10" s="78"/>
      <c r="NSE10" s="78"/>
      <c r="NSF10" s="78"/>
      <c r="NSG10" s="78"/>
      <c r="NSH10" s="78"/>
      <c r="NSI10" s="78"/>
      <c r="NSJ10" s="78"/>
      <c r="NSK10" s="78"/>
      <c r="NSL10" s="78"/>
      <c r="NSM10" s="78"/>
      <c r="NSN10" s="78"/>
      <c r="NSO10" s="78"/>
      <c r="NSP10" s="78"/>
      <c r="NSQ10" s="78"/>
      <c r="NSR10" s="78"/>
      <c r="NSS10" s="78"/>
      <c r="NST10" s="78"/>
      <c r="NSU10" s="78"/>
      <c r="NSV10" s="78"/>
      <c r="NSW10" s="78"/>
      <c r="NSX10" s="78"/>
      <c r="NSY10" s="78"/>
      <c r="NSZ10" s="78"/>
      <c r="NTA10" s="78"/>
      <c r="NTB10" s="78"/>
      <c r="NTC10" s="78"/>
      <c r="NTD10" s="78"/>
      <c r="NTE10" s="78"/>
      <c r="NTF10" s="78"/>
      <c r="NTG10" s="78"/>
      <c r="NTH10" s="78"/>
      <c r="NTI10" s="78"/>
      <c r="NTJ10" s="78"/>
      <c r="NTK10" s="78"/>
      <c r="NTL10" s="78"/>
      <c r="NTM10" s="78"/>
      <c r="NTN10" s="78"/>
      <c r="NTO10" s="78"/>
      <c r="NTP10" s="78"/>
      <c r="NTQ10" s="78"/>
      <c r="NTR10" s="78"/>
      <c r="NTS10" s="78"/>
      <c r="NTT10" s="78"/>
      <c r="NTU10" s="78"/>
      <c r="NTV10" s="78"/>
      <c r="NTW10" s="78"/>
      <c r="NTX10" s="78"/>
      <c r="NTY10" s="78"/>
      <c r="NTZ10" s="78"/>
      <c r="NUA10" s="78"/>
      <c r="NUB10" s="78"/>
      <c r="NUC10" s="78"/>
      <c r="NUD10" s="78"/>
      <c r="NUE10" s="78"/>
      <c r="NUF10" s="78"/>
      <c r="NUG10" s="78"/>
      <c r="NUH10" s="78"/>
      <c r="NUI10" s="78"/>
      <c r="NUJ10" s="78"/>
      <c r="NUK10" s="78"/>
      <c r="NUL10" s="78"/>
      <c r="NUM10" s="78"/>
      <c r="NUN10" s="78"/>
      <c r="NUO10" s="78"/>
      <c r="NUP10" s="78"/>
      <c r="NUQ10" s="78"/>
      <c r="NUR10" s="78"/>
      <c r="NUS10" s="78"/>
      <c r="NUT10" s="78"/>
      <c r="NUU10" s="78"/>
      <c r="NUV10" s="78"/>
      <c r="NUW10" s="78"/>
      <c r="NUX10" s="78"/>
      <c r="NUY10" s="78"/>
      <c r="NUZ10" s="78"/>
      <c r="NVA10" s="78"/>
      <c r="NVB10" s="78"/>
      <c r="NVC10" s="78"/>
      <c r="NVD10" s="78"/>
      <c r="NVE10" s="78"/>
      <c r="NVF10" s="78"/>
      <c r="NVG10" s="78"/>
      <c r="NVH10" s="78"/>
      <c r="NVI10" s="78"/>
      <c r="NVJ10" s="78"/>
      <c r="NVK10" s="78"/>
      <c r="NVL10" s="78"/>
      <c r="NVM10" s="78"/>
      <c r="NVN10" s="78"/>
      <c r="NVO10" s="78"/>
      <c r="NVP10" s="78"/>
      <c r="NVQ10" s="78"/>
      <c r="NVR10" s="78"/>
      <c r="NVS10" s="78"/>
      <c r="NVT10" s="78"/>
      <c r="NVU10" s="78"/>
      <c r="NVV10" s="78"/>
      <c r="NVW10" s="78"/>
      <c r="NVX10" s="78"/>
      <c r="NVY10" s="78"/>
      <c r="NVZ10" s="78"/>
      <c r="NWA10" s="78"/>
      <c r="NWB10" s="78"/>
      <c r="NWC10" s="78"/>
      <c r="NWD10" s="78"/>
      <c r="NWE10" s="78"/>
      <c r="NWF10" s="78"/>
      <c r="NWG10" s="78"/>
      <c r="NWH10" s="78"/>
      <c r="NWI10" s="78"/>
      <c r="NWJ10" s="78"/>
      <c r="NWK10" s="78"/>
      <c r="NWL10" s="78"/>
      <c r="NWM10" s="78"/>
      <c r="NWN10" s="78"/>
      <c r="NWO10" s="78"/>
      <c r="NWP10" s="78"/>
      <c r="NWQ10" s="78"/>
      <c r="NWR10" s="78"/>
      <c r="NWS10" s="78"/>
      <c r="NWT10" s="78"/>
      <c r="NWU10" s="78"/>
      <c r="NWV10" s="78"/>
      <c r="NWW10" s="78"/>
      <c r="NWX10" s="78"/>
      <c r="NWY10" s="78"/>
      <c r="NWZ10" s="78"/>
      <c r="NXA10" s="78"/>
      <c r="NXB10" s="78"/>
      <c r="NXC10" s="78"/>
      <c r="NXD10" s="78"/>
      <c r="NXE10" s="78"/>
      <c r="NXF10" s="78"/>
      <c r="NXG10" s="78"/>
      <c r="NXH10" s="78"/>
      <c r="NXI10" s="78"/>
      <c r="NXJ10" s="78"/>
      <c r="NXK10" s="78"/>
      <c r="NXL10" s="78"/>
      <c r="NXM10" s="78"/>
      <c r="NXN10" s="78"/>
      <c r="NXO10" s="78"/>
      <c r="NXP10" s="78"/>
      <c r="NXQ10" s="78"/>
      <c r="NXR10" s="78"/>
      <c r="NXS10" s="78"/>
      <c r="NXT10" s="78"/>
      <c r="NXU10" s="78"/>
      <c r="NXV10" s="78"/>
      <c r="NXW10" s="78"/>
      <c r="NXX10" s="78"/>
      <c r="NXY10" s="78"/>
      <c r="NXZ10" s="78"/>
      <c r="NYA10" s="78"/>
      <c r="NYB10" s="78"/>
      <c r="NYC10" s="78"/>
      <c r="NYD10" s="78"/>
      <c r="NYE10" s="78"/>
      <c r="NYF10" s="78"/>
      <c r="NYG10" s="78"/>
      <c r="NYH10" s="78"/>
      <c r="NYI10" s="78"/>
      <c r="NYJ10" s="78"/>
      <c r="NYK10" s="78"/>
      <c r="NYL10" s="78"/>
      <c r="NYM10" s="78"/>
      <c r="NYN10" s="78"/>
      <c r="NYO10" s="78"/>
      <c r="NYP10" s="78"/>
      <c r="NYQ10" s="78"/>
      <c r="NYR10" s="78"/>
      <c r="NYS10" s="78"/>
      <c r="NYT10" s="78"/>
      <c r="NYU10" s="78"/>
      <c r="NYV10" s="78"/>
      <c r="NYW10" s="78"/>
      <c r="NYX10" s="78"/>
      <c r="NYY10" s="78"/>
      <c r="NYZ10" s="78"/>
      <c r="NZA10" s="78"/>
      <c r="NZB10" s="78"/>
      <c r="NZC10" s="78"/>
      <c r="NZD10" s="78"/>
      <c r="NZE10" s="78"/>
      <c r="NZF10" s="78"/>
      <c r="NZG10" s="78"/>
      <c r="NZH10" s="78"/>
      <c r="NZI10" s="78"/>
      <c r="NZJ10" s="78"/>
      <c r="NZK10" s="78"/>
      <c r="NZL10" s="78"/>
      <c r="NZM10" s="78"/>
      <c r="NZN10" s="78"/>
      <c r="NZO10" s="78"/>
      <c r="NZP10" s="78"/>
      <c r="NZQ10" s="78"/>
      <c r="NZR10" s="78"/>
      <c r="NZS10" s="78"/>
      <c r="NZT10" s="78"/>
      <c r="NZU10" s="78"/>
      <c r="NZV10" s="78"/>
      <c r="NZW10" s="78"/>
      <c r="NZX10" s="78"/>
      <c r="NZY10" s="78"/>
      <c r="NZZ10" s="78"/>
      <c r="OAA10" s="78"/>
      <c r="OAB10" s="78"/>
      <c r="OAC10" s="78"/>
      <c r="OAD10" s="78"/>
      <c r="OAE10" s="78"/>
      <c r="OAF10" s="78"/>
      <c r="OAG10" s="78"/>
      <c r="OAH10" s="78"/>
      <c r="OAI10" s="78"/>
      <c r="OAJ10" s="78"/>
      <c r="OAK10" s="78"/>
      <c r="OAL10" s="78"/>
      <c r="OAM10" s="78"/>
      <c r="OAN10" s="78"/>
      <c r="OAO10" s="78"/>
      <c r="OAP10" s="78"/>
      <c r="OAQ10" s="78"/>
      <c r="OAR10" s="78"/>
      <c r="OAS10" s="78"/>
      <c r="OAT10" s="78"/>
      <c r="OAU10" s="78"/>
      <c r="OAV10" s="78"/>
      <c r="OAW10" s="78"/>
      <c r="OAX10" s="78"/>
      <c r="OAY10" s="78"/>
      <c r="OAZ10" s="78"/>
      <c r="OBA10" s="78"/>
      <c r="OBB10" s="78"/>
      <c r="OBC10" s="78"/>
      <c r="OBD10" s="78"/>
      <c r="OBE10" s="78"/>
      <c r="OBF10" s="78"/>
      <c r="OBG10" s="78"/>
      <c r="OBH10" s="78"/>
      <c r="OBI10" s="78"/>
      <c r="OBJ10" s="78"/>
      <c r="OBK10" s="78"/>
      <c r="OBL10" s="78"/>
      <c r="OBM10" s="78"/>
      <c r="OBN10" s="78"/>
      <c r="OBO10" s="78"/>
      <c r="OBP10" s="78"/>
      <c r="OBQ10" s="78"/>
      <c r="OBR10" s="78"/>
      <c r="OBS10" s="78"/>
      <c r="OBT10" s="78"/>
      <c r="OBU10" s="78"/>
      <c r="OBV10" s="78"/>
      <c r="OBW10" s="78"/>
      <c r="OBX10" s="78"/>
      <c r="OBY10" s="78"/>
      <c r="OBZ10" s="78"/>
      <c r="OCA10" s="78"/>
      <c r="OCB10" s="78"/>
      <c r="OCC10" s="78"/>
      <c r="OCD10" s="78"/>
      <c r="OCE10" s="78"/>
      <c r="OCF10" s="78"/>
      <c r="OCG10" s="78"/>
      <c r="OCH10" s="78"/>
      <c r="OCI10" s="78"/>
      <c r="OCJ10" s="78"/>
      <c r="OCK10" s="78"/>
      <c r="OCL10" s="78"/>
      <c r="OCM10" s="78"/>
      <c r="OCN10" s="78"/>
      <c r="OCO10" s="78"/>
      <c r="OCP10" s="78"/>
      <c r="OCQ10" s="78"/>
      <c r="OCR10" s="78"/>
      <c r="OCS10" s="78"/>
      <c r="OCT10" s="78"/>
      <c r="OCU10" s="78"/>
      <c r="OCV10" s="78"/>
      <c r="OCW10" s="78"/>
      <c r="OCX10" s="78"/>
      <c r="OCY10" s="78"/>
      <c r="OCZ10" s="78"/>
      <c r="ODA10" s="78"/>
      <c r="ODB10" s="78"/>
      <c r="ODC10" s="78"/>
      <c r="ODD10" s="78"/>
      <c r="ODE10" s="78"/>
      <c r="ODF10" s="78"/>
      <c r="ODG10" s="78"/>
      <c r="ODH10" s="78"/>
      <c r="ODI10" s="78"/>
      <c r="ODJ10" s="78"/>
      <c r="ODK10" s="78"/>
      <c r="ODL10" s="78"/>
      <c r="ODM10" s="78"/>
      <c r="ODN10" s="78"/>
      <c r="ODO10" s="78"/>
      <c r="ODP10" s="78"/>
      <c r="ODQ10" s="78"/>
      <c r="ODR10" s="78"/>
      <c r="ODS10" s="78"/>
      <c r="ODT10" s="78"/>
      <c r="ODU10" s="78"/>
      <c r="ODV10" s="78"/>
      <c r="ODW10" s="78"/>
      <c r="ODX10" s="78"/>
      <c r="ODY10" s="78"/>
      <c r="ODZ10" s="78"/>
      <c r="OEA10" s="78"/>
      <c r="OEB10" s="78"/>
      <c r="OEC10" s="78"/>
      <c r="OED10" s="78"/>
      <c r="OEE10" s="78"/>
      <c r="OEF10" s="78"/>
      <c r="OEG10" s="78"/>
      <c r="OEH10" s="78"/>
      <c r="OEI10" s="78"/>
      <c r="OEJ10" s="78"/>
      <c r="OEK10" s="78"/>
      <c r="OEL10" s="78"/>
      <c r="OEM10" s="78"/>
      <c r="OEN10" s="78"/>
      <c r="OEO10" s="78"/>
      <c r="OEP10" s="78"/>
      <c r="OEQ10" s="78"/>
      <c r="OER10" s="78"/>
      <c r="OES10" s="78"/>
      <c r="OET10" s="78"/>
      <c r="OEU10" s="78"/>
      <c r="OEV10" s="78"/>
      <c r="OEW10" s="78"/>
      <c r="OEX10" s="78"/>
      <c r="OEY10" s="78"/>
      <c r="OEZ10" s="78"/>
      <c r="OFA10" s="78"/>
      <c r="OFB10" s="78"/>
      <c r="OFC10" s="78"/>
      <c r="OFD10" s="78"/>
      <c r="OFE10" s="78"/>
      <c r="OFF10" s="78"/>
      <c r="OFG10" s="78"/>
      <c r="OFH10" s="78"/>
      <c r="OFI10" s="78"/>
      <c r="OFJ10" s="78"/>
      <c r="OFK10" s="78"/>
      <c r="OFL10" s="78"/>
      <c r="OFM10" s="78"/>
      <c r="OFN10" s="78"/>
      <c r="OFO10" s="78"/>
      <c r="OFP10" s="78"/>
      <c r="OFQ10" s="78"/>
      <c r="OFR10" s="78"/>
      <c r="OFS10" s="78"/>
      <c r="OFT10" s="78"/>
      <c r="OFU10" s="78"/>
      <c r="OFV10" s="78"/>
      <c r="OFW10" s="78"/>
      <c r="OFX10" s="78"/>
      <c r="OFY10" s="78"/>
      <c r="OFZ10" s="78"/>
      <c r="OGA10" s="78"/>
      <c r="OGB10" s="78"/>
      <c r="OGC10" s="78"/>
      <c r="OGD10" s="78"/>
      <c r="OGE10" s="78"/>
      <c r="OGF10" s="78"/>
      <c r="OGG10" s="78"/>
      <c r="OGH10" s="78"/>
      <c r="OGI10" s="78"/>
      <c r="OGJ10" s="78"/>
      <c r="OGK10" s="78"/>
      <c r="OGL10" s="78"/>
      <c r="OGM10" s="78"/>
      <c r="OGN10" s="78"/>
      <c r="OGO10" s="78"/>
      <c r="OGP10" s="78"/>
      <c r="OGQ10" s="78"/>
      <c r="OGR10" s="78"/>
      <c r="OGS10" s="78"/>
      <c r="OGT10" s="78"/>
      <c r="OGU10" s="78"/>
      <c r="OGV10" s="78"/>
      <c r="OGW10" s="78"/>
      <c r="OGX10" s="78"/>
      <c r="OGY10" s="78"/>
      <c r="OGZ10" s="78"/>
      <c r="OHA10" s="78"/>
      <c r="OHB10" s="78"/>
      <c r="OHC10" s="78"/>
      <c r="OHD10" s="78"/>
      <c r="OHE10" s="78"/>
      <c r="OHF10" s="78"/>
      <c r="OHG10" s="78"/>
      <c r="OHH10" s="78"/>
      <c r="OHI10" s="78"/>
      <c r="OHJ10" s="78"/>
      <c r="OHK10" s="78"/>
      <c r="OHL10" s="78"/>
      <c r="OHM10" s="78"/>
      <c r="OHN10" s="78"/>
      <c r="OHO10" s="78"/>
      <c r="OHP10" s="78"/>
      <c r="OHQ10" s="78"/>
      <c r="OHR10" s="78"/>
      <c r="OHS10" s="78"/>
      <c r="OHT10" s="78"/>
      <c r="OHU10" s="78"/>
      <c r="OHV10" s="78"/>
      <c r="OHW10" s="78"/>
      <c r="OHX10" s="78"/>
      <c r="OHY10" s="78"/>
      <c r="OHZ10" s="78"/>
      <c r="OIA10" s="78"/>
      <c r="OIB10" s="78"/>
      <c r="OIC10" s="78"/>
      <c r="OID10" s="78"/>
      <c r="OIE10" s="78"/>
      <c r="OIF10" s="78"/>
      <c r="OIG10" s="78"/>
      <c r="OIH10" s="78"/>
      <c r="OII10" s="78"/>
      <c r="OIJ10" s="78"/>
      <c r="OIK10" s="78"/>
      <c r="OIL10" s="78"/>
      <c r="OIM10" s="78"/>
      <c r="OIN10" s="78"/>
      <c r="OIO10" s="78"/>
      <c r="OIP10" s="78"/>
      <c r="OIQ10" s="78"/>
      <c r="OIR10" s="78"/>
      <c r="OIS10" s="78"/>
      <c r="OIT10" s="78"/>
      <c r="OIU10" s="78"/>
      <c r="OIV10" s="78"/>
      <c r="OIW10" s="78"/>
      <c r="OIX10" s="78"/>
      <c r="OIY10" s="78"/>
      <c r="OIZ10" s="78"/>
      <c r="OJA10" s="78"/>
      <c r="OJB10" s="78"/>
      <c r="OJC10" s="78"/>
      <c r="OJD10" s="78"/>
      <c r="OJE10" s="78"/>
      <c r="OJF10" s="78"/>
      <c r="OJG10" s="78"/>
      <c r="OJH10" s="78"/>
      <c r="OJI10" s="78"/>
      <c r="OJJ10" s="78"/>
      <c r="OJK10" s="78"/>
      <c r="OJL10" s="78"/>
      <c r="OJM10" s="78"/>
      <c r="OJN10" s="78"/>
      <c r="OJO10" s="78"/>
      <c r="OJP10" s="78"/>
      <c r="OJQ10" s="78"/>
      <c r="OJR10" s="78"/>
      <c r="OJS10" s="78"/>
      <c r="OJT10" s="78"/>
      <c r="OJU10" s="78"/>
      <c r="OJV10" s="78"/>
      <c r="OJW10" s="78"/>
      <c r="OJX10" s="78"/>
      <c r="OJY10" s="78"/>
      <c r="OJZ10" s="78"/>
      <c r="OKA10" s="78"/>
      <c r="OKB10" s="78"/>
      <c r="OKC10" s="78"/>
      <c r="OKD10" s="78"/>
      <c r="OKE10" s="78"/>
      <c r="OKF10" s="78"/>
      <c r="OKG10" s="78"/>
      <c r="OKH10" s="78"/>
      <c r="OKI10" s="78"/>
      <c r="OKJ10" s="78"/>
      <c r="OKK10" s="78"/>
      <c r="OKL10" s="78"/>
      <c r="OKM10" s="78"/>
      <c r="OKN10" s="78"/>
      <c r="OKO10" s="78"/>
      <c r="OKP10" s="78"/>
      <c r="OKQ10" s="78"/>
      <c r="OKR10" s="78"/>
      <c r="OKS10" s="78"/>
      <c r="OKT10" s="78"/>
      <c r="OKU10" s="78"/>
      <c r="OKV10" s="78"/>
      <c r="OKW10" s="78"/>
      <c r="OKX10" s="78"/>
      <c r="OKY10" s="78"/>
      <c r="OKZ10" s="78"/>
      <c r="OLA10" s="78"/>
      <c r="OLB10" s="78"/>
      <c r="OLC10" s="78"/>
      <c r="OLD10" s="78"/>
      <c r="OLE10" s="78"/>
      <c r="OLF10" s="78"/>
      <c r="OLG10" s="78"/>
      <c r="OLH10" s="78"/>
      <c r="OLI10" s="78"/>
      <c r="OLJ10" s="78"/>
      <c r="OLK10" s="78"/>
      <c r="OLL10" s="78"/>
      <c r="OLM10" s="78"/>
      <c r="OLN10" s="78"/>
      <c r="OLO10" s="78"/>
      <c r="OLP10" s="78"/>
      <c r="OLQ10" s="78"/>
      <c r="OLR10" s="78"/>
      <c r="OLS10" s="78"/>
      <c r="OLT10" s="78"/>
      <c r="OLU10" s="78"/>
      <c r="OLV10" s="78"/>
      <c r="OLW10" s="78"/>
      <c r="OLX10" s="78"/>
      <c r="OLY10" s="78"/>
      <c r="OLZ10" s="78"/>
      <c r="OMA10" s="78"/>
      <c r="OMB10" s="78"/>
      <c r="OMC10" s="78"/>
      <c r="OMD10" s="78"/>
      <c r="OME10" s="78"/>
      <c r="OMF10" s="78"/>
      <c r="OMG10" s="78"/>
      <c r="OMH10" s="78"/>
      <c r="OMI10" s="78"/>
      <c r="OMJ10" s="78"/>
      <c r="OMK10" s="78"/>
      <c r="OML10" s="78"/>
      <c r="OMM10" s="78"/>
      <c r="OMN10" s="78"/>
      <c r="OMO10" s="78"/>
      <c r="OMP10" s="78"/>
      <c r="OMQ10" s="78"/>
      <c r="OMR10" s="78"/>
      <c r="OMS10" s="78"/>
      <c r="OMT10" s="78"/>
      <c r="OMU10" s="78"/>
      <c r="OMV10" s="78"/>
      <c r="OMW10" s="78"/>
      <c r="OMX10" s="78"/>
      <c r="OMY10" s="78"/>
      <c r="OMZ10" s="78"/>
      <c r="ONA10" s="78"/>
      <c r="ONB10" s="78"/>
      <c r="ONC10" s="78"/>
      <c r="OND10" s="78"/>
      <c r="ONE10" s="78"/>
      <c r="ONF10" s="78"/>
      <c r="ONG10" s="78"/>
      <c r="ONH10" s="78"/>
      <c r="ONI10" s="78"/>
      <c r="ONJ10" s="78"/>
      <c r="ONK10" s="78"/>
      <c r="ONL10" s="78"/>
      <c r="ONM10" s="78"/>
      <c r="ONN10" s="78"/>
      <c r="ONO10" s="78"/>
      <c r="ONP10" s="78"/>
      <c r="ONQ10" s="78"/>
      <c r="ONR10" s="78"/>
      <c r="ONS10" s="78"/>
      <c r="ONT10" s="78"/>
      <c r="ONU10" s="78"/>
      <c r="ONV10" s="78"/>
      <c r="ONW10" s="78"/>
      <c r="ONX10" s="78"/>
      <c r="ONY10" s="78"/>
      <c r="ONZ10" s="78"/>
      <c r="OOA10" s="78"/>
      <c r="OOB10" s="78"/>
      <c r="OOC10" s="78"/>
      <c r="OOD10" s="78"/>
      <c r="OOE10" s="78"/>
      <c r="OOF10" s="78"/>
      <c r="OOG10" s="78"/>
      <c r="OOH10" s="78"/>
      <c r="OOI10" s="78"/>
      <c r="OOJ10" s="78"/>
      <c r="OOK10" s="78"/>
      <c r="OOL10" s="78"/>
      <c r="OOM10" s="78"/>
      <c r="OON10" s="78"/>
      <c r="OOO10" s="78"/>
      <c r="OOP10" s="78"/>
      <c r="OOQ10" s="78"/>
      <c r="OOR10" s="78"/>
      <c r="OOS10" s="78"/>
      <c r="OOT10" s="78"/>
      <c r="OOU10" s="78"/>
      <c r="OOV10" s="78"/>
      <c r="OOW10" s="78"/>
      <c r="OOX10" s="78"/>
      <c r="OOY10" s="78"/>
      <c r="OOZ10" s="78"/>
      <c r="OPA10" s="78"/>
      <c r="OPB10" s="78"/>
      <c r="OPC10" s="78"/>
      <c r="OPD10" s="78"/>
      <c r="OPE10" s="78"/>
      <c r="OPF10" s="78"/>
      <c r="OPG10" s="78"/>
      <c r="OPH10" s="78"/>
      <c r="OPI10" s="78"/>
      <c r="OPJ10" s="78"/>
      <c r="OPK10" s="78"/>
      <c r="OPL10" s="78"/>
      <c r="OPM10" s="78"/>
      <c r="OPN10" s="78"/>
      <c r="OPO10" s="78"/>
      <c r="OPP10" s="78"/>
      <c r="OPQ10" s="78"/>
      <c r="OPR10" s="78"/>
      <c r="OPS10" s="78"/>
      <c r="OPT10" s="78"/>
      <c r="OPU10" s="78"/>
      <c r="OPV10" s="78"/>
      <c r="OPW10" s="78"/>
      <c r="OPX10" s="78"/>
      <c r="OPY10" s="78"/>
      <c r="OPZ10" s="78"/>
      <c r="OQA10" s="78"/>
      <c r="OQB10" s="78"/>
      <c r="OQC10" s="78"/>
      <c r="OQD10" s="78"/>
      <c r="OQE10" s="78"/>
      <c r="OQF10" s="78"/>
      <c r="OQG10" s="78"/>
      <c r="OQH10" s="78"/>
      <c r="OQI10" s="78"/>
      <c r="OQJ10" s="78"/>
      <c r="OQK10" s="78"/>
      <c r="OQL10" s="78"/>
      <c r="OQM10" s="78"/>
      <c r="OQN10" s="78"/>
      <c r="OQO10" s="78"/>
      <c r="OQP10" s="78"/>
      <c r="OQQ10" s="78"/>
      <c r="OQR10" s="78"/>
      <c r="OQS10" s="78"/>
      <c r="OQT10" s="78"/>
      <c r="OQU10" s="78"/>
      <c r="OQV10" s="78"/>
      <c r="OQW10" s="78"/>
      <c r="OQX10" s="78"/>
      <c r="OQY10" s="78"/>
      <c r="OQZ10" s="78"/>
      <c r="ORA10" s="78"/>
      <c r="ORB10" s="78"/>
      <c r="ORC10" s="78"/>
      <c r="ORD10" s="78"/>
      <c r="ORE10" s="78"/>
      <c r="ORF10" s="78"/>
      <c r="ORG10" s="78"/>
      <c r="ORH10" s="78"/>
      <c r="ORI10" s="78"/>
      <c r="ORJ10" s="78"/>
      <c r="ORK10" s="78"/>
      <c r="ORL10" s="78"/>
      <c r="ORM10" s="78"/>
      <c r="ORN10" s="78"/>
      <c r="ORO10" s="78"/>
      <c r="ORP10" s="78"/>
      <c r="ORQ10" s="78"/>
      <c r="ORR10" s="78"/>
      <c r="ORS10" s="78"/>
      <c r="ORT10" s="78"/>
      <c r="ORU10" s="78"/>
      <c r="ORV10" s="78"/>
      <c r="ORW10" s="78"/>
      <c r="ORX10" s="78"/>
      <c r="ORY10" s="78"/>
      <c r="ORZ10" s="78"/>
      <c r="OSA10" s="78"/>
      <c r="OSB10" s="78"/>
      <c r="OSC10" s="78"/>
      <c r="OSD10" s="78"/>
      <c r="OSE10" s="78"/>
      <c r="OSF10" s="78"/>
      <c r="OSG10" s="78"/>
      <c r="OSH10" s="78"/>
      <c r="OSI10" s="78"/>
      <c r="OSJ10" s="78"/>
      <c r="OSK10" s="78"/>
      <c r="OSL10" s="78"/>
      <c r="OSM10" s="78"/>
      <c r="OSN10" s="78"/>
      <c r="OSO10" s="78"/>
      <c r="OSP10" s="78"/>
      <c r="OSQ10" s="78"/>
      <c r="OSR10" s="78"/>
      <c r="OSS10" s="78"/>
      <c r="OST10" s="78"/>
      <c r="OSU10" s="78"/>
      <c r="OSV10" s="78"/>
      <c r="OSW10" s="78"/>
      <c r="OSX10" s="78"/>
      <c r="OSY10" s="78"/>
      <c r="OSZ10" s="78"/>
      <c r="OTA10" s="78"/>
      <c r="OTB10" s="78"/>
      <c r="OTC10" s="78"/>
      <c r="OTD10" s="78"/>
      <c r="OTE10" s="78"/>
      <c r="OTF10" s="78"/>
      <c r="OTG10" s="78"/>
      <c r="OTH10" s="78"/>
      <c r="OTI10" s="78"/>
      <c r="OTJ10" s="78"/>
      <c r="OTK10" s="78"/>
      <c r="OTL10" s="78"/>
      <c r="OTM10" s="78"/>
      <c r="OTN10" s="78"/>
      <c r="OTO10" s="78"/>
      <c r="OTP10" s="78"/>
      <c r="OTQ10" s="78"/>
      <c r="OTR10" s="78"/>
      <c r="OTS10" s="78"/>
      <c r="OTT10" s="78"/>
      <c r="OTU10" s="78"/>
      <c r="OTV10" s="78"/>
      <c r="OTW10" s="78"/>
      <c r="OTX10" s="78"/>
      <c r="OTY10" s="78"/>
      <c r="OTZ10" s="78"/>
      <c r="OUA10" s="78"/>
      <c r="OUB10" s="78"/>
      <c r="OUC10" s="78"/>
      <c r="OUD10" s="78"/>
      <c r="OUE10" s="78"/>
      <c r="OUF10" s="78"/>
      <c r="OUG10" s="78"/>
      <c r="OUH10" s="78"/>
      <c r="OUI10" s="78"/>
      <c r="OUJ10" s="78"/>
      <c r="OUK10" s="78"/>
      <c r="OUL10" s="78"/>
      <c r="OUM10" s="78"/>
      <c r="OUN10" s="78"/>
      <c r="OUO10" s="78"/>
      <c r="OUP10" s="78"/>
      <c r="OUQ10" s="78"/>
      <c r="OUR10" s="78"/>
      <c r="OUS10" s="78"/>
      <c r="OUT10" s="78"/>
      <c r="OUU10" s="78"/>
      <c r="OUV10" s="78"/>
      <c r="OUW10" s="78"/>
      <c r="OUX10" s="78"/>
      <c r="OUY10" s="78"/>
      <c r="OUZ10" s="78"/>
      <c r="OVA10" s="78"/>
      <c r="OVB10" s="78"/>
      <c r="OVC10" s="78"/>
      <c r="OVD10" s="78"/>
      <c r="OVE10" s="78"/>
      <c r="OVF10" s="78"/>
      <c r="OVG10" s="78"/>
      <c r="OVH10" s="78"/>
      <c r="OVI10" s="78"/>
      <c r="OVJ10" s="78"/>
      <c r="OVK10" s="78"/>
      <c r="OVL10" s="78"/>
      <c r="OVM10" s="78"/>
      <c r="OVN10" s="78"/>
      <c r="OVO10" s="78"/>
      <c r="OVP10" s="78"/>
      <c r="OVQ10" s="78"/>
      <c r="OVR10" s="78"/>
      <c r="OVS10" s="78"/>
      <c r="OVT10" s="78"/>
      <c r="OVU10" s="78"/>
      <c r="OVV10" s="78"/>
      <c r="OVW10" s="78"/>
      <c r="OVX10" s="78"/>
      <c r="OVY10" s="78"/>
      <c r="OVZ10" s="78"/>
      <c r="OWA10" s="78"/>
      <c r="OWB10" s="78"/>
      <c r="OWC10" s="78"/>
      <c r="OWD10" s="78"/>
      <c r="OWE10" s="78"/>
      <c r="OWF10" s="78"/>
      <c r="OWG10" s="78"/>
      <c r="OWH10" s="78"/>
      <c r="OWI10" s="78"/>
      <c r="OWJ10" s="78"/>
      <c r="OWK10" s="78"/>
      <c r="OWL10" s="78"/>
      <c r="OWM10" s="78"/>
      <c r="OWN10" s="78"/>
      <c r="OWO10" s="78"/>
      <c r="OWP10" s="78"/>
      <c r="OWQ10" s="78"/>
      <c r="OWR10" s="78"/>
      <c r="OWS10" s="78"/>
      <c r="OWT10" s="78"/>
      <c r="OWU10" s="78"/>
      <c r="OWV10" s="78"/>
      <c r="OWW10" s="78"/>
      <c r="OWX10" s="78"/>
      <c r="OWY10" s="78"/>
      <c r="OWZ10" s="78"/>
      <c r="OXA10" s="78"/>
      <c r="OXB10" s="78"/>
      <c r="OXC10" s="78"/>
      <c r="OXD10" s="78"/>
      <c r="OXE10" s="78"/>
      <c r="OXF10" s="78"/>
      <c r="OXG10" s="78"/>
      <c r="OXH10" s="78"/>
      <c r="OXI10" s="78"/>
      <c r="OXJ10" s="78"/>
      <c r="OXK10" s="78"/>
      <c r="OXL10" s="78"/>
      <c r="OXM10" s="78"/>
      <c r="OXN10" s="78"/>
      <c r="OXO10" s="78"/>
      <c r="OXP10" s="78"/>
      <c r="OXQ10" s="78"/>
      <c r="OXR10" s="78"/>
      <c r="OXS10" s="78"/>
      <c r="OXT10" s="78"/>
      <c r="OXU10" s="78"/>
      <c r="OXV10" s="78"/>
      <c r="OXW10" s="78"/>
      <c r="OXX10" s="78"/>
      <c r="OXY10" s="78"/>
      <c r="OXZ10" s="78"/>
      <c r="OYA10" s="78"/>
      <c r="OYB10" s="78"/>
      <c r="OYC10" s="78"/>
      <c r="OYD10" s="78"/>
      <c r="OYE10" s="78"/>
      <c r="OYF10" s="78"/>
      <c r="OYG10" s="78"/>
      <c r="OYH10" s="78"/>
      <c r="OYI10" s="78"/>
      <c r="OYJ10" s="78"/>
      <c r="OYK10" s="78"/>
      <c r="OYL10" s="78"/>
      <c r="OYM10" s="78"/>
      <c r="OYN10" s="78"/>
      <c r="OYO10" s="78"/>
      <c r="OYP10" s="78"/>
      <c r="OYQ10" s="78"/>
      <c r="OYR10" s="78"/>
      <c r="OYS10" s="78"/>
      <c r="OYT10" s="78"/>
      <c r="OYU10" s="78"/>
      <c r="OYV10" s="78"/>
      <c r="OYW10" s="78"/>
      <c r="OYX10" s="78"/>
      <c r="OYY10" s="78"/>
      <c r="OYZ10" s="78"/>
      <c r="OZA10" s="78"/>
      <c r="OZB10" s="78"/>
      <c r="OZC10" s="78"/>
      <c r="OZD10" s="78"/>
      <c r="OZE10" s="78"/>
      <c r="OZF10" s="78"/>
      <c r="OZG10" s="78"/>
      <c r="OZH10" s="78"/>
      <c r="OZI10" s="78"/>
      <c r="OZJ10" s="78"/>
      <c r="OZK10" s="78"/>
      <c r="OZL10" s="78"/>
      <c r="OZM10" s="78"/>
      <c r="OZN10" s="78"/>
      <c r="OZO10" s="78"/>
      <c r="OZP10" s="78"/>
      <c r="OZQ10" s="78"/>
      <c r="OZR10" s="78"/>
      <c r="OZS10" s="78"/>
      <c r="OZT10" s="78"/>
      <c r="OZU10" s="78"/>
      <c r="OZV10" s="78"/>
      <c r="OZW10" s="78"/>
      <c r="OZX10" s="78"/>
      <c r="OZY10" s="78"/>
      <c r="OZZ10" s="78"/>
      <c r="PAA10" s="78"/>
      <c r="PAB10" s="78"/>
      <c r="PAC10" s="78"/>
      <c r="PAD10" s="78"/>
      <c r="PAE10" s="78"/>
      <c r="PAF10" s="78"/>
      <c r="PAG10" s="78"/>
      <c r="PAH10" s="78"/>
      <c r="PAI10" s="78"/>
      <c r="PAJ10" s="78"/>
      <c r="PAK10" s="78"/>
      <c r="PAL10" s="78"/>
      <c r="PAM10" s="78"/>
      <c r="PAN10" s="78"/>
      <c r="PAO10" s="78"/>
      <c r="PAP10" s="78"/>
      <c r="PAQ10" s="78"/>
      <c r="PAR10" s="78"/>
      <c r="PAS10" s="78"/>
      <c r="PAT10" s="78"/>
      <c r="PAU10" s="78"/>
      <c r="PAV10" s="78"/>
      <c r="PAW10" s="78"/>
      <c r="PAX10" s="78"/>
      <c r="PAY10" s="78"/>
      <c r="PAZ10" s="78"/>
      <c r="PBA10" s="78"/>
      <c r="PBB10" s="78"/>
      <c r="PBC10" s="78"/>
      <c r="PBD10" s="78"/>
      <c r="PBE10" s="78"/>
      <c r="PBF10" s="78"/>
      <c r="PBG10" s="78"/>
      <c r="PBH10" s="78"/>
      <c r="PBI10" s="78"/>
      <c r="PBJ10" s="78"/>
      <c r="PBK10" s="78"/>
      <c r="PBL10" s="78"/>
      <c r="PBM10" s="78"/>
      <c r="PBN10" s="78"/>
      <c r="PBO10" s="78"/>
      <c r="PBP10" s="78"/>
      <c r="PBQ10" s="78"/>
      <c r="PBR10" s="78"/>
      <c r="PBS10" s="78"/>
      <c r="PBT10" s="78"/>
      <c r="PBU10" s="78"/>
      <c r="PBV10" s="78"/>
      <c r="PBW10" s="78"/>
      <c r="PBX10" s="78"/>
      <c r="PBY10" s="78"/>
      <c r="PBZ10" s="78"/>
      <c r="PCA10" s="78"/>
      <c r="PCB10" s="78"/>
      <c r="PCC10" s="78"/>
      <c r="PCD10" s="78"/>
      <c r="PCE10" s="78"/>
      <c r="PCF10" s="78"/>
      <c r="PCG10" s="78"/>
      <c r="PCH10" s="78"/>
      <c r="PCI10" s="78"/>
      <c r="PCJ10" s="78"/>
      <c r="PCK10" s="78"/>
      <c r="PCL10" s="78"/>
      <c r="PCM10" s="78"/>
      <c r="PCN10" s="78"/>
      <c r="PCO10" s="78"/>
      <c r="PCP10" s="78"/>
      <c r="PCQ10" s="78"/>
      <c r="PCR10" s="78"/>
      <c r="PCS10" s="78"/>
      <c r="PCT10" s="78"/>
      <c r="PCU10" s="78"/>
      <c r="PCV10" s="78"/>
      <c r="PCW10" s="78"/>
      <c r="PCX10" s="78"/>
      <c r="PCY10" s="78"/>
      <c r="PCZ10" s="78"/>
      <c r="PDA10" s="78"/>
      <c r="PDB10" s="78"/>
      <c r="PDC10" s="78"/>
      <c r="PDD10" s="78"/>
      <c r="PDE10" s="78"/>
      <c r="PDF10" s="78"/>
      <c r="PDG10" s="78"/>
      <c r="PDH10" s="78"/>
      <c r="PDI10" s="78"/>
      <c r="PDJ10" s="78"/>
      <c r="PDK10" s="78"/>
      <c r="PDL10" s="78"/>
      <c r="PDM10" s="78"/>
      <c r="PDN10" s="78"/>
      <c r="PDO10" s="78"/>
      <c r="PDP10" s="78"/>
      <c r="PDQ10" s="78"/>
      <c r="PDR10" s="78"/>
      <c r="PDS10" s="78"/>
      <c r="PDT10" s="78"/>
      <c r="PDU10" s="78"/>
      <c r="PDV10" s="78"/>
      <c r="PDW10" s="78"/>
      <c r="PDX10" s="78"/>
      <c r="PDY10" s="78"/>
      <c r="PDZ10" s="78"/>
      <c r="PEA10" s="78"/>
      <c r="PEB10" s="78"/>
      <c r="PEC10" s="78"/>
      <c r="PED10" s="78"/>
      <c r="PEE10" s="78"/>
      <c r="PEF10" s="78"/>
      <c r="PEG10" s="78"/>
      <c r="PEH10" s="78"/>
      <c r="PEI10" s="78"/>
      <c r="PEJ10" s="78"/>
      <c r="PEK10" s="78"/>
      <c r="PEL10" s="78"/>
      <c r="PEM10" s="78"/>
      <c r="PEN10" s="78"/>
      <c r="PEO10" s="78"/>
      <c r="PEP10" s="78"/>
      <c r="PEQ10" s="78"/>
      <c r="PER10" s="78"/>
      <c r="PES10" s="78"/>
      <c r="PET10" s="78"/>
      <c r="PEU10" s="78"/>
      <c r="PEV10" s="78"/>
      <c r="PEW10" s="78"/>
      <c r="PEX10" s="78"/>
      <c r="PEY10" s="78"/>
      <c r="PEZ10" s="78"/>
      <c r="PFA10" s="78"/>
      <c r="PFB10" s="78"/>
      <c r="PFC10" s="78"/>
      <c r="PFD10" s="78"/>
      <c r="PFE10" s="78"/>
      <c r="PFF10" s="78"/>
      <c r="PFG10" s="78"/>
      <c r="PFH10" s="78"/>
      <c r="PFI10" s="78"/>
      <c r="PFJ10" s="78"/>
      <c r="PFK10" s="78"/>
      <c r="PFL10" s="78"/>
      <c r="PFM10" s="78"/>
      <c r="PFN10" s="78"/>
      <c r="PFO10" s="78"/>
      <c r="PFP10" s="78"/>
      <c r="PFQ10" s="78"/>
      <c r="PFR10" s="78"/>
      <c r="PFS10" s="78"/>
      <c r="PFT10" s="78"/>
      <c r="PFU10" s="78"/>
      <c r="PFV10" s="78"/>
      <c r="PFW10" s="78"/>
      <c r="PFX10" s="78"/>
      <c r="PFY10" s="78"/>
      <c r="PFZ10" s="78"/>
      <c r="PGA10" s="78"/>
      <c r="PGB10" s="78"/>
      <c r="PGC10" s="78"/>
      <c r="PGD10" s="78"/>
      <c r="PGE10" s="78"/>
      <c r="PGF10" s="78"/>
      <c r="PGG10" s="78"/>
      <c r="PGH10" s="78"/>
      <c r="PGI10" s="78"/>
      <c r="PGJ10" s="78"/>
      <c r="PGK10" s="78"/>
      <c r="PGL10" s="78"/>
      <c r="PGM10" s="78"/>
      <c r="PGN10" s="78"/>
      <c r="PGO10" s="78"/>
      <c r="PGP10" s="78"/>
      <c r="PGQ10" s="78"/>
      <c r="PGR10" s="78"/>
      <c r="PGS10" s="78"/>
      <c r="PGT10" s="78"/>
      <c r="PGU10" s="78"/>
      <c r="PGV10" s="78"/>
      <c r="PGW10" s="78"/>
      <c r="PGX10" s="78"/>
      <c r="PGY10" s="78"/>
      <c r="PGZ10" s="78"/>
      <c r="PHA10" s="78"/>
      <c r="PHB10" s="78"/>
      <c r="PHC10" s="78"/>
      <c r="PHD10" s="78"/>
      <c r="PHE10" s="78"/>
      <c r="PHF10" s="78"/>
      <c r="PHG10" s="78"/>
      <c r="PHH10" s="78"/>
      <c r="PHI10" s="78"/>
      <c r="PHJ10" s="78"/>
      <c r="PHK10" s="78"/>
      <c r="PHL10" s="78"/>
      <c r="PHM10" s="78"/>
      <c r="PHN10" s="78"/>
      <c r="PHO10" s="78"/>
      <c r="PHP10" s="78"/>
      <c r="PHQ10" s="78"/>
      <c r="PHR10" s="78"/>
      <c r="PHS10" s="78"/>
      <c r="PHT10" s="78"/>
      <c r="PHU10" s="78"/>
      <c r="PHV10" s="78"/>
      <c r="PHW10" s="78"/>
      <c r="PHX10" s="78"/>
      <c r="PHY10" s="78"/>
      <c r="PHZ10" s="78"/>
      <c r="PIA10" s="78"/>
      <c r="PIB10" s="78"/>
      <c r="PIC10" s="78"/>
      <c r="PID10" s="78"/>
      <c r="PIE10" s="78"/>
      <c r="PIF10" s="78"/>
      <c r="PIG10" s="78"/>
      <c r="PIH10" s="78"/>
      <c r="PII10" s="78"/>
      <c r="PIJ10" s="78"/>
      <c r="PIK10" s="78"/>
      <c r="PIL10" s="78"/>
      <c r="PIM10" s="78"/>
      <c r="PIN10" s="78"/>
      <c r="PIO10" s="78"/>
      <c r="PIP10" s="78"/>
      <c r="PIQ10" s="78"/>
      <c r="PIR10" s="78"/>
      <c r="PIS10" s="78"/>
      <c r="PIT10" s="78"/>
      <c r="PIU10" s="78"/>
      <c r="PIV10" s="78"/>
      <c r="PIW10" s="78"/>
      <c r="PIX10" s="78"/>
      <c r="PIY10" s="78"/>
      <c r="PIZ10" s="78"/>
      <c r="PJA10" s="78"/>
      <c r="PJB10" s="78"/>
      <c r="PJC10" s="78"/>
      <c r="PJD10" s="78"/>
      <c r="PJE10" s="78"/>
      <c r="PJF10" s="78"/>
      <c r="PJG10" s="78"/>
      <c r="PJH10" s="78"/>
      <c r="PJI10" s="78"/>
      <c r="PJJ10" s="78"/>
      <c r="PJK10" s="78"/>
      <c r="PJL10" s="78"/>
      <c r="PJM10" s="78"/>
      <c r="PJN10" s="78"/>
      <c r="PJO10" s="78"/>
      <c r="PJP10" s="78"/>
      <c r="PJQ10" s="78"/>
      <c r="PJR10" s="78"/>
      <c r="PJS10" s="78"/>
      <c r="PJT10" s="78"/>
      <c r="PJU10" s="78"/>
      <c r="PJV10" s="78"/>
      <c r="PJW10" s="78"/>
      <c r="PJX10" s="78"/>
      <c r="PJY10" s="78"/>
      <c r="PJZ10" s="78"/>
      <c r="PKA10" s="78"/>
      <c r="PKB10" s="78"/>
      <c r="PKC10" s="78"/>
      <c r="PKD10" s="78"/>
      <c r="PKE10" s="78"/>
      <c r="PKF10" s="78"/>
      <c r="PKG10" s="78"/>
      <c r="PKH10" s="78"/>
      <c r="PKI10" s="78"/>
      <c r="PKJ10" s="78"/>
      <c r="PKK10" s="78"/>
      <c r="PKL10" s="78"/>
      <c r="PKM10" s="78"/>
      <c r="PKN10" s="78"/>
      <c r="PKO10" s="78"/>
      <c r="PKP10" s="78"/>
      <c r="PKQ10" s="78"/>
      <c r="PKR10" s="78"/>
      <c r="PKS10" s="78"/>
      <c r="PKT10" s="78"/>
      <c r="PKU10" s="78"/>
      <c r="PKV10" s="78"/>
      <c r="PKW10" s="78"/>
      <c r="PKX10" s="78"/>
      <c r="PKY10" s="78"/>
      <c r="PKZ10" s="78"/>
      <c r="PLA10" s="78"/>
      <c r="PLB10" s="78"/>
      <c r="PLC10" s="78"/>
      <c r="PLD10" s="78"/>
      <c r="PLE10" s="78"/>
      <c r="PLF10" s="78"/>
      <c r="PLG10" s="78"/>
      <c r="PLH10" s="78"/>
      <c r="PLI10" s="78"/>
      <c r="PLJ10" s="78"/>
      <c r="PLK10" s="78"/>
      <c r="PLL10" s="78"/>
      <c r="PLM10" s="78"/>
      <c r="PLN10" s="78"/>
      <c r="PLO10" s="78"/>
      <c r="PLP10" s="78"/>
      <c r="PLQ10" s="78"/>
      <c r="PLR10" s="78"/>
      <c r="PLS10" s="78"/>
      <c r="PLT10" s="78"/>
      <c r="PLU10" s="78"/>
      <c r="PLV10" s="78"/>
      <c r="PLW10" s="78"/>
      <c r="PLX10" s="78"/>
      <c r="PLY10" s="78"/>
      <c r="PLZ10" s="78"/>
      <c r="PMA10" s="78"/>
      <c r="PMB10" s="78"/>
      <c r="PMC10" s="78"/>
      <c r="PMD10" s="78"/>
      <c r="PME10" s="78"/>
      <c r="PMF10" s="78"/>
      <c r="PMG10" s="78"/>
      <c r="PMH10" s="78"/>
      <c r="PMI10" s="78"/>
      <c r="PMJ10" s="78"/>
      <c r="PMK10" s="78"/>
      <c r="PML10" s="78"/>
      <c r="PMM10" s="78"/>
      <c r="PMN10" s="78"/>
      <c r="PMO10" s="78"/>
      <c r="PMP10" s="78"/>
      <c r="PMQ10" s="78"/>
      <c r="PMR10" s="78"/>
      <c r="PMS10" s="78"/>
      <c r="PMT10" s="78"/>
      <c r="PMU10" s="78"/>
      <c r="PMV10" s="78"/>
      <c r="PMW10" s="78"/>
      <c r="PMX10" s="78"/>
      <c r="PMY10" s="78"/>
      <c r="PMZ10" s="78"/>
      <c r="PNA10" s="78"/>
      <c r="PNB10" s="78"/>
      <c r="PNC10" s="78"/>
      <c r="PND10" s="78"/>
      <c r="PNE10" s="78"/>
      <c r="PNF10" s="78"/>
      <c r="PNG10" s="78"/>
      <c r="PNH10" s="78"/>
      <c r="PNI10" s="78"/>
      <c r="PNJ10" s="78"/>
      <c r="PNK10" s="78"/>
      <c r="PNL10" s="78"/>
      <c r="PNM10" s="78"/>
      <c r="PNN10" s="78"/>
      <c r="PNO10" s="78"/>
      <c r="PNP10" s="78"/>
      <c r="PNQ10" s="78"/>
      <c r="PNR10" s="78"/>
      <c r="PNS10" s="78"/>
      <c r="PNT10" s="78"/>
      <c r="PNU10" s="78"/>
      <c r="PNV10" s="78"/>
      <c r="PNW10" s="78"/>
      <c r="PNX10" s="78"/>
      <c r="PNY10" s="78"/>
      <c r="PNZ10" s="78"/>
      <c r="POA10" s="78"/>
      <c r="POB10" s="78"/>
      <c r="POC10" s="78"/>
      <c r="POD10" s="78"/>
      <c r="POE10" s="78"/>
      <c r="POF10" s="78"/>
      <c r="POG10" s="78"/>
      <c r="POH10" s="78"/>
      <c r="POI10" s="78"/>
      <c r="POJ10" s="78"/>
      <c r="POK10" s="78"/>
      <c r="POL10" s="78"/>
      <c r="POM10" s="78"/>
      <c r="PON10" s="78"/>
      <c r="POO10" s="78"/>
      <c r="POP10" s="78"/>
      <c r="POQ10" s="78"/>
      <c r="POR10" s="78"/>
      <c r="POS10" s="78"/>
      <c r="POT10" s="78"/>
      <c r="POU10" s="78"/>
      <c r="POV10" s="78"/>
      <c r="POW10" s="78"/>
      <c r="POX10" s="78"/>
      <c r="POY10" s="78"/>
      <c r="POZ10" s="78"/>
      <c r="PPA10" s="78"/>
      <c r="PPB10" s="78"/>
      <c r="PPC10" s="78"/>
      <c r="PPD10" s="78"/>
      <c r="PPE10" s="78"/>
      <c r="PPF10" s="78"/>
      <c r="PPG10" s="78"/>
      <c r="PPH10" s="78"/>
      <c r="PPI10" s="78"/>
      <c r="PPJ10" s="78"/>
      <c r="PPK10" s="78"/>
      <c r="PPL10" s="78"/>
      <c r="PPM10" s="78"/>
      <c r="PPN10" s="78"/>
      <c r="PPO10" s="78"/>
      <c r="PPP10" s="78"/>
      <c r="PPQ10" s="78"/>
      <c r="PPR10" s="78"/>
      <c r="PPS10" s="78"/>
      <c r="PPT10" s="78"/>
      <c r="PPU10" s="78"/>
      <c r="PPV10" s="78"/>
      <c r="PPW10" s="78"/>
      <c r="PPX10" s="78"/>
      <c r="PPY10" s="78"/>
      <c r="PPZ10" s="78"/>
      <c r="PQA10" s="78"/>
      <c r="PQB10" s="78"/>
      <c r="PQC10" s="78"/>
      <c r="PQD10" s="78"/>
      <c r="PQE10" s="78"/>
      <c r="PQF10" s="78"/>
      <c r="PQG10" s="78"/>
      <c r="PQH10" s="78"/>
      <c r="PQI10" s="78"/>
      <c r="PQJ10" s="78"/>
      <c r="PQK10" s="78"/>
      <c r="PQL10" s="78"/>
      <c r="PQM10" s="78"/>
      <c r="PQN10" s="78"/>
      <c r="PQO10" s="78"/>
      <c r="PQP10" s="78"/>
      <c r="PQQ10" s="78"/>
      <c r="PQR10" s="78"/>
      <c r="PQS10" s="78"/>
      <c r="PQT10" s="78"/>
      <c r="PQU10" s="78"/>
      <c r="PQV10" s="78"/>
      <c r="PQW10" s="78"/>
      <c r="PQX10" s="78"/>
      <c r="PQY10" s="78"/>
      <c r="PQZ10" s="78"/>
      <c r="PRA10" s="78"/>
      <c r="PRB10" s="78"/>
      <c r="PRC10" s="78"/>
      <c r="PRD10" s="78"/>
      <c r="PRE10" s="78"/>
      <c r="PRF10" s="78"/>
      <c r="PRG10" s="78"/>
      <c r="PRH10" s="78"/>
      <c r="PRI10" s="78"/>
      <c r="PRJ10" s="78"/>
      <c r="PRK10" s="78"/>
      <c r="PRL10" s="78"/>
      <c r="PRM10" s="78"/>
      <c r="PRN10" s="78"/>
      <c r="PRO10" s="78"/>
      <c r="PRP10" s="78"/>
      <c r="PRQ10" s="78"/>
      <c r="PRR10" s="78"/>
      <c r="PRS10" s="78"/>
      <c r="PRT10" s="78"/>
      <c r="PRU10" s="78"/>
      <c r="PRV10" s="78"/>
      <c r="PRW10" s="78"/>
      <c r="PRX10" s="78"/>
      <c r="PRY10" s="78"/>
      <c r="PRZ10" s="78"/>
      <c r="PSA10" s="78"/>
      <c r="PSB10" s="78"/>
      <c r="PSC10" s="78"/>
      <c r="PSD10" s="78"/>
      <c r="PSE10" s="78"/>
      <c r="PSF10" s="78"/>
      <c r="PSG10" s="78"/>
      <c r="PSH10" s="78"/>
      <c r="PSI10" s="78"/>
      <c r="PSJ10" s="78"/>
      <c r="PSK10" s="78"/>
      <c r="PSL10" s="78"/>
      <c r="PSM10" s="78"/>
      <c r="PSN10" s="78"/>
      <c r="PSO10" s="78"/>
      <c r="PSP10" s="78"/>
      <c r="PSQ10" s="78"/>
      <c r="PSR10" s="78"/>
      <c r="PSS10" s="78"/>
      <c r="PST10" s="78"/>
      <c r="PSU10" s="78"/>
      <c r="PSV10" s="78"/>
      <c r="PSW10" s="78"/>
      <c r="PSX10" s="78"/>
      <c r="PSY10" s="78"/>
      <c r="PSZ10" s="78"/>
      <c r="PTA10" s="78"/>
      <c r="PTB10" s="78"/>
      <c r="PTC10" s="78"/>
      <c r="PTD10" s="78"/>
      <c r="PTE10" s="78"/>
      <c r="PTF10" s="78"/>
      <c r="PTG10" s="78"/>
      <c r="PTH10" s="78"/>
      <c r="PTI10" s="78"/>
      <c r="PTJ10" s="78"/>
      <c r="PTK10" s="78"/>
      <c r="PTL10" s="78"/>
      <c r="PTM10" s="78"/>
      <c r="PTN10" s="78"/>
      <c r="PTO10" s="78"/>
      <c r="PTP10" s="78"/>
      <c r="PTQ10" s="78"/>
      <c r="PTR10" s="78"/>
      <c r="PTS10" s="78"/>
      <c r="PTT10" s="78"/>
      <c r="PTU10" s="78"/>
      <c r="PTV10" s="78"/>
      <c r="PTW10" s="78"/>
      <c r="PTX10" s="78"/>
      <c r="PTY10" s="78"/>
      <c r="PTZ10" s="78"/>
      <c r="PUA10" s="78"/>
      <c r="PUB10" s="78"/>
      <c r="PUC10" s="78"/>
      <c r="PUD10" s="78"/>
      <c r="PUE10" s="78"/>
      <c r="PUF10" s="78"/>
      <c r="PUG10" s="78"/>
      <c r="PUH10" s="78"/>
      <c r="PUI10" s="78"/>
      <c r="PUJ10" s="78"/>
      <c r="PUK10" s="78"/>
      <c r="PUL10" s="78"/>
      <c r="PUM10" s="78"/>
      <c r="PUN10" s="78"/>
      <c r="PUO10" s="78"/>
      <c r="PUP10" s="78"/>
      <c r="PUQ10" s="78"/>
      <c r="PUR10" s="78"/>
      <c r="PUS10" s="78"/>
      <c r="PUT10" s="78"/>
      <c r="PUU10" s="78"/>
      <c r="PUV10" s="78"/>
      <c r="PUW10" s="78"/>
      <c r="PUX10" s="78"/>
      <c r="PUY10" s="78"/>
      <c r="PUZ10" s="78"/>
      <c r="PVA10" s="78"/>
      <c r="PVB10" s="78"/>
      <c r="PVC10" s="78"/>
      <c r="PVD10" s="78"/>
      <c r="PVE10" s="78"/>
      <c r="PVF10" s="78"/>
      <c r="PVG10" s="78"/>
      <c r="PVH10" s="78"/>
      <c r="PVI10" s="78"/>
      <c r="PVJ10" s="78"/>
      <c r="PVK10" s="78"/>
      <c r="PVL10" s="78"/>
      <c r="PVM10" s="78"/>
      <c r="PVN10" s="78"/>
      <c r="PVO10" s="78"/>
      <c r="PVP10" s="78"/>
      <c r="PVQ10" s="78"/>
      <c r="PVR10" s="78"/>
      <c r="PVS10" s="78"/>
      <c r="PVT10" s="78"/>
      <c r="PVU10" s="78"/>
      <c r="PVV10" s="78"/>
      <c r="PVW10" s="78"/>
      <c r="PVX10" s="78"/>
      <c r="PVY10" s="78"/>
      <c r="PVZ10" s="78"/>
      <c r="PWA10" s="78"/>
      <c r="PWB10" s="78"/>
      <c r="PWC10" s="78"/>
      <c r="PWD10" s="78"/>
      <c r="PWE10" s="78"/>
      <c r="PWF10" s="78"/>
      <c r="PWG10" s="78"/>
      <c r="PWH10" s="78"/>
      <c r="PWI10" s="78"/>
      <c r="PWJ10" s="78"/>
      <c r="PWK10" s="78"/>
      <c r="PWL10" s="78"/>
      <c r="PWM10" s="78"/>
      <c r="PWN10" s="78"/>
      <c r="PWO10" s="78"/>
      <c r="PWP10" s="78"/>
      <c r="PWQ10" s="78"/>
      <c r="PWR10" s="78"/>
      <c r="PWS10" s="78"/>
      <c r="PWT10" s="78"/>
      <c r="PWU10" s="78"/>
      <c r="PWV10" s="78"/>
      <c r="PWW10" s="78"/>
      <c r="PWX10" s="78"/>
      <c r="PWY10" s="78"/>
      <c r="PWZ10" s="78"/>
      <c r="PXA10" s="78"/>
      <c r="PXB10" s="78"/>
      <c r="PXC10" s="78"/>
      <c r="PXD10" s="78"/>
      <c r="PXE10" s="78"/>
      <c r="PXF10" s="78"/>
      <c r="PXG10" s="78"/>
      <c r="PXH10" s="78"/>
      <c r="PXI10" s="78"/>
      <c r="PXJ10" s="78"/>
      <c r="PXK10" s="78"/>
      <c r="PXL10" s="78"/>
      <c r="PXM10" s="78"/>
      <c r="PXN10" s="78"/>
      <c r="PXO10" s="78"/>
      <c r="PXP10" s="78"/>
      <c r="PXQ10" s="78"/>
      <c r="PXR10" s="78"/>
      <c r="PXS10" s="78"/>
      <c r="PXT10" s="78"/>
      <c r="PXU10" s="78"/>
      <c r="PXV10" s="78"/>
      <c r="PXW10" s="78"/>
      <c r="PXX10" s="78"/>
      <c r="PXY10" s="78"/>
      <c r="PXZ10" s="78"/>
      <c r="PYA10" s="78"/>
      <c r="PYB10" s="78"/>
      <c r="PYC10" s="78"/>
      <c r="PYD10" s="78"/>
      <c r="PYE10" s="78"/>
      <c r="PYF10" s="78"/>
      <c r="PYG10" s="78"/>
      <c r="PYH10" s="78"/>
      <c r="PYI10" s="78"/>
      <c r="PYJ10" s="78"/>
      <c r="PYK10" s="78"/>
      <c r="PYL10" s="78"/>
      <c r="PYM10" s="78"/>
      <c r="PYN10" s="78"/>
      <c r="PYO10" s="78"/>
      <c r="PYP10" s="78"/>
      <c r="PYQ10" s="78"/>
      <c r="PYR10" s="78"/>
      <c r="PYS10" s="78"/>
      <c r="PYT10" s="78"/>
      <c r="PYU10" s="78"/>
      <c r="PYV10" s="78"/>
      <c r="PYW10" s="78"/>
      <c r="PYX10" s="78"/>
      <c r="PYY10" s="78"/>
      <c r="PYZ10" s="78"/>
      <c r="PZA10" s="78"/>
      <c r="PZB10" s="78"/>
      <c r="PZC10" s="78"/>
      <c r="PZD10" s="78"/>
      <c r="PZE10" s="78"/>
      <c r="PZF10" s="78"/>
      <c r="PZG10" s="78"/>
      <c r="PZH10" s="78"/>
      <c r="PZI10" s="78"/>
      <c r="PZJ10" s="78"/>
      <c r="PZK10" s="78"/>
      <c r="PZL10" s="78"/>
      <c r="PZM10" s="78"/>
      <c r="PZN10" s="78"/>
      <c r="PZO10" s="78"/>
      <c r="PZP10" s="78"/>
      <c r="PZQ10" s="78"/>
      <c r="PZR10" s="78"/>
      <c r="PZS10" s="78"/>
      <c r="PZT10" s="78"/>
      <c r="PZU10" s="78"/>
      <c r="PZV10" s="78"/>
      <c r="PZW10" s="78"/>
      <c r="PZX10" s="78"/>
      <c r="PZY10" s="78"/>
      <c r="PZZ10" s="78"/>
      <c r="QAA10" s="78"/>
      <c r="QAB10" s="78"/>
      <c r="QAC10" s="78"/>
      <c r="QAD10" s="78"/>
      <c r="QAE10" s="78"/>
      <c r="QAF10" s="78"/>
      <c r="QAG10" s="78"/>
      <c r="QAH10" s="78"/>
      <c r="QAI10" s="78"/>
      <c r="QAJ10" s="78"/>
      <c r="QAK10" s="78"/>
      <c r="QAL10" s="78"/>
      <c r="QAM10" s="78"/>
      <c r="QAN10" s="78"/>
      <c r="QAO10" s="78"/>
      <c r="QAP10" s="78"/>
      <c r="QAQ10" s="78"/>
      <c r="QAR10" s="78"/>
      <c r="QAS10" s="78"/>
      <c r="QAT10" s="78"/>
      <c r="QAU10" s="78"/>
      <c r="QAV10" s="78"/>
      <c r="QAW10" s="78"/>
      <c r="QAX10" s="78"/>
      <c r="QAY10" s="78"/>
      <c r="QAZ10" s="78"/>
      <c r="QBA10" s="78"/>
      <c r="QBB10" s="78"/>
      <c r="QBC10" s="78"/>
      <c r="QBD10" s="78"/>
      <c r="QBE10" s="78"/>
      <c r="QBF10" s="78"/>
      <c r="QBG10" s="78"/>
      <c r="QBH10" s="78"/>
      <c r="QBI10" s="78"/>
      <c r="QBJ10" s="78"/>
      <c r="QBK10" s="78"/>
      <c r="QBL10" s="78"/>
      <c r="QBM10" s="78"/>
      <c r="QBN10" s="78"/>
      <c r="QBO10" s="78"/>
      <c r="QBP10" s="78"/>
      <c r="QBQ10" s="78"/>
      <c r="QBR10" s="78"/>
      <c r="QBS10" s="78"/>
      <c r="QBT10" s="78"/>
      <c r="QBU10" s="78"/>
      <c r="QBV10" s="78"/>
      <c r="QBW10" s="78"/>
      <c r="QBX10" s="78"/>
      <c r="QBY10" s="78"/>
      <c r="QBZ10" s="78"/>
      <c r="QCA10" s="78"/>
      <c r="QCB10" s="78"/>
      <c r="QCC10" s="78"/>
      <c r="QCD10" s="78"/>
      <c r="QCE10" s="78"/>
      <c r="QCF10" s="78"/>
      <c r="QCG10" s="78"/>
      <c r="QCH10" s="78"/>
      <c r="QCI10" s="78"/>
      <c r="QCJ10" s="78"/>
      <c r="QCK10" s="78"/>
      <c r="QCL10" s="78"/>
      <c r="QCM10" s="78"/>
      <c r="QCN10" s="78"/>
      <c r="QCO10" s="78"/>
      <c r="QCP10" s="78"/>
      <c r="QCQ10" s="78"/>
      <c r="QCR10" s="78"/>
      <c r="QCS10" s="78"/>
      <c r="QCT10" s="78"/>
      <c r="QCU10" s="78"/>
      <c r="QCV10" s="78"/>
      <c r="QCW10" s="78"/>
      <c r="QCX10" s="78"/>
      <c r="QCY10" s="78"/>
      <c r="QCZ10" s="78"/>
      <c r="QDA10" s="78"/>
      <c r="QDB10" s="78"/>
      <c r="QDC10" s="78"/>
      <c r="QDD10" s="78"/>
      <c r="QDE10" s="78"/>
      <c r="QDF10" s="78"/>
      <c r="QDG10" s="78"/>
      <c r="QDH10" s="78"/>
      <c r="QDI10" s="78"/>
      <c r="QDJ10" s="78"/>
      <c r="QDK10" s="78"/>
      <c r="QDL10" s="78"/>
      <c r="QDM10" s="78"/>
      <c r="QDN10" s="78"/>
      <c r="QDO10" s="78"/>
      <c r="QDP10" s="78"/>
      <c r="QDQ10" s="78"/>
      <c r="QDR10" s="78"/>
      <c r="QDS10" s="78"/>
      <c r="QDT10" s="78"/>
      <c r="QDU10" s="78"/>
      <c r="QDV10" s="78"/>
      <c r="QDW10" s="78"/>
      <c r="QDX10" s="78"/>
      <c r="QDY10" s="78"/>
      <c r="QDZ10" s="78"/>
      <c r="QEA10" s="78"/>
      <c r="QEB10" s="78"/>
      <c r="QEC10" s="78"/>
      <c r="QED10" s="78"/>
      <c r="QEE10" s="78"/>
      <c r="QEF10" s="78"/>
      <c r="QEG10" s="78"/>
      <c r="QEH10" s="78"/>
      <c r="QEI10" s="78"/>
      <c r="QEJ10" s="78"/>
      <c r="QEK10" s="78"/>
      <c r="QEL10" s="78"/>
      <c r="QEM10" s="78"/>
      <c r="QEN10" s="78"/>
      <c r="QEO10" s="78"/>
      <c r="QEP10" s="78"/>
      <c r="QEQ10" s="78"/>
      <c r="QER10" s="78"/>
      <c r="QES10" s="78"/>
      <c r="QET10" s="78"/>
      <c r="QEU10" s="78"/>
      <c r="QEV10" s="78"/>
      <c r="QEW10" s="78"/>
      <c r="QEX10" s="78"/>
      <c r="QEY10" s="78"/>
      <c r="QEZ10" s="78"/>
      <c r="QFA10" s="78"/>
      <c r="QFB10" s="78"/>
      <c r="QFC10" s="78"/>
      <c r="QFD10" s="78"/>
      <c r="QFE10" s="78"/>
      <c r="QFF10" s="78"/>
      <c r="QFG10" s="78"/>
      <c r="QFH10" s="78"/>
      <c r="QFI10" s="78"/>
      <c r="QFJ10" s="78"/>
      <c r="QFK10" s="78"/>
      <c r="QFL10" s="78"/>
      <c r="QFM10" s="78"/>
      <c r="QFN10" s="78"/>
      <c r="QFO10" s="78"/>
      <c r="QFP10" s="78"/>
      <c r="QFQ10" s="78"/>
      <c r="QFR10" s="78"/>
      <c r="QFS10" s="78"/>
      <c r="QFT10" s="78"/>
      <c r="QFU10" s="78"/>
      <c r="QFV10" s="78"/>
      <c r="QFW10" s="78"/>
      <c r="QFX10" s="78"/>
      <c r="QFY10" s="78"/>
      <c r="QFZ10" s="78"/>
      <c r="QGA10" s="78"/>
      <c r="QGB10" s="78"/>
      <c r="QGC10" s="78"/>
      <c r="QGD10" s="78"/>
      <c r="QGE10" s="78"/>
      <c r="QGF10" s="78"/>
      <c r="QGG10" s="78"/>
      <c r="QGH10" s="78"/>
      <c r="QGI10" s="78"/>
      <c r="QGJ10" s="78"/>
      <c r="QGK10" s="78"/>
      <c r="QGL10" s="78"/>
      <c r="QGM10" s="78"/>
      <c r="QGN10" s="78"/>
      <c r="QGO10" s="78"/>
      <c r="QGP10" s="78"/>
      <c r="QGQ10" s="78"/>
      <c r="QGR10" s="78"/>
      <c r="QGS10" s="78"/>
      <c r="QGT10" s="78"/>
      <c r="QGU10" s="78"/>
      <c r="QGV10" s="78"/>
      <c r="QGW10" s="78"/>
      <c r="QGX10" s="78"/>
      <c r="QGY10" s="78"/>
      <c r="QGZ10" s="78"/>
      <c r="QHA10" s="78"/>
      <c r="QHB10" s="78"/>
      <c r="QHC10" s="78"/>
      <c r="QHD10" s="78"/>
      <c r="QHE10" s="78"/>
      <c r="QHF10" s="78"/>
      <c r="QHG10" s="78"/>
      <c r="QHH10" s="78"/>
      <c r="QHI10" s="78"/>
      <c r="QHJ10" s="78"/>
      <c r="QHK10" s="78"/>
      <c r="QHL10" s="78"/>
      <c r="QHM10" s="78"/>
      <c r="QHN10" s="78"/>
      <c r="QHO10" s="78"/>
      <c r="QHP10" s="78"/>
      <c r="QHQ10" s="78"/>
      <c r="QHR10" s="78"/>
      <c r="QHS10" s="78"/>
      <c r="QHT10" s="78"/>
      <c r="QHU10" s="78"/>
      <c r="QHV10" s="78"/>
      <c r="QHW10" s="78"/>
      <c r="QHX10" s="78"/>
      <c r="QHY10" s="78"/>
      <c r="QHZ10" s="78"/>
      <c r="QIA10" s="78"/>
      <c r="QIB10" s="78"/>
      <c r="QIC10" s="78"/>
      <c r="QID10" s="78"/>
      <c r="QIE10" s="78"/>
      <c r="QIF10" s="78"/>
      <c r="QIG10" s="78"/>
      <c r="QIH10" s="78"/>
      <c r="QII10" s="78"/>
      <c r="QIJ10" s="78"/>
      <c r="QIK10" s="78"/>
      <c r="QIL10" s="78"/>
      <c r="QIM10" s="78"/>
      <c r="QIN10" s="78"/>
      <c r="QIO10" s="78"/>
      <c r="QIP10" s="78"/>
      <c r="QIQ10" s="78"/>
      <c r="QIR10" s="78"/>
      <c r="QIS10" s="78"/>
      <c r="QIT10" s="78"/>
      <c r="QIU10" s="78"/>
      <c r="QIV10" s="78"/>
      <c r="QIW10" s="78"/>
      <c r="QIX10" s="78"/>
      <c r="QIY10" s="78"/>
      <c r="QIZ10" s="78"/>
      <c r="QJA10" s="78"/>
      <c r="QJB10" s="78"/>
      <c r="QJC10" s="78"/>
      <c r="QJD10" s="78"/>
      <c r="QJE10" s="78"/>
      <c r="QJF10" s="78"/>
      <c r="QJG10" s="78"/>
      <c r="QJH10" s="78"/>
      <c r="QJI10" s="78"/>
      <c r="QJJ10" s="78"/>
      <c r="QJK10" s="78"/>
      <c r="QJL10" s="78"/>
      <c r="QJM10" s="78"/>
      <c r="QJN10" s="78"/>
      <c r="QJO10" s="78"/>
      <c r="QJP10" s="78"/>
      <c r="QJQ10" s="78"/>
      <c r="QJR10" s="78"/>
      <c r="QJS10" s="78"/>
      <c r="QJT10" s="78"/>
      <c r="QJU10" s="78"/>
      <c r="QJV10" s="78"/>
      <c r="QJW10" s="78"/>
      <c r="QJX10" s="78"/>
      <c r="QJY10" s="78"/>
      <c r="QJZ10" s="78"/>
      <c r="QKA10" s="78"/>
      <c r="QKB10" s="78"/>
      <c r="QKC10" s="78"/>
      <c r="QKD10" s="78"/>
      <c r="QKE10" s="78"/>
      <c r="QKF10" s="78"/>
      <c r="QKG10" s="78"/>
      <c r="QKH10" s="78"/>
      <c r="QKI10" s="78"/>
      <c r="QKJ10" s="78"/>
      <c r="QKK10" s="78"/>
      <c r="QKL10" s="78"/>
      <c r="QKM10" s="78"/>
      <c r="QKN10" s="78"/>
      <c r="QKO10" s="78"/>
      <c r="QKP10" s="78"/>
      <c r="QKQ10" s="78"/>
      <c r="QKR10" s="78"/>
      <c r="QKS10" s="78"/>
      <c r="QKT10" s="78"/>
      <c r="QKU10" s="78"/>
      <c r="QKV10" s="78"/>
      <c r="QKW10" s="78"/>
      <c r="QKX10" s="78"/>
      <c r="QKY10" s="78"/>
      <c r="QKZ10" s="78"/>
      <c r="QLA10" s="78"/>
      <c r="QLB10" s="78"/>
      <c r="QLC10" s="78"/>
      <c r="QLD10" s="78"/>
      <c r="QLE10" s="78"/>
      <c r="QLF10" s="78"/>
      <c r="QLG10" s="78"/>
      <c r="QLH10" s="78"/>
      <c r="QLI10" s="78"/>
      <c r="QLJ10" s="78"/>
      <c r="QLK10" s="78"/>
      <c r="QLL10" s="78"/>
      <c r="QLM10" s="78"/>
      <c r="QLN10" s="78"/>
      <c r="QLO10" s="78"/>
      <c r="QLP10" s="78"/>
      <c r="QLQ10" s="78"/>
      <c r="QLR10" s="78"/>
      <c r="QLS10" s="78"/>
      <c r="QLT10" s="78"/>
      <c r="QLU10" s="78"/>
      <c r="QLV10" s="78"/>
      <c r="QLW10" s="78"/>
      <c r="QLX10" s="78"/>
      <c r="QLY10" s="78"/>
      <c r="QLZ10" s="78"/>
      <c r="QMA10" s="78"/>
      <c r="QMB10" s="78"/>
      <c r="QMC10" s="78"/>
      <c r="QMD10" s="78"/>
      <c r="QME10" s="78"/>
      <c r="QMF10" s="78"/>
      <c r="QMG10" s="78"/>
      <c r="QMH10" s="78"/>
      <c r="QMI10" s="78"/>
      <c r="QMJ10" s="78"/>
      <c r="QMK10" s="78"/>
      <c r="QML10" s="78"/>
      <c r="QMM10" s="78"/>
      <c r="QMN10" s="78"/>
      <c r="QMO10" s="78"/>
      <c r="QMP10" s="78"/>
      <c r="QMQ10" s="78"/>
      <c r="QMR10" s="78"/>
      <c r="QMS10" s="78"/>
      <c r="QMT10" s="78"/>
      <c r="QMU10" s="78"/>
      <c r="QMV10" s="78"/>
      <c r="QMW10" s="78"/>
      <c r="QMX10" s="78"/>
      <c r="QMY10" s="78"/>
      <c r="QMZ10" s="78"/>
      <c r="QNA10" s="78"/>
      <c r="QNB10" s="78"/>
      <c r="QNC10" s="78"/>
      <c r="QND10" s="78"/>
      <c r="QNE10" s="78"/>
      <c r="QNF10" s="78"/>
      <c r="QNG10" s="78"/>
      <c r="QNH10" s="78"/>
      <c r="QNI10" s="78"/>
      <c r="QNJ10" s="78"/>
      <c r="QNK10" s="78"/>
      <c r="QNL10" s="78"/>
      <c r="QNM10" s="78"/>
      <c r="QNN10" s="78"/>
      <c r="QNO10" s="78"/>
      <c r="QNP10" s="78"/>
      <c r="QNQ10" s="78"/>
      <c r="QNR10" s="78"/>
      <c r="QNS10" s="78"/>
      <c r="QNT10" s="78"/>
      <c r="QNU10" s="78"/>
      <c r="QNV10" s="78"/>
      <c r="QNW10" s="78"/>
      <c r="QNX10" s="78"/>
      <c r="QNY10" s="78"/>
      <c r="QNZ10" s="78"/>
      <c r="QOA10" s="78"/>
      <c r="QOB10" s="78"/>
      <c r="QOC10" s="78"/>
      <c r="QOD10" s="78"/>
      <c r="QOE10" s="78"/>
      <c r="QOF10" s="78"/>
      <c r="QOG10" s="78"/>
      <c r="QOH10" s="78"/>
      <c r="QOI10" s="78"/>
      <c r="QOJ10" s="78"/>
      <c r="QOK10" s="78"/>
      <c r="QOL10" s="78"/>
      <c r="QOM10" s="78"/>
      <c r="QON10" s="78"/>
      <c r="QOO10" s="78"/>
      <c r="QOP10" s="78"/>
      <c r="QOQ10" s="78"/>
      <c r="QOR10" s="78"/>
      <c r="QOS10" s="78"/>
      <c r="QOT10" s="78"/>
      <c r="QOU10" s="78"/>
      <c r="QOV10" s="78"/>
      <c r="QOW10" s="78"/>
      <c r="QOX10" s="78"/>
      <c r="QOY10" s="78"/>
      <c r="QOZ10" s="78"/>
      <c r="QPA10" s="78"/>
      <c r="QPB10" s="78"/>
      <c r="QPC10" s="78"/>
      <c r="QPD10" s="78"/>
      <c r="QPE10" s="78"/>
      <c r="QPF10" s="78"/>
      <c r="QPG10" s="78"/>
      <c r="QPH10" s="78"/>
      <c r="QPI10" s="78"/>
      <c r="QPJ10" s="78"/>
      <c r="QPK10" s="78"/>
      <c r="QPL10" s="78"/>
      <c r="QPM10" s="78"/>
      <c r="QPN10" s="78"/>
      <c r="QPO10" s="78"/>
      <c r="QPP10" s="78"/>
      <c r="QPQ10" s="78"/>
      <c r="QPR10" s="78"/>
      <c r="QPS10" s="78"/>
      <c r="QPT10" s="78"/>
      <c r="QPU10" s="78"/>
      <c r="QPV10" s="78"/>
      <c r="QPW10" s="78"/>
      <c r="QPX10" s="78"/>
      <c r="QPY10" s="78"/>
      <c r="QPZ10" s="78"/>
      <c r="QQA10" s="78"/>
      <c r="QQB10" s="78"/>
      <c r="QQC10" s="78"/>
      <c r="QQD10" s="78"/>
      <c r="QQE10" s="78"/>
      <c r="QQF10" s="78"/>
      <c r="QQG10" s="78"/>
      <c r="QQH10" s="78"/>
      <c r="QQI10" s="78"/>
      <c r="QQJ10" s="78"/>
      <c r="QQK10" s="78"/>
      <c r="QQL10" s="78"/>
      <c r="QQM10" s="78"/>
      <c r="QQN10" s="78"/>
      <c r="QQO10" s="78"/>
      <c r="QQP10" s="78"/>
      <c r="QQQ10" s="78"/>
      <c r="QQR10" s="78"/>
      <c r="QQS10" s="78"/>
      <c r="QQT10" s="78"/>
      <c r="QQU10" s="78"/>
      <c r="QQV10" s="78"/>
      <c r="QQW10" s="78"/>
      <c r="QQX10" s="78"/>
      <c r="QQY10" s="78"/>
      <c r="QQZ10" s="78"/>
      <c r="QRA10" s="78"/>
      <c r="QRB10" s="78"/>
      <c r="QRC10" s="78"/>
      <c r="QRD10" s="78"/>
      <c r="QRE10" s="78"/>
      <c r="QRF10" s="78"/>
      <c r="QRG10" s="78"/>
      <c r="QRH10" s="78"/>
      <c r="QRI10" s="78"/>
      <c r="QRJ10" s="78"/>
      <c r="QRK10" s="78"/>
      <c r="QRL10" s="78"/>
      <c r="QRM10" s="78"/>
      <c r="QRN10" s="78"/>
      <c r="QRO10" s="78"/>
      <c r="QRP10" s="78"/>
      <c r="QRQ10" s="78"/>
      <c r="QRR10" s="78"/>
      <c r="QRS10" s="78"/>
      <c r="QRT10" s="78"/>
      <c r="QRU10" s="78"/>
      <c r="QRV10" s="78"/>
      <c r="QRW10" s="78"/>
      <c r="QRX10" s="78"/>
      <c r="QRY10" s="78"/>
      <c r="QRZ10" s="78"/>
      <c r="QSA10" s="78"/>
      <c r="QSB10" s="78"/>
      <c r="QSC10" s="78"/>
      <c r="QSD10" s="78"/>
      <c r="QSE10" s="78"/>
      <c r="QSF10" s="78"/>
      <c r="QSG10" s="78"/>
      <c r="QSH10" s="78"/>
      <c r="QSI10" s="78"/>
      <c r="QSJ10" s="78"/>
      <c r="QSK10" s="78"/>
      <c r="QSL10" s="78"/>
      <c r="QSM10" s="78"/>
      <c r="QSN10" s="78"/>
      <c r="QSO10" s="78"/>
      <c r="QSP10" s="78"/>
      <c r="QSQ10" s="78"/>
      <c r="QSR10" s="78"/>
      <c r="QSS10" s="78"/>
      <c r="QST10" s="78"/>
      <c r="QSU10" s="78"/>
      <c r="QSV10" s="78"/>
      <c r="QSW10" s="78"/>
      <c r="QSX10" s="78"/>
      <c r="QSY10" s="78"/>
      <c r="QSZ10" s="78"/>
      <c r="QTA10" s="78"/>
      <c r="QTB10" s="78"/>
      <c r="QTC10" s="78"/>
      <c r="QTD10" s="78"/>
      <c r="QTE10" s="78"/>
      <c r="QTF10" s="78"/>
      <c r="QTG10" s="78"/>
      <c r="QTH10" s="78"/>
      <c r="QTI10" s="78"/>
      <c r="QTJ10" s="78"/>
      <c r="QTK10" s="78"/>
      <c r="QTL10" s="78"/>
      <c r="QTM10" s="78"/>
      <c r="QTN10" s="78"/>
      <c r="QTO10" s="78"/>
      <c r="QTP10" s="78"/>
      <c r="QTQ10" s="78"/>
      <c r="QTR10" s="78"/>
      <c r="QTS10" s="78"/>
      <c r="QTT10" s="78"/>
      <c r="QTU10" s="78"/>
      <c r="QTV10" s="78"/>
      <c r="QTW10" s="78"/>
      <c r="QTX10" s="78"/>
      <c r="QTY10" s="78"/>
      <c r="QTZ10" s="78"/>
      <c r="QUA10" s="78"/>
      <c r="QUB10" s="78"/>
      <c r="QUC10" s="78"/>
      <c r="QUD10" s="78"/>
      <c r="QUE10" s="78"/>
      <c r="QUF10" s="78"/>
      <c r="QUG10" s="78"/>
      <c r="QUH10" s="78"/>
      <c r="QUI10" s="78"/>
      <c r="QUJ10" s="78"/>
      <c r="QUK10" s="78"/>
      <c r="QUL10" s="78"/>
      <c r="QUM10" s="78"/>
      <c r="QUN10" s="78"/>
      <c r="QUO10" s="78"/>
      <c r="QUP10" s="78"/>
      <c r="QUQ10" s="78"/>
      <c r="QUR10" s="78"/>
      <c r="QUS10" s="78"/>
      <c r="QUT10" s="78"/>
      <c r="QUU10" s="78"/>
      <c r="QUV10" s="78"/>
      <c r="QUW10" s="78"/>
      <c r="QUX10" s="78"/>
      <c r="QUY10" s="78"/>
      <c r="QUZ10" s="78"/>
      <c r="QVA10" s="78"/>
      <c r="QVB10" s="78"/>
      <c r="QVC10" s="78"/>
      <c r="QVD10" s="78"/>
      <c r="QVE10" s="78"/>
      <c r="QVF10" s="78"/>
      <c r="QVG10" s="78"/>
      <c r="QVH10" s="78"/>
      <c r="QVI10" s="78"/>
      <c r="QVJ10" s="78"/>
      <c r="QVK10" s="78"/>
      <c r="QVL10" s="78"/>
      <c r="QVM10" s="78"/>
      <c r="QVN10" s="78"/>
      <c r="QVO10" s="78"/>
      <c r="QVP10" s="78"/>
      <c r="QVQ10" s="78"/>
      <c r="QVR10" s="78"/>
      <c r="QVS10" s="78"/>
      <c r="QVT10" s="78"/>
      <c r="QVU10" s="78"/>
      <c r="QVV10" s="78"/>
      <c r="QVW10" s="78"/>
      <c r="QVX10" s="78"/>
      <c r="QVY10" s="78"/>
      <c r="QVZ10" s="78"/>
      <c r="QWA10" s="78"/>
      <c r="QWB10" s="78"/>
      <c r="QWC10" s="78"/>
      <c r="QWD10" s="78"/>
      <c r="QWE10" s="78"/>
      <c r="QWF10" s="78"/>
      <c r="QWG10" s="78"/>
      <c r="QWH10" s="78"/>
      <c r="QWI10" s="78"/>
      <c r="QWJ10" s="78"/>
      <c r="QWK10" s="78"/>
      <c r="QWL10" s="78"/>
      <c r="QWM10" s="78"/>
      <c r="QWN10" s="78"/>
      <c r="QWO10" s="78"/>
      <c r="QWP10" s="78"/>
      <c r="QWQ10" s="78"/>
      <c r="QWR10" s="78"/>
      <c r="QWS10" s="78"/>
      <c r="QWT10" s="78"/>
      <c r="QWU10" s="78"/>
      <c r="QWV10" s="78"/>
      <c r="QWW10" s="78"/>
      <c r="QWX10" s="78"/>
      <c r="QWY10" s="78"/>
      <c r="QWZ10" s="78"/>
      <c r="QXA10" s="78"/>
      <c r="QXB10" s="78"/>
      <c r="QXC10" s="78"/>
      <c r="QXD10" s="78"/>
      <c r="QXE10" s="78"/>
      <c r="QXF10" s="78"/>
      <c r="QXG10" s="78"/>
      <c r="QXH10" s="78"/>
      <c r="QXI10" s="78"/>
      <c r="QXJ10" s="78"/>
      <c r="QXK10" s="78"/>
      <c r="QXL10" s="78"/>
      <c r="QXM10" s="78"/>
      <c r="QXN10" s="78"/>
      <c r="QXO10" s="78"/>
      <c r="QXP10" s="78"/>
      <c r="QXQ10" s="78"/>
      <c r="QXR10" s="78"/>
      <c r="QXS10" s="78"/>
      <c r="QXT10" s="78"/>
      <c r="QXU10" s="78"/>
      <c r="QXV10" s="78"/>
      <c r="QXW10" s="78"/>
      <c r="QXX10" s="78"/>
      <c r="QXY10" s="78"/>
      <c r="QXZ10" s="78"/>
      <c r="QYA10" s="78"/>
      <c r="QYB10" s="78"/>
      <c r="QYC10" s="78"/>
      <c r="QYD10" s="78"/>
      <c r="QYE10" s="78"/>
      <c r="QYF10" s="78"/>
      <c r="QYG10" s="78"/>
      <c r="QYH10" s="78"/>
      <c r="QYI10" s="78"/>
      <c r="QYJ10" s="78"/>
      <c r="QYK10" s="78"/>
      <c r="QYL10" s="78"/>
      <c r="QYM10" s="78"/>
      <c r="QYN10" s="78"/>
      <c r="QYO10" s="78"/>
      <c r="QYP10" s="78"/>
      <c r="QYQ10" s="78"/>
      <c r="QYR10" s="78"/>
      <c r="QYS10" s="78"/>
      <c r="QYT10" s="78"/>
      <c r="QYU10" s="78"/>
      <c r="QYV10" s="78"/>
      <c r="QYW10" s="78"/>
      <c r="QYX10" s="78"/>
      <c r="QYY10" s="78"/>
      <c r="QYZ10" s="78"/>
      <c r="QZA10" s="78"/>
      <c r="QZB10" s="78"/>
      <c r="QZC10" s="78"/>
      <c r="QZD10" s="78"/>
      <c r="QZE10" s="78"/>
      <c r="QZF10" s="78"/>
      <c r="QZG10" s="78"/>
      <c r="QZH10" s="78"/>
      <c r="QZI10" s="78"/>
      <c r="QZJ10" s="78"/>
      <c r="QZK10" s="78"/>
      <c r="QZL10" s="78"/>
      <c r="QZM10" s="78"/>
      <c r="QZN10" s="78"/>
      <c r="QZO10" s="78"/>
      <c r="QZP10" s="78"/>
      <c r="QZQ10" s="78"/>
      <c r="QZR10" s="78"/>
      <c r="QZS10" s="78"/>
      <c r="QZT10" s="78"/>
      <c r="QZU10" s="78"/>
      <c r="QZV10" s="78"/>
      <c r="QZW10" s="78"/>
      <c r="QZX10" s="78"/>
      <c r="QZY10" s="78"/>
      <c r="QZZ10" s="78"/>
      <c r="RAA10" s="78"/>
      <c r="RAB10" s="78"/>
      <c r="RAC10" s="78"/>
      <c r="RAD10" s="78"/>
      <c r="RAE10" s="78"/>
      <c r="RAF10" s="78"/>
      <c r="RAG10" s="78"/>
      <c r="RAH10" s="78"/>
      <c r="RAI10" s="78"/>
      <c r="RAJ10" s="78"/>
      <c r="RAK10" s="78"/>
      <c r="RAL10" s="78"/>
      <c r="RAM10" s="78"/>
      <c r="RAN10" s="78"/>
      <c r="RAO10" s="78"/>
      <c r="RAP10" s="78"/>
      <c r="RAQ10" s="78"/>
      <c r="RAR10" s="78"/>
      <c r="RAS10" s="78"/>
      <c r="RAT10" s="78"/>
      <c r="RAU10" s="78"/>
      <c r="RAV10" s="78"/>
      <c r="RAW10" s="78"/>
      <c r="RAX10" s="78"/>
      <c r="RAY10" s="78"/>
      <c r="RAZ10" s="78"/>
      <c r="RBA10" s="78"/>
      <c r="RBB10" s="78"/>
      <c r="RBC10" s="78"/>
      <c r="RBD10" s="78"/>
      <c r="RBE10" s="78"/>
      <c r="RBF10" s="78"/>
      <c r="RBG10" s="78"/>
      <c r="RBH10" s="78"/>
      <c r="RBI10" s="78"/>
      <c r="RBJ10" s="78"/>
      <c r="RBK10" s="78"/>
      <c r="RBL10" s="78"/>
      <c r="RBM10" s="78"/>
      <c r="RBN10" s="78"/>
      <c r="RBO10" s="78"/>
      <c r="RBP10" s="78"/>
      <c r="RBQ10" s="78"/>
      <c r="RBR10" s="78"/>
      <c r="RBS10" s="78"/>
      <c r="RBT10" s="78"/>
      <c r="RBU10" s="78"/>
      <c r="RBV10" s="78"/>
      <c r="RBW10" s="78"/>
      <c r="RBX10" s="78"/>
      <c r="RBY10" s="78"/>
      <c r="RBZ10" s="78"/>
      <c r="RCA10" s="78"/>
      <c r="RCB10" s="78"/>
      <c r="RCC10" s="78"/>
      <c r="RCD10" s="78"/>
      <c r="RCE10" s="78"/>
      <c r="RCF10" s="78"/>
      <c r="RCG10" s="78"/>
      <c r="RCH10" s="78"/>
      <c r="RCI10" s="78"/>
      <c r="RCJ10" s="78"/>
      <c r="RCK10" s="78"/>
      <c r="RCL10" s="78"/>
      <c r="RCM10" s="78"/>
      <c r="RCN10" s="78"/>
      <c r="RCO10" s="78"/>
      <c r="RCP10" s="78"/>
      <c r="RCQ10" s="78"/>
      <c r="RCR10" s="78"/>
      <c r="RCS10" s="78"/>
      <c r="RCT10" s="78"/>
      <c r="RCU10" s="78"/>
      <c r="RCV10" s="78"/>
      <c r="RCW10" s="78"/>
      <c r="RCX10" s="78"/>
      <c r="RCY10" s="78"/>
      <c r="RCZ10" s="78"/>
      <c r="RDA10" s="78"/>
      <c r="RDB10" s="78"/>
      <c r="RDC10" s="78"/>
      <c r="RDD10" s="78"/>
      <c r="RDE10" s="78"/>
      <c r="RDF10" s="78"/>
      <c r="RDG10" s="78"/>
      <c r="RDH10" s="78"/>
      <c r="RDI10" s="78"/>
      <c r="RDJ10" s="78"/>
      <c r="RDK10" s="78"/>
      <c r="RDL10" s="78"/>
      <c r="RDM10" s="78"/>
      <c r="RDN10" s="78"/>
      <c r="RDO10" s="78"/>
      <c r="RDP10" s="78"/>
      <c r="RDQ10" s="78"/>
      <c r="RDR10" s="78"/>
      <c r="RDS10" s="78"/>
      <c r="RDT10" s="78"/>
      <c r="RDU10" s="78"/>
      <c r="RDV10" s="78"/>
      <c r="RDW10" s="78"/>
      <c r="RDX10" s="78"/>
      <c r="RDY10" s="78"/>
      <c r="RDZ10" s="78"/>
      <c r="REA10" s="78"/>
      <c r="REB10" s="78"/>
      <c r="REC10" s="78"/>
      <c r="RED10" s="78"/>
      <c r="REE10" s="78"/>
      <c r="REF10" s="78"/>
      <c r="REG10" s="78"/>
      <c r="REH10" s="78"/>
      <c r="REI10" s="78"/>
      <c r="REJ10" s="78"/>
      <c r="REK10" s="78"/>
      <c r="REL10" s="78"/>
      <c r="REM10" s="78"/>
      <c r="REN10" s="78"/>
      <c r="REO10" s="78"/>
      <c r="REP10" s="78"/>
      <c r="REQ10" s="78"/>
      <c r="RER10" s="78"/>
      <c r="RES10" s="78"/>
      <c r="RET10" s="78"/>
      <c r="REU10" s="78"/>
      <c r="REV10" s="78"/>
      <c r="REW10" s="78"/>
      <c r="REX10" s="78"/>
      <c r="REY10" s="78"/>
      <c r="REZ10" s="78"/>
      <c r="RFA10" s="78"/>
      <c r="RFB10" s="78"/>
      <c r="RFC10" s="78"/>
      <c r="RFD10" s="78"/>
      <c r="RFE10" s="78"/>
      <c r="RFF10" s="78"/>
      <c r="RFG10" s="78"/>
      <c r="RFH10" s="78"/>
      <c r="RFI10" s="78"/>
      <c r="RFJ10" s="78"/>
      <c r="RFK10" s="78"/>
      <c r="RFL10" s="78"/>
      <c r="RFM10" s="78"/>
      <c r="RFN10" s="78"/>
      <c r="RFO10" s="78"/>
      <c r="RFP10" s="78"/>
      <c r="RFQ10" s="78"/>
      <c r="RFR10" s="78"/>
      <c r="RFS10" s="78"/>
      <c r="RFT10" s="78"/>
      <c r="RFU10" s="78"/>
      <c r="RFV10" s="78"/>
      <c r="RFW10" s="78"/>
      <c r="RFX10" s="78"/>
      <c r="RFY10" s="78"/>
      <c r="RFZ10" s="78"/>
      <c r="RGA10" s="78"/>
      <c r="RGB10" s="78"/>
      <c r="RGC10" s="78"/>
      <c r="RGD10" s="78"/>
      <c r="RGE10" s="78"/>
      <c r="RGF10" s="78"/>
      <c r="RGG10" s="78"/>
      <c r="RGH10" s="78"/>
      <c r="RGI10" s="78"/>
      <c r="RGJ10" s="78"/>
      <c r="RGK10" s="78"/>
      <c r="RGL10" s="78"/>
      <c r="RGM10" s="78"/>
      <c r="RGN10" s="78"/>
      <c r="RGO10" s="78"/>
      <c r="RGP10" s="78"/>
      <c r="RGQ10" s="78"/>
      <c r="RGR10" s="78"/>
      <c r="RGS10" s="78"/>
      <c r="RGT10" s="78"/>
      <c r="RGU10" s="78"/>
      <c r="RGV10" s="78"/>
      <c r="RGW10" s="78"/>
      <c r="RGX10" s="78"/>
      <c r="RGY10" s="78"/>
      <c r="RGZ10" s="78"/>
      <c r="RHA10" s="78"/>
      <c r="RHB10" s="78"/>
      <c r="RHC10" s="78"/>
      <c r="RHD10" s="78"/>
      <c r="RHE10" s="78"/>
      <c r="RHF10" s="78"/>
      <c r="RHG10" s="78"/>
      <c r="RHH10" s="78"/>
      <c r="RHI10" s="78"/>
      <c r="RHJ10" s="78"/>
      <c r="RHK10" s="78"/>
      <c r="RHL10" s="78"/>
      <c r="RHM10" s="78"/>
      <c r="RHN10" s="78"/>
      <c r="RHO10" s="78"/>
      <c r="RHP10" s="78"/>
      <c r="RHQ10" s="78"/>
      <c r="RHR10" s="78"/>
      <c r="RHS10" s="78"/>
      <c r="RHT10" s="78"/>
      <c r="RHU10" s="78"/>
      <c r="RHV10" s="78"/>
      <c r="RHW10" s="78"/>
      <c r="RHX10" s="78"/>
      <c r="RHY10" s="78"/>
      <c r="RHZ10" s="78"/>
      <c r="RIA10" s="78"/>
      <c r="RIB10" s="78"/>
      <c r="RIC10" s="78"/>
      <c r="RID10" s="78"/>
      <c r="RIE10" s="78"/>
      <c r="RIF10" s="78"/>
      <c r="RIG10" s="78"/>
      <c r="RIH10" s="78"/>
      <c r="RII10" s="78"/>
      <c r="RIJ10" s="78"/>
      <c r="RIK10" s="78"/>
      <c r="RIL10" s="78"/>
      <c r="RIM10" s="78"/>
      <c r="RIN10" s="78"/>
      <c r="RIO10" s="78"/>
      <c r="RIP10" s="78"/>
      <c r="RIQ10" s="78"/>
      <c r="RIR10" s="78"/>
      <c r="RIS10" s="78"/>
      <c r="RIT10" s="78"/>
      <c r="RIU10" s="78"/>
      <c r="RIV10" s="78"/>
      <c r="RIW10" s="78"/>
      <c r="RIX10" s="78"/>
      <c r="RIY10" s="78"/>
      <c r="RIZ10" s="78"/>
      <c r="RJA10" s="78"/>
      <c r="RJB10" s="78"/>
      <c r="RJC10" s="78"/>
      <c r="RJD10" s="78"/>
      <c r="RJE10" s="78"/>
      <c r="RJF10" s="78"/>
      <c r="RJG10" s="78"/>
      <c r="RJH10" s="78"/>
      <c r="RJI10" s="78"/>
      <c r="RJJ10" s="78"/>
      <c r="RJK10" s="78"/>
      <c r="RJL10" s="78"/>
      <c r="RJM10" s="78"/>
      <c r="RJN10" s="78"/>
      <c r="RJO10" s="78"/>
      <c r="RJP10" s="78"/>
      <c r="RJQ10" s="78"/>
      <c r="RJR10" s="78"/>
      <c r="RJS10" s="78"/>
      <c r="RJT10" s="78"/>
      <c r="RJU10" s="78"/>
      <c r="RJV10" s="78"/>
      <c r="RJW10" s="78"/>
      <c r="RJX10" s="78"/>
      <c r="RJY10" s="78"/>
      <c r="RJZ10" s="78"/>
      <c r="RKA10" s="78"/>
      <c r="RKB10" s="78"/>
      <c r="RKC10" s="78"/>
      <c r="RKD10" s="78"/>
      <c r="RKE10" s="78"/>
      <c r="RKF10" s="78"/>
      <c r="RKG10" s="78"/>
      <c r="RKH10" s="78"/>
      <c r="RKI10" s="78"/>
      <c r="RKJ10" s="78"/>
      <c r="RKK10" s="78"/>
      <c r="RKL10" s="78"/>
      <c r="RKM10" s="78"/>
      <c r="RKN10" s="78"/>
      <c r="RKO10" s="78"/>
      <c r="RKP10" s="78"/>
      <c r="RKQ10" s="78"/>
      <c r="RKR10" s="78"/>
      <c r="RKS10" s="78"/>
      <c r="RKT10" s="78"/>
      <c r="RKU10" s="78"/>
      <c r="RKV10" s="78"/>
      <c r="RKW10" s="78"/>
      <c r="RKX10" s="78"/>
      <c r="RKY10" s="78"/>
      <c r="RKZ10" s="78"/>
      <c r="RLA10" s="78"/>
      <c r="RLB10" s="78"/>
      <c r="RLC10" s="78"/>
      <c r="RLD10" s="78"/>
      <c r="RLE10" s="78"/>
      <c r="RLF10" s="78"/>
      <c r="RLG10" s="78"/>
      <c r="RLH10" s="78"/>
      <c r="RLI10" s="78"/>
      <c r="RLJ10" s="78"/>
      <c r="RLK10" s="78"/>
      <c r="RLL10" s="78"/>
      <c r="RLM10" s="78"/>
      <c r="RLN10" s="78"/>
      <c r="RLO10" s="78"/>
      <c r="RLP10" s="78"/>
      <c r="RLQ10" s="78"/>
      <c r="RLR10" s="78"/>
      <c r="RLS10" s="78"/>
      <c r="RLT10" s="78"/>
      <c r="RLU10" s="78"/>
      <c r="RLV10" s="78"/>
      <c r="RLW10" s="78"/>
      <c r="RLX10" s="78"/>
      <c r="RLY10" s="78"/>
      <c r="RLZ10" s="78"/>
      <c r="RMA10" s="78"/>
      <c r="RMB10" s="78"/>
      <c r="RMC10" s="78"/>
      <c r="RMD10" s="78"/>
      <c r="RME10" s="78"/>
      <c r="RMF10" s="78"/>
      <c r="RMG10" s="78"/>
      <c r="RMH10" s="78"/>
      <c r="RMI10" s="78"/>
      <c r="RMJ10" s="78"/>
      <c r="RMK10" s="78"/>
      <c r="RML10" s="78"/>
      <c r="RMM10" s="78"/>
      <c r="RMN10" s="78"/>
      <c r="RMO10" s="78"/>
      <c r="RMP10" s="78"/>
      <c r="RMQ10" s="78"/>
      <c r="RMR10" s="78"/>
      <c r="RMS10" s="78"/>
      <c r="RMT10" s="78"/>
      <c r="RMU10" s="78"/>
      <c r="RMV10" s="78"/>
      <c r="RMW10" s="78"/>
      <c r="RMX10" s="78"/>
      <c r="RMY10" s="78"/>
      <c r="RMZ10" s="78"/>
      <c r="RNA10" s="78"/>
      <c r="RNB10" s="78"/>
      <c r="RNC10" s="78"/>
      <c r="RND10" s="78"/>
      <c r="RNE10" s="78"/>
      <c r="RNF10" s="78"/>
      <c r="RNG10" s="78"/>
      <c r="RNH10" s="78"/>
      <c r="RNI10" s="78"/>
      <c r="RNJ10" s="78"/>
      <c r="RNK10" s="78"/>
      <c r="RNL10" s="78"/>
      <c r="RNM10" s="78"/>
      <c r="RNN10" s="78"/>
      <c r="RNO10" s="78"/>
      <c r="RNP10" s="78"/>
      <c r="RNQ10" s="78"/>
      <c r="RNR10" s="78"/>
      <c r="RNS10" s="78"/>
      <c r="RNT10" s="78"/>
      <c r="RNU10" s="78"/>
      <c r="RNV10" s="78"/>
      <c r="RNW10" s="78"/>
      <c r="RNX10" s="78"/>
      <c r="RNY10" s="78"/>
      <c r="RNZ10" s="78"/>
      <c r="ROA10" s="78"/>
      <c r="ROB10" s="78"/>
      <c r="ROC10" s="78"/>
      <c r="ROD10" s="78"/>
      <c r="ROE10" s="78"/>
      <c r="ROF10" s="78"/>
      <c r="ROG10" s="78"/>
      <c r="ROH10" s="78"/>
      <c r="ROI10" s="78"/>
      <c r="ROJ10" s="78"/>
      <c r="ROK10" s="78"/>
      <c r="ROL10" s="78"/>
      <c r="ROM10" s="78"/>
      <c r="RON10" s="78"/>
      <c r="ROO10" s="78"/>
      <c r="ROP10" s="78"/>
      <c r="ROQ10" s="78"/>
      <c r="ROR10" s="78"/>
      <c r="ROS10" s="78"/>
      <c r="ROT10" s="78"/>
      <c r="ROU10" s="78"/>
      <c r="ROV10" s="78"/>
      <c r="ROW10" s="78"/>
      <c r="ROX10" s="78"/>
      <c r="ROY10" s="78"/>
      <c r="ROZ10" s="78"/>
      <c r="RPA10" s="78"/>
      <c r="RPB10" s="78"/>
      <c r="RPC10" s="78"/>
      <c r="RPD10" s="78"/>
      <c r="RPE10" s="78"/>
      <c r="RPF10" s="78"/>
      <c r="RPG10" s="78"/>
      <c r="RPH10" s="78"/>
      <c r="RPI10" s="78"/>
      <c r="RPJ10" s="78"/>
      <c r="RPK10" s="78"/>
      <c r="RPL10" s="78"/>
      <c r="RPM10" s="78"/>
      <c r="RPN10" s="78"/>
      <c r="RPO10" s="78"/>
      <c r="RPP10" s="78"/>
      <c r="RPQ10" s="78"/>
      <c r="RPR10" s="78"/>
      <c r="RPS10" s="78"/>
      <c r="RPT10" s="78"/>
      <c r="RPU10" s="78"/>
      <c r="RPV10" s="78"/>
      <c r="RPW10" s="78"/>
      <c r="RPX10" s="78"/>
      <c r="RPY10" s="78"/>
      <c r="RPZ10" s="78"/>
      <c r="RQA10" s="78"/>
      <c r="RQB10" s="78"/>
      <c r="RQC10" s="78"/>
      <c r="RQD10" s="78"/>
      <c r="RQE10" s="78"/>
      <c r="RQF10" s="78"/>
      <c r="RQG10" s="78"/>
      <c r="RQH10" s="78"/>
      <c r="RQI10" s="78"/>
      <c r="RQJ10" s="78"/>
      <c r="RQK10" s="78"/>
      <c r="RQL10" s="78"/>
      <c r="RQM10" s="78"/>
      <c r="RQN10" s="78"/>
      <c r="RQO10" s="78"/>
      <c r="RQP10" s="78"/>
      <c r="RQQ10" s="78"/>
      <c r="RQR10" s="78"/>
      <c r="RQS10" s="78"/>
      <c r="RQT10" s="78"/>
      <c r="RQU10" s="78"/>
      <c r="RQV10" s="78"/>
      <c r="RQW10" s="78"/>
      <c r="RQX10" s="78"/>
      <c r="RQY10" s="78"/>
      <c r="RQZ10" s="78"/>
      <c r="RRA10" s="78"/>
      <c r="RRB10" s="78"/>
      <c r="RRC10" s="78"/>
      <c r="RRD10" s="78"/>
      <c r="RRE10" s="78"/>
      <c r="RRF10" s="78"/>
      <c r="RRG10" s="78"/>
      <c r="RRH10" s="78"/>
      <c r="RRI10" s="78"/>
      <c r="RRJ10" s="78"/>
      <c r="RRK10" s="78"/>
      <c r="RRL10" s="78"/>
      <c r="RRM10" s="78"/>
      <c r="RRN10" s="78"/>
      <c r="RRO10" s="78"/>
      <c r="RRP10" s="78"/>
      <c r="RRQ10" s="78"/>
      <c r="RRR10" s="78"/>
      <c r="RRS10" s="78"/>
      <c r="RRT10" s="78"/>
      <c r="RRU10" s="78"/>
      <c r="RRV10" s="78"/>
      <c r="RRW10" s="78"/>
      <c r="RRX10" s="78"/>
      <c r="RRY10" s="78"/>
      <c r="RRZ10" s="78"/>
      <c r="RSA10" s="78"/>
      <c r="RSB10" s="78"/>
      <c r="RSC10" s="78"/>
      <c r="RSD10" s="78"/>
      <c r="RSE10" s="78"/>
      <c r="RSF10" s="78"/>
      <c r="RSG10" s="78"/>
      <c r="RSH10" s="78"/>
      <c r="RSI10" s="78"/>
      <c r="RSJ10" s="78"/>
      <c r="RSK10" s="78"/>
      <c r="RSL10" s="78"/>
      <c r="RSM10" s="78"/>
      <c r="RSN10" s="78"/>
      <c r="RSO10" s="78"/>
      <c r="RSP10" s="78"/>
      <c r="RSQ10" s="78"/>
      <c r="RSR10" s="78"/>
      <c r="RSS10" s="78"/>
      <c r="RST10" s="78"/>
      <c r="RSU10" s="78"/>
      <c r="RSV10" s="78"/>
      <c r="RSW10" s="78"/>
      <c r="RSX10" s="78"/>
      <c r="RSY10" s="78"/>
      <c r="RSZ10" s="78"/>
      <c r="RTA10" s="78"/>
      <c r="RTB10" s="78"/>
      <c r="RTC10" s="78"/>
      <c r="RTD10" s="78"/>
      <c r="RTE10" s="78"/>
      <c r="RTF10" s="78"/>
      <c r="RTG10" s="78"/>
      <c r="RTH10" s="78"/>
      <c r="RTI10" s="78"/>
      <c r="RTJ10" s="78"/>
      <c r="RTK10" s="78"/>
      <c r="RTL10" s="78"/>
      <c r="RTM10" s="78"/>
      <c r="RTN10" s="78"/>
      <c r="RTO10" s="78"/>
      <c r="RTP10" s="78"/>
      <c r="RTQ10" s="78"/>
      <c r="RTR10" s="78"/>
      <c r="RTS10" s="78"/>
      <c r="RTT10" s="78"/>
      <c r="RTU10" s="78"/>
      <c r="RTV10" s="78"/>
      <c r="RTW10" s="78"/>
      <c r="RTX10" s="78"/>
      <c r="RTY10" s="78"/>
      <c r="RTZ10" s="78"/>
      <c r="RUA10" s="78"/>
      <c r="RUB10" s="78"/>
      <c r="RUC10" s="78"/>
      <c r="RUD10" s="78"/>
      <c r="RUE10" s="78"/>
      <c r="RUF10" s="78"/>
      <c r="RUG10" s="78"/>
      <c r="RUH10" s="78"/>
      <c r="RUI10" s="78"/>
      <c r="RUJ10" s="78"/>
      <c r="RUK10" s="78"/>
      <c r="RUL10" s="78"/>
      <c r="RUM10" s="78"/>
      <c r="RUN10" s="78"/>
      <c r="RUO10" s="78"/>
      <c r="RUP10" s="78"/>
      <c r="RUQ10" s="78"/>
      <c r="RUR10" s="78"/>
      <c r="RUS10" s="78"/>
      <c r="RUT10" s="78"/>
      <c r="RUU10" s="78"/>
      <c r="RUV10" s="78"/>
      <c r="RUW10" s="78"/>
      <c r="RUX10" s="78"/>
      <c r="RUY10" s="78"/>
      <c r="RUZ10" s="78"/>
      <c r="RVA10" s="78"/>
      <c r="RVB10" s="78"/>
      <c r="RVC10" s="78"/>
      <c r="RVD10" s="78"/>
      <c r="RVE10" s="78"/>
      <c r="RVF10" s="78"/>
      <c r="RVG10" s="78"/>
      <c r="RVH10" s="78"/>
      <c r="RVI10" s="78"/>
      <c r="RVJ10" s="78"/>
      <c r="RVK10" s="78"/>
      <c r="RVL10" s="78"/>
      <c r="RVM10" s="78"/>
      <c r="RVN10" s="78"/>
      <c r="RVO10" s="78"/>
      <c r="RVP10" s="78"/>
      <c r="RVQ10" s="78"/>
      <c r="RVR10" s="78"/>
      <c r="RVS10" s="78"/>
      <c r="RVT10" s="78"/>
      <c r="RVU10" s="78"/>
      <c r="RVV10" s="78"/>
      <c r="RVW10" s="78"/>
      <c r="RVX10" s="78"/>
      <c r="RVY10" s="78"/>
      <c r="RVZ10" s="78"/>
      <c r="RWA10" s="78"/>
      <c r="RWB10" s="78"/>
      <c r="RWC10" s="78"/>
      <c r="RWD10" s="78"/>
      <c r="RWE10" s="78"/>
      <c r="RWF10" s="78"/>
      <c r="RWG10" s="78"/>
      <c r="RWH10" s="78"/>
      <c r="RWI10" s="78"/>
      <c r="RWJ10" s="78"/>
      <c r="RWK10" s="78"/>
      <c r="RWL10" s="78"/>
      <c r="RWM10" s="78"/>
      <c r="RWN10" s="78"/>
      <c r="RWO10" s="78"/>
      <c r="RWP10" s="78"/>
      <c r="RWQ10" s="78"/>
      <c r="RWR10" s="78"/>
      <c r="RWS10" s="78"/>
      <c r="RWT10" s="78"/>
      <c r="RWU10" s="78"/>
      <c r="RWV10" s="78"/>
      <c r="RWW10" s="78"/>
      <c r="RWX10" s="78"/>
      <c r="RWY10" s="78"/>
      <c r="RWZ10" s="78"/>
      <c r="RXA10" s="78"/>
      <c r="RXB10" s="78"/>
      <c r="RXC10" s="78"/>
      <c r="RXD10" s="78"/>
      <c r="RXE10" s="78"/>
      <c r="RXF10" s="78"/>
      <c r="RXG10" s="78"/>
      <c r="RXH10" s="78"/>
      <c r="RXI10" s="78"/>
      <c r="RXJ10" s="78"/>
      <c r="RXK10" s="78"/>
      <c r="RXL10" s="78"/>
      <c r="RXM10" s="78"/>
      <c r="RXN10" s="78"/>
      <c r="RXO10" s="78"/>
      <c r="RXP10" s="78"/>
      <c r="RXQ10" s="78"/>
      <c r="RXR10" s="78"/>
      <c r="RXS10" s="78"/>
      <c r="RXT10" s="78"/>
      <c r="RXU10" s="78"/>
      <c r="RXV10" s="78"/>
      <c r="RXW10" s="78"/>
      <c r="RXX10" s="78"/>
      <c r="RXY10" s="78"/>
      <c r="RXZ10" s="78"/>
      <c r="RYA10" s="78"/>
      <c r="RYB10" s="78"/>
      <c r="RYC10" s="78"/>
      <c r="RYD10" s="78"/>
      <c r="RYE10" s="78"/>
      <c r="RYF10" s="78"/>
      <c r="RYG10" s="78"/>
      <c r="RYH10" s="78"/>
      <c r="RYI10" s="78"/>
      <c r="RYJ10" s="78"/>
      <c r="RYK10" s="78"/>
      <c r="RYL10" s="78"/>
      <c r="RYM10" s="78"/>
      <c r="RYN10" s="78"/>
      <c r="RYO10" s="78"/>
      <c r="RYP10" s="78"/>
      <c r="RYQ10" s="78"/>
      <c r="RYR10" s="78"/>
      <c r="RYS10" s="78"/>
      <c r="RYT10" s="78"/>
      <c r="RYU10" s="78"/>
      <c r="RYV10" s="78"/>
      <c r="RYW10" s="78"/>
      <c r="RYX10" s="78"/>
      <c r="RYY10" s="78"/>
      <c r="RYZ10" s="78"/>
      <c r="RZA10" s="78"/>
      <c r="RZB10" s="78"/>
      <c r="RZC10" s="78"/>
      <c r="RZD10" s="78"/>
      <c r="RZE10" s="78"/>
      <c r="RZF10" s="78"/>
      <c r="RZG10" s="78"/>
      <c r="RZH10" s="78"/>
      <c r="RZI10" s="78"/>
      <c r="RZJ10" s="78"/>
      <c r="RZK10" s="78"/>
      <c r="RZL10" s="78"/>
      <c r="RZM10" s="78"/>
      <c r="RZN10" s="78"/>
      <c r="RZO10" s="78"/>
      <c r="RZP10" s="78"/>
      <c r="RZQ10" s="78"/>
      <c r="RZR10" s="78"/>
      <c r="RZS10" s="78"/>
      <c r="RZT10" s="78"/>
      <c r="RZU10" s="78"/>
      <c r="RZV10" s="78"/>
      <c r="RZW10" s="78"/>
      <c r="RZX10" s="78"/>
      <c r="RZY10" s="78"/>
      <c r="RZZ10" s="78"/>
      <c r="SAA10" s="78"/>
      <c r="SAB10" s="78"/>
      <c r="SAC10" s="78"/>
      <c r="SAD10" s="78"/>
      <c r="SAE10" s="78"/>
      <c r="SAF10" s="78"/>
      <c r="SAG10" s="78"/>
      <c r="SAH10" s="78"/>
      <c r="SAI10" s="78"/>
      <c r="SAJ10" s="78"/>
      <c r="SAK10" s="78"/>
      <c r="SAL10" s="78"/>
      <c r="SAM10" s="78"/>
      <c r="SAN10" s="78"/>
      <c r="SAO10" s="78"/>
      <c r="SAP10" s="78"/>
      <c r="SAQ10" s="78"/>
      <c r="SAR10" s="78"/>
      <c r="SAS10" s="78"/>
      <c r="SAT10" s="78"/>
      <c r="SAU10" s="78"/>
      <c r="SAV10" s="78"/>
      <c r="SAW10" s="78"/>
      <c r="SAX10" s="78"/>
      <c r="SAY10" s="78"/>
      <c r="SAZ10" s="78"/>
      <c r="SBA10" s="78"/>
      <c r="SBB10" s="78"/>
      <c r="SBC10" s="78"/>
      <c r="SBD10" s="78"/>
      <c r="SBE10" s="78"/>
      <c r="SBF10" s="78"/>
      <c r="SBG10" s="78"/>
      <c r="SBH10" s="78"/>
      <c r="SBI10" s="78"/>
      <c r="SBJ10" s="78"/>
      <c r="SBK10" s="78"/>
      <c r="SBL10" s="78"/>
      <c r="SBM10" s="78"/>
      <c r="SBN10" s="78"/>
      <c r="SBO10" s="78"/>
      <c r="SBP10" s="78"/>
      <c r="SBQ10" s="78"/>
      <c r="SBR10" s="78"/>
      <c r="SBS10" s="78"/>
      <c r="SBT10" s="78"/>
      <c r="SBU10" s="78"/>
      <c r="SBV10" s="78"/>
      <c r="SBW10" s="78"/>
      <c r="SBX10" s="78"/>
      <c r="SBY10" s="78"/>
      <c r="SBZ10" s="78"/>
      <c r="SCA10" s="78"/>
      <c r="SCB10" s="78"/>
      <c r="SCC10" s="78"/>
      <c r="SCD10" s="78"/>
      <c r="SCE10" s="78"/>
      <c r="SCF10" s="78"/>
      <c r="SCG10" s="78"/>
      <c r="SCH10" s="78"/>
      <c r="SCI10" s="78"/>
      <c r="SCJ10" s="78"/>
      <c r="SCK10" s="78"/>
      <c r="SCL10" s="78"/>
      <c r="SCM10" s="78"/>
      <c r="SCN10" s="78"/>
      <c r="SCO10" s="78"/>
      <c r="SCP10" s="78"/>
      <c r="SCQ10" s="78"/>
      <c r="SCR10" s="78"/>
      <c r="SCS10" s="78"/>
      <c r="SCT10" s="78"/>
      <c r="SCU10" s="78"/>
      <c r="SCV10" s="78"/>
      <c r="SCW10" s="78"/>
      <c r="SCX10" s="78"/>
      <c r="SCY10" s="78"/>
      <c r="SCZ10" s="78"/>
      <c r="SDA10" s="78"/>
      <c r="SDB10" s="78"/>
      <c r="SDC10" s="78"/>
      <c r="SDD10" s="78"/>
      <c r="SDE10" s="78"/>
      <c r="SDF10" s="78"/>
      <c r="SDG10" s="78"/>
      <c r="SDH10" s="78"/>
      <c r="SDI10" s="78"/>
      <c r="SDJ10" s="78"/>
      <c r="SDK10" s="78"/>
      <c r="SDL10" s="78"/>
      <c r="SDM10" s="78"/>
      <c r="SDN10" s="78"/>
      <c r="SDO10" s="78"/>
      <c r="SDP10" s="78"/>
      <c r="SDQ10" s="78"/>
      <c r="SDR10" s="78"/>
      <c r="SDS10" s="78"/>
      <c r="SDT10" s="78"/>
      <c r="SDU10" s="78"/>
      <c r="SDV10" s="78"/>
      <c r="SDW10" s="78"/>
      <c r="SDX10" s="78"/>
      <c r="SDY10" s="78"/>
      <c r="SDZ10" s="78"/>
      <c r="SEA10" s="78"/>
      <c r="SEB10" s="78"/>
      <c r="SEC10" s="78"/>
      <c r="SED10" s="78"/>
      <c r="SEE10" s="78"/>
      <c r="SEF10" s="78"/>
      <c r="SEG10" s="78"/>
      <c r="SEH10" s="78"/>
      <c r="SEI10" s="78"/>
      <c r="SEJ10" s="78"/>
      <c r="SEK10" s="78"/>
      <c r="SEL10" s="78"/>
      <c r="SEM10" s="78"/>
      <c r="SEN10" s="78"/>
      <c r="SEO10" s="78"/>
      <c r="SEP10" s="78"/>
      <c r="SEQ10" s="78"/>
      <c r="SER10" s="78"/>
      <c r="SES10" s="78"/>
      <c r="SET10" s="78"/>
      <c r="SEU10" s="78"/>
      <c r="SEV10" s="78"/>
      <c r="SEW10" s="78"/>
      <c r="SEX10" s="78"/>
      <c r="SEY10" s="78"/>
      <c r="SEZ10" s="78"/>
      <c r="SFA10" s="78"/>
      <c r="SFB10" s="78"/>
      <c r="SFC10" s="78"/>
      <c r="SFD10" s="78"/>
      <c r="SFE10" s="78"/>
      <c r="SFF10" s="78"/>
      <c r="SFG10" s="78"/>
      <c r="SFH10" s="78"/>
      <c r="SFI10" s="78"/>
      <c r="SFJ10" s="78"/>
      <c r="SFK10" s="78"/>
      <c r="SFL10" s="78"/>
      <c r="SFM10" s="78"/>
      <c r="SFN10" s="78"/>
      <c r="SFO10" s="78"/>
      <c r="SFP10" s="78"/>
      <c r="SFQ10" s="78"/>
      <c r="SFR10" s="78"/>
      <c r="SFS10" s="78"/>
      <c r="SFT10" s="78"/>
      <c r="SFU10" s="78"/>
      <c r="SFV10" s="78"/>
      <c r="SFW10" s="78"/>
      <c r="SFX10" s="78"/>
      <c r="SFY10" s="78"/>
      <c r="SFZ10" s="78"/>
      <c r="SGA10" s="78"/>
      <c r="SGB10" s="78"/>
      <c r="SGC10" s="78"/>
      <c r="SGD10" s="78"/>
      <c r="SGE10" s="78"/>
      <c r="SGF10" s="78"/>
      <c r="SGG10" s="78"/>
      <c r="SGH10" s="78"/>
      <c r="SGI10" s="78"/>
      <c r="SGJ10" s="78"/>
      <c r="SGK10" s="78"/>
      <c r="SGL10" s="78"/>
      <c r="SGM10" s="78"/>
      <c r="SGN10" s="78"/>
      <c r="SGO10" s="78"/>
      <c r="SGP10" s="78"/>
      <c r="SGQ10" s="78"/>
      <c r="SGR10" s="78"/>
      <c r="SGS10" s="78"/>
      <c r="SGT10" s="78"/>
      <c r="SGU10" s="78"/>
      <c r="SGV10" s="78"/>
      <c r="SGW10" s="78"/>
      <c r="SGX10" s="78"/>
      <c r="SGY10" s="78"/>
      <c r="SGZ10" s="78"/>
      <c r="SHA10" s="78"/>
      <c r="SHB10" s="78"/>
      <c r="SHC10" s="78"/>
      <c r="SHD10" s="78"/>
      <c r="SHE10" s="78"/>
      <c r="SHF10" s="78"/>
      <c r="SHG10" s="78"/>
      <c r="SHH10" s="78"/>
      <c r="SHI10" s="78"/>
      <c r="SHJ10" s="78"/>
      <c r="SHK10" s="78"/>
      <c r="SHL10" s="78"/>
      <c r="SHM10" s="78"/>
      <c r="SHN10" s="78"/>
      <c r="SHO10" s="78"/>
      <c r="SHP10" s="78"/>
      <c r="SHQ10" s="78"/>
      <c r="SHR10" s="78"/>
      <c r="SHS10" s="78"/>
      <c r="SHT10" s="78"/>
      <c r="SHU10" s="78"/>
      <c r="SHV10" s="78"/>
      <c r="SHW10" s="78"/>
      <c r="SHX10" s="78"/>
      <c r="SHY10" s="78"/>
      <c r="SHZ10" s="78"/>
      <c r="SIA10" s="78"/>
      <c r="SIB10" s="78"/>
      <c r="SIC10" s="78"/>
      <c r="SID10" s="78"/>
      <c r="SIE10" s="78"/>
      <c r="SIF10" s="78"/>
      <c r="SIG10" s="78"/>
      <c r="SIH10" s="78"/>
      <c r="SII10" s="78"/>
      <c r="SIJ10" s="78"/>
      <c r="SIK10" s="78"/>
      <c r="SIL10" s="78"/>
      <c r="SIM10" s="78"/>
      <c r="SIN10" s="78"/>
      <c r="SIO10" s="78"/>
      <c r="SIP10" s="78"/>
      <c r="SIQ10" s="78"/>
      <c r="SIR10" s="78"/>
      <c r="SIS10" s="78"/>
      <c r="SIT10" s="78"/>
      <c r="SIU10" s="78"/>
      <c r="SIV10" s="78"/>
      <c r="SIW10" s="78"/>
      <c r="SIX10" s="78"/>
      <c r="SIY10" s="78"/>
      <c r="SIZ10" s="78"/>
      <c r="SJA10" s="78"/>
      <c r="SJB10" s="78"/>
      <c r="SJC10" s="78"/>
      <c r="SJD10" s="78"/>
      <c r="SJE10" s="78"/>
      <c r="SJF10" s="78"/>
      <c r="SJG10" s="78"/>
      <c r="SJH10" s="78"/>
      <c r="SJI10" s="78"/>
      <c r="SJJ10" s="78"/>
      <c r="SJK10" s="78"/>
      <c r="SJL10" s="78"/>
      <c r="SJM10" s="78"/>
      <c r="SJN10" s="78"/>
      <c r="SJO10" s="78"/>
      <c r="SJP10" s="78"/>
      <c r="SJQ10" s="78"/>
      <c r="SJR10" s="78"/>
      <c r="SJS10" s="78"/>
      <c r="SJT10" s="78"/>
      <c r="SJU10" s="78"/>
      <c r="SJV10" s="78"/>
      <c r="SJW10" s="78"/>
      <c r="SJX10" s="78"/>
      <c r="SJY10" s="78"/>
      <c r="SJZ10" s="78"/>
      <c r="SKA10" s="78"/>
      <c r="SKB10" s="78"/>
      <c r="SKC10" s="78"/>
      <c r="SKD10" s="78"/>
      <c r="SKE10" s="78"/>
      <c r="SKF10" s="78"/>
      <c r="SKG10" s="78"/>
      <c r="SKH10" s="78"/>
      <c r="SKI10" s="78"/>
      <c r="SKJ10" s="78"/>
      <c r="SKK10" s="78"/>
      <c r="SKL10" s="78"/>
      <c r="SKM10" s="78"/>
      <c r="SKN10" s="78"/>
      <c r="SKO10" s="78"/>
      <c r="SKP10" s="78"/>
      <c r="SKQ10" s="78"/>
      <c r="SKR10" s="78"/>
      <c r="SKS10" s="78"/>
      <c r="SKT10" s="78"/>
      <c r="SKU10" s="78"/>
      <c r="SKV10" s="78"/>
      <c r="SKW10" s="78"/>
      <c r="SKX10" s="78"/>
      <c r="SKY10" s="78"/>
      <c r="SKZ10" s="78"/>
      <c r="SLA10" s="78"/>
      <c r="SLB10" s="78"/>
      <c r="SLC10" s="78"/>
      <c r="SLD10" s="78"/>
      <c r="SLE10" s="78"/>
      <c r="SLF10" s="78"/>
      <c r="SLG10" s="78"/>
      <c r="SLH10" s="78"/>
      <c r="SLI10" s="78"/>
      <c r="SLJ10" s="78"/>
      <c r="SLK10" s="78"/>
      <c r="SLL10" s="78"/>
      <c r="SLM10" s="78"/>
      <c r="SLN10" s="78"/>
      <c r="SLO10" s="78"/>
      <c r="SLP10" s="78"/>
      <c r="SLQ10" s="78"/>
      <c r="SLR10" s="78"/>
      <c r="SLS10" s="78"/>
      <c r="SLT10" s="78"/>
      <c r="SLU10" s="78"/>
      <c r="SLV10" s="78"/>
      <c r="SLW10" s="78"/>
      <c r="SLX10" s="78"/>
      <c r="SLY10" s="78"/>
      <c r="SLZ10" s="78"/>
      <c r="SMA10" s="78"/>
      <c r="SMB10" s="78"/>
      <c r="SMC10" s="78"/>
      <c r="SMD10" s="78"/>
      <c r="SME10" s="78"/>
      <c r="SMF10" s="78"/>
      <c r="SMG10" s="78"/>
      <c r="SMH10" s="78"/>
      <c r="SMI10" s="78"/>
      <c r="SMJ10" s="78"/>
      <c r="SMK10" s="78"/>
      <c r="SML10" s="78"/>
      <c r="SMM10" s="78"/>
      <c r="SMN10" s="78"/>
      <c r="SMO10" s="78"/>
      <c r="SMP10" s="78"/>
      <c r="SMQ10" s="78"/>
      <c r="SMR10" s="78"/>
      <c r="SMS10" s="78"/>
      <c r="SMT10" s="78"/>
      <c r="SMU10" s="78"/>
      <c r="SMV10" s="78"/>
      <c r="SMW10" s="78"/>
      <c r="SMX10" s="78"/>
      <c r="SMY10" s="78"/>
      <c r="SMZ10" s="78"/>
      <c r="SNA10" s="78"/>
      <c r="SNB10" s="78"/>
      <c r="SNC10" s="78"/>
      <c r="SND10" s="78"/>
      <c r="SNE10" s="78"/>
      <c r="SNF10" s="78"/>
      <c r="SNG10" s="78"/>
      <c r="SNH10" s="78"/>
      <c r="SNI10" s="78"/>
      <c r="SNJ10" s="78"/>
      <c r="SNK10" s="78"/>
      <c r="SNL10" s="78"/>
      <c r="SNM10" s="78"/>
      <c r="SNN10" s="78"/>
      <c r="SNO10" s="78"/>
      <c r="SNP10" s="78"/>
      <c r="SNQ10" s="78"/>
      <c r="SNR10" s="78"/>
      <c r="SNS10" s="78"/>
      <c r="SNT10" s="78"/>
      <c r="SNU10" s="78"/>
      <c r="SNV10" s="78"/>
      <c r="SNW10" s="78"/>
      <c r="SNX10" s="78"/>
      <c r="SNY10" s="78"/>
      <c r="SNZ10" s="78"/>
      <c r="SOA10" s="78"/>
      <c r="SOB10" s="78"/>
      <c r="SOC10" s="78"/>
      <c r="SOD10" s="78"/>
      <c r="SOE10" s="78"/>
      <c r="SOF10" s="78"/>
      <c r="SOG10" s="78"/>
      <c r="SOH10" s="78"/>
      <c r="SOI10" s="78"/>
      <c r="SOJ10" s="78"/>
      <c r="SOK10" s="78"/>
      <c r="SOL10" s="78"/>
      <c r="SOM10" s="78"/>
      <c r="SON10" s="78"/>
      <c r="SOO10" s="78"/>
      <c r="SOP10" s="78"/>
      <c r="SOQ10" s="78"/>
      <c r="SOR10" s="78"/>
      <c r="SOS10" s="78"/>
      <c r="SOT10" s="78"/>
      <c r="SOU10" s="78"/>
      <c r="SOV10" s="78"/>
      <c r="SOW10" s="78"/>
      <c r="SOX10" s="78"/>
      <c r="SOY10" s="78"/>
      <c r="SOZ10" s="78"/>
      <c r="SPA10" s="78"/>
      <c r="SPB10" s="78"/>
      <c r="SPC10" s="78"/>
      <c r="SPD10" s="78"/>
      <c r="SPE10" s="78"/>
      <c r="SPF10" s="78"/>
      <c r="SPG10" s="78"/>
      <c r="SPH10" s="78"/>
      <c r="SPI10" s="78"/>
      <c r="SPJ10" s="78"/>
      <c r="SPK10" s="78"/>
      <c r="SPL10" s="78"/>
      <c r="SPM10" s="78"/>
      <c r="SPN10" s="78"/>
      <c r="SPO10" s="78"/>
      <c r="SPP10" s="78"/>
      <c r="SPQ10" s="78"/>
      <c r="SPR10" s="78"/>
      <c r="SPS10" s="78"/>
      <c r="SPT10" s="78"/>
      <c r="SPU10" s="78"/>
      <c r="SPV10" s="78"/>
      <c r="SPW10" s="78"/>
      <c r="SPX10" s="78"/>
      <c r="SPY10" s="78"/>
      <c r="SPZ10" s="78"/>
      <c r="SQA10" s="78"/>
      <c r="SQB10" s="78"/>
      <c r="SQC10" s="78"/>
      <c r="SQD10" s="78"/>
      <c r="SQE10" s="78"/>
      <c r="SQF10" s="78"/>
      <c r="SQG10" s="78"/>
      <c r="SQH10" s="78"/>
      <c r="SQI10" s="78"/>
      <c r="SQJ10" s="78"/>
      <c r="SQK10" s="78"/>
      <c r="SQL10" s="78"/>
      <c r="SQM10" s="78"/>
      <c r="SQN10" s="78"/>
      <c r="SQO10" s="78"/>
      <c r="SQP10" s="78"/>
      <c r="SQQ10" s="78"/>
      <c r="SQR10" s="78"/>
      <c r="SQS10" s="78"/>
      <c r="SQT10" s="78"/>
      <c r="SQU10" s="78"/>
      <c r="SQV10" s="78"/>
      <c r="SQW10" s="78"/>
      <c r="SQX10" s="78"/>
      <c r="SQY10" s="78"/>
      <c r="SQZ10" s="78"/>
      <c r="SRA10" s="78"/>
      <c r="SRB10" s="78"/>
      <c r="SRC10" s="78"/>
      <c r="SRD10" s="78"/>
      <c r="SRE10" s="78"/>
      <c r="SRF10" s="78"/>
      <c r="SRG10" s="78"/>
      <c r="SRH10" s="78"/>
      <c r="SRI10" s="78"/>
      <c r="SRJ10" s="78"/>
      <c r="SRK10" s="78"/>
      <c r="SRL10" s="78"/>
      <c r="SRM10" s="78"/>
      <c r="SRN10" s="78"/>
      <c r="SRO10" s="78"/>
      <c r="SRP10" s="78"/>
      <c r="SRQ10" s="78"/>
      <c r="SRR10" s="78"/>
      <c r="SRS10" s="78"/>
      <c r="SRT10" s="78"/>
      <c r="SRU10" s="78"/>
      <c r="SRV10" s="78"/>
      <c r="SRW10" s="78"/>
      <c r="SRX10" s="78"/>
      <c r="SRY10" s="78"/>
      <c r="SRZ10" s="78"/>
      <c r="SSA10" s="78"/>
      <c r="SSB10" s="78"/>
      <c r="SSC10" s="78"/>
      <c r="SSD10" s="78"/>
      <c r="SSE10" s="78"/>
      <c r="SSF10" s="78"/>
      <c r="SSG10" s="78"/>
      <c r="SSH10" s="78"/>
      <c r="SSI10" s="78"/>
      <c r="SSJ10" s="78"/>
      <c r="SSK10" s="78"/>
      <c r="SSL10" s="78"/>
      <c r="SSM10" s="78"/>
      <c r="SSN10" s="78"/>
      <c r="SSO10" s="78"/>
      <c r="SSP10" s="78"/>
      <c r="SSQ10" s="78"/>
      <c r="SSR10" s="78"/>
      <c r="SSS10" s="78"/>
      <c r="SST10" s="78"/>
      <c r="SSU10" s="78"/>
      <c r="SSV10" s="78"/>
      <c r="SSW10" s="78"/>
      <c r="SSX10" s="78"/>
      <c r="SSY10" s="78"/>
      <c r="SSZ10" s="78"/>
      <c r="STA10" s="78"/>
      <c r="STB10" s="78"/>
      <c r="STC10" s="78"/>
      <c r="STD10" s="78"/>
      <c r="STE10" s="78"/>
      <c r="STF10" s="78"/>
      <c r="STG10" s="78"/>
      <c r="STH10" s="78"/>
      <c r="STI10" s="78"/>
      <c r="STJ10" s="78"/>
      <c r="STK10" s="78"/>
      <c r="STL10" s="78"/>
      <c r="STM10" s="78"/>
      <c r="STN10" s="78"/>
      <c r="STO10" s="78"/>
      <c r="STP10" s="78"/>
      <c r="STQ10" s="78"/>
      <c r="STR10" s="78"/>
      <c r="STS10" s="78"/>
      <c r="STT10" s="78"/>
      <c r="STU10" s="78"/>
      <c r="STV10" s="78"/>
      <c r="STW10" s="78"/>
      <c r="STX10" s="78"/>
      <c r="STY10" s="78"/>
      <c r="STZ10" s="78"/>
      <c r="SUA10" s="78"/>
      <c r="SUB10" s="78"/>
      <c r="SUC10" s="78"/>
      <c r="SUD10" s="78"/>
      <c r="SUE10" s="78"/>
      <c r="SUF10" s="78"/>
      <c r="SUG10" s="78"/>
      <c r="SUH10" s="78"/>
      <c r="SUI10" s="78"/>
      <c r="SUJ10" s="78"/>
      <c r="SUK10" s="78"/>
      <c r="SUL10" s="78"/>
      <c r="SUM10" s="78"/>
      <c r="SUN10" s="78"/>
      <c r="SUO10" s="78"/>
      <c r="SUP10" s="78"/>
      <c r="SUQ10" s="78"/>
      <c r="SUR10" s="78"/>
      <c r="SUS10" s="78"/>
      <c r="SUT10" s="78"/>
      <c r="SUU10" s="78"/>
      <c r="SUV10" s="78"/>
      <c r="SUW10" s="78"/>
      <c r="SUX10" s="78"/>
      <c r="SUY10" s="78"/>
      <c r="SUZ10" s="78"/>
      <c r="SVA10" s="78"/>
      <c r="SVB10" s="78"/>
      <c r="SVC10" s="78"/>
      <c r="SVD10" s="78"/>
      <c r="SVE10" s="78"/>
      <c r="SVF10" s="78"/>
      <c r="SVG10" s="78"/>
      <c r="SVH10" s="78"/>
      <c r="SVI10" s="78"/>
      <c r="SVJ10" s="78"/>
      <c r="SVK10" s="78"/>
      <c r="SVL10" s="78"/>
      <c r="SVM10" s="78"/>
      <c r="SVN10" s="78"/>
      <c r="SVO10" s="78"/>
      <c r="SVP10" s="78"/>
      <c r="SVQ10" s="78"/>
      <c r="SVR10" s="78"/>
      <c r="SVS10" s="78"/>
      <c r="SVT10" s="78"/>
      <c r="SVU10" s="78"/>
      <c r="SVV10" s="78"/>
      <c r="SVW10" s="78"/>
      <c r="SVX10" s="78"/>
      <c r="SVY10" s="78"/>
      <c r="SVZ10" s="78"/>
      <c r="SWA10" s="78"/>
      <c r="SWB10" s="78"/>
      <c r="SWC10" s="78"/>
      <c r="SWD10" s="78"/>
      <c r="SWE10" s="78"/>
      <c r="SWF10" s="78"/>
      <c r="SWG10" s="78"/>
      <c r="SWH10" s="78"/>
      <c r="SWI10" s="78"/>
      <c r="SWJ10" s="78"/>
      <c r="SWK10" s="78"/>
      <c r="SWL10" s="78"/>
      <c r="SWM10" s="78"/>
      <c r="SWN10" s="78"/>
      <c r="SWO10" s="78"/>
      <c r="SWP10" s="78"/>
      <c r="SWQ10" s="78"/>
      <c r="SWR10" s="78"/>
      <c r="SWS10" s="78"/>
      <c r="SWT10" s="78"/>
      <c r="SWU10" s="78"/>
      <c r="SWV10" s="78"/>
      <c r="SWW10" s="78"/>
      <c r="SWX10" s="78"/>
      <c r="SWY10" s="78"/>
      <c r="SWZ10" s="78"/>
      <c r="SXA10" s="78"/>
      <c r="SXB10" s="78"/>
      <c r="SXC10" s="78"/>
      <c r="SXD10" s="78"/>
      <c r="SXE10" s="78"/>
      <c r="SXF10" s="78"/>
      <c r="SXG10" s="78"/>
      <c r="SXH10" s="78"/>
      <c r="SXI10" s="78"/>
      <c r="SXJ10" s="78"/>
      <c r="SXK10" s="78"/>
      <c r="SXL10" s="78"/>
      <c r="SXM10" s="78"/>
      <c r="SXN10" s="78"/>
      <c r="SXO10" s="78"/>
      <c r="SXP10" s="78"/>
      <c r="SXQ10" s="78"/>
      <c r="SXR10" s="78"/>
      <c r="SXS10" s="78"/>
      <c r="SXT10" s="78"/>
      <c r="SXU10" s="78"/>
      <c r="SXV10" s="78"/>
      <c r="SXW10" s="78"/>
      <c r="SXX10" s="78"/>
      <c r="SXY10" s="78"/>
      <c r="SXZ10" s="78"/>
      <c r="SYA10" s="78"/>
      <c r="SYB10" s="78"/>
      <c r="SYC10" s="78"/>
      <c r="SYD10" s="78"/>
      <c r="SYE10" s="78"/>
      <c r="SYF10" s="78"/>
      <c r="SYG10" s="78"/>
      <c r="SYH10" s="78"/>
      <c r="SYI10" s="78"/>
      <c r="SYJ10" s="78"/>
      <c r="SYK10" s="78"/>
      <c r="SYL10" s="78"/>
      <c r="SYM10" s="78"/>
      <c r="SYN10" s="78"/>
      <c r="SYO10" s="78"/>
      <c r="SYP10" s="78"/>
      <c r="SYQ10" s="78"/>
      <c r="SYR10" s="78"/>
      <c r="SYS10" s="78"/>
      <c r="SYT10" s="78"/>
      <c r="SYU10" s="78"/>
      <c r="SYV10" s="78"/>
      <c r="SYW10" s="78"/>
      <c r="SYX10" s="78"/>
      <c r="SYY10" s="78"/>
      <c r="SYZ10" s="78"/>
      <c r="SZA10" s="78"/>
      <c r="SZB10" s="78"/>
      <c r="SZC10" s="78"/>
      <c r="SZD10" s="78"/>
      <c r="SZE10" s="78"/>
      <c r="SZF10" s="78"/>
      <c r="SZG10" s="78"/>
      <c r="SZH10" s="78"/>
      <c r="SZI10" s="78"/>
      <c r="SZJ10" s="78"/>
      <c r="SZK10" s="78"/>
      <c r="SZL10" s="78"/>
      <c r="SZM10" s="78"/>
      <c r="SZN10" s="78"/>
      <c r="SZO10" s="78"/>
      <c r="SZP10" s="78"/>
      <c r="SZQ10" s="78"/>
      <c r="SZR10" s="78"/>
      <c r="SZS10" s="78"/>
      <c r="SZT10" s="78"/>
      <c r="SZU10" s="78"/>
      <c r="SZV10" s="78"/>
      <c r="SZW10" s="78"/>
      <c r="SZX10" s="78"/>
      <c r="SZY10" s="78"/>
      <c r="SZZ10" s="78"/>
      <c r="TAA10" s="78"/>
      <c r="TAB10" s="78"/>
      <c r="TAC10" s="78"/>
      <c r="TAD10" s="78"/>
      <c r="TAE10" s="78"/>
      <c r="TAF10" s="78"/>
      <c r="TAG10" s="78"/>
      <c r="TAH10" s="78"/>
      <c r="TAI10" s="78"/>
      <c r="TAJ10" s="78"/>
      <c r="TAK10" s="78"/>
      <c r="TAL10" s="78"/>
      <c r="TAM10" s="78"/>
      <c r="TAN10" s="78"/>
      <c r="TAO10" s="78"/>
      <c r="TAP10" s="78"/>
      <c r="TAQ10" s="78"/>
      <c r="TAR10" s="78"/>
      <c r="TAS10" s="78"/>
      <c r="TAT10" s="78"/>
      <c r="TAU10" s="78"/>
      <c r="TAV10" s="78"/>
      <c r="TAW10" s="78"/>
      <c r="TAX10" s="78"/>
      <c r="TAY10" s="78"/>
      <c r="TAZ10" s="78"/>
      <c r="TBA10" s="78"/>
      <c r="TBB10" s="78"/>
      <c r="TBC10" s="78"/>
      <c r="TBD10" s="78"/>
      <c r="TBE10" s="78"/>
      <c r="TBF10" s="78"/>
      <c r="TBG10" s="78"/>
      <c r="TBH10" s="78"/>
      <c r="TBI10" s="78"/>
      <c r="TBJ10" s="78"/>
      <c r="TBK10" s="78"/>
      <c r="TBL10" s="78"/>
      <c r="TBM10" s="78"/>
      <c r="TBN10" s="78"/>
      <c r="TBO10" s="78"/>
      <c r="TBP10" s="78"/>
      <c r="TBQ10" s="78"/>
      <c r="TBR10" s="78"/>
      <c r="TBS10" s="78"/>
      <c r="TBT10" s="78"/>
      <c r="TBU10" s="78"/>
      <c r="TBV10" s="78"/>
      <c r="TBW10" s="78"/>
      <c r="TBX10" s="78"/>
      <c r="TBY10" s="78"/>
      <c r="TBZ10" s="78"/>
      <c r="TCA10" s="78"/>
      <c r="TCB10" s="78"/>
      <c r="TCC10" s="78"/>
      <c r="TCD10" s="78"/>
      <c r="TCE10" s="78"/>
      <c r="TCF10" s="78"/>
      <c r="TCG10" s="78"/>
      <c r="TCH10" s="78"/>
      <c r="TCI10" s="78"/>
      <c r="TCJ10" s="78"/>
      <c r="TCK10" s="78"/>
      <c r="TCL10" s="78"/>
      <c r="TCM10" s="78"/>
      <c r="TCN10" s="78"/>
      <c r="TCO10" s="78"/>
      <c r="TCP10" s="78"/>
      <c r="TCQ10" s="78"/>
      <c r="TCR10" s="78"/>
      <c r="TCS10" s="78"/>
      <c r="TCT10" s="78"/>
      <c r="TCU10" s="78"/>
      <c r="TCV10" s="78"/>
      <c r="TCW10" s="78"/>
      <c r="TCX10" s="78"/>
      <c r="TCY10" s="78"/>
      <c r="TCZ10" s="78"/>
      <c r="TDA10" s="78"/>
      <c r="TDB10" s="78"/>
      <c r="TDC10" s="78"/>
      <c r="TDD10" s="78"/>
      <c r="TDE10" s="78"/>
      <c r="TDF10" s="78"/>
      <c r="TDG10" s="78"/>
      <c r="TDH10" s="78"/>
      <c r="TDI10" s="78"/>
      <c r="TDJ10" s="78"/>
      <c r="TDK10" s="78"/>
      <c r="TDL10" s="78"/>
      <c r="TDM10" s="78"/>
      <c r="TDN10" s="78"/>
      <c r="TDO10" s="78"/>
      <c r="TDP10" s="78"/>
      <c r="TDQ10" s="78"/>
      <c r="TDR10" s="78"/>
      <c r="TDS10" s="78"/>
      <c r="TDT10" s="78"/>
      <c r="TDU10" s="78"/>
      <c r="TDV10" s="78"/>
      <c r="TDW10" s="78"/>
      <c r="TDX10" s="78"/>
      <c r="TDY10" s="78"/>
      <c r="TDZ10" s="78"/>
      <c r="TEA10" s="78"/>
      <c r="TEB10" s="78"/>
      <c r="TEC10" s="78"/>
      <c r="TED10" s="78"/>
      <c r="TEE10" s="78"/>
      <c r="TEF10" s="78"/>
      <c r="TEG10" s="78"/>
      <c r="TEH10" s="78"/>
      <c r="TEI10" s="78"/>
      <c r="TEJ10" s="78"/>
      <c r="TEK10" s="78"/>
      <c r="TEL10" s="78"/>
      <c r="TEM10" s="78"/>
      <c r="TEN10" s="78"/>
      <c r="TEO10" s="78"/>
      <c r="TEP10" s="78"/>
      <c r="TEQ10" s="78"/>
      <c r="TER10" s="78"/>
      <c r="TES10" s="78"/>
      <c r="TET10" s="78"/>
      <c r="TEU10" s="78"/>
      <c r="TEV10" s="78"/>
      <c r="TEW10" s="78"/>
      <c r="TEX10" s="78"/>
      <c r="TEY10" s="78"/>
      <c r="TEZ10" s="78"/>
      <c r="TFA10" s="78"/>
      <c r="TFB10" s="78"/>
      <c r="TFC10" s="78"/>
      <c r="TFD10" s="78"/>
      <c r="TFE10" s="78"/>
      <c r="TFF10" s="78"/>
      <c r="TFG10" s="78"/>
      <c r="TFH10" s="78"/>
      <c r="TFI10" s="78"/>
      <c r="TFJ10" s="78"/>
      <c r="TFK10" s="78"/>
      <c r="TFL10" s="78"/>
      <c r="TFM10" s="78"/>
      <c r="TFN10" s="78"/>
      <c r="TFO10" s="78"/>
      <c r="TFP10" s="78"/>
      <c r="TFQ10" s="78"/>
      <c r="TFR10" s="78"/>
      <c r="TFS10" s="78"/>
      <c r="TFT10" s="78"/>
      <c r="TFU10" s="78"/>
      <c r="TFV10" s="78"/>
      <c r="TFW10" s="78"/>
      <c r="TFX10" s="78"/>
      <c r="TFY10" s="78"/>
      <c r="TFZ10" s="78"/>
      <c r="TGA10" s="78"/>
      <c r="TGB10" s="78"/>
      <c r="TGC10" s="78"/>
      <c r="TGD10" s="78"/>
      <c r="TGE10" s="78"/>
      <c r="TGF10" s="78"/>
      <c r="TGG10" s="78"/>
      <c r="TGH10" s="78"/>
      <c r="TGI10" s="78"/>
      <c r="TGJ10" s="78"/>
      <c r="TGK10" s="78"/>
      <c r="TGL10" s="78"/>
      <c r="TGM10" s="78"/>
      <c r="TGN10" s="78"/>
      <c r="TGO10" s="78"/>
      <c r="TGP10" s="78"/>
      <c r="TGQ10" s="78"/>
      <c r="TGR10" s="78"/>
      <c r="TGS10" s="78"/>
      <c r="TGT10" s="78"/>
      <c r="TGU10" s="78"/>
      <c r="TGV10" s="78"/>
      <c r="TGW10" s="78"/>
      <c r="TGX10" s="78"/>
      <c r="TGY10" s="78"/>
      <c r="TGZ10" s="78"/>
      <c r="THA10" s="78"/>
      <c r="THB10" s="78"/>
      <c r="THC10" s="78"/>
      <c r="THD10" s="78"/>
      <c r="THE10" s="78"/>
      <c r="THF10" s="78"/>
      <c r="THG10" s="78"/>
      <c r="THH10" s="78"/>
      <c r="THI10" s="78"/>
      <c r="THJ10" s="78"/>
      <c r="THK10" s="78"/>
      <c r="THL10" s="78"/>
      <c r="THM10" s="78"/>
      <c r="THN10" s="78"/>
      <c r="THO10" s="78"/>
      <c r="THP10" s="78"/>
      <c r="THQ10" s="78"/>
      <c r="THR10" s="78"/>
      <c r="THS10" s="78"/>
      <c r="THT10" s="78"/>
      <c r="THU10" s="78"/>
      <c r="THV10" s="78"/>
      <c r="THW10" s="78"/>
      <c r="THX10" s="78"/>
      <c r="THY10" s="78"/>
      <c r="THZ10" s="78"/>
      <c r="TIA10" s="78"/>
      <c r="TIB10" s="78"/>
      <c r="TIC10" s="78"/>
      <c r="TID10" s="78"/>
      <c r="TIE10" s="78"/>
      <c r="TIF10" s="78"/>
      <c r="TIG10" s="78"/>
      <c r="TIH10" s="78"/>
      <c r="TII10" s="78"/>
      <c r="TIJ10" s="78"/>
      <c r="TIK10" s="78"/>
      <c r="TIL10" s="78"/>
      <c r="TIM10" s="78"/>
      <c r="TIN10" s="78"/>
      <c r="TIO10" s="78"/>
      <c r="TIP10" s="78"/>
      <c r="TIQ10" s="78"/>
      <c r="TIR10" s="78"/>
      <c r="TIS10" s="78"/>
      <c r="TIT10" s="78"/>
      <c r="TIU10" s="78"/>
      <c r="TIV10" s="78"/>
      <c r="TIW10" s="78"/>
      <c r="TIX10" s="78"/>
      <c r="TIY10" s="78"/>
      <c r="TIZ10" s="78"/>
      <c r="TJA10" s="78"/>
      <c r="TJB10" s="78"/>
      <c r="TJC10" s="78"/>
      <c r="TJD10" s="78"/>
      <c r="TJE10" s="78"/>
      <c r="TJF10" s="78"/>
      <c r="TJG10" s="78"/>
      <c r="TJH10" s="78"/>
      <c r="TJI10" s="78"/>
      <c r="TJJ10" s="78"/>
      <c r="TJK10" s="78"/>
      <c r="TJL10" s="78"/>
      <c r="TJM10" s="78"/>
      <c r="TJN10" s="78"/>
      <c r="TJO10" s="78"/>
      <c r="TJP10" s="78"/>
      <c r="TJQ10" s="78"/>
      <c r="TJR10" s="78"/>
      <c r="TJS10" s="78"/>
      <c r="TJT10" s="78"/>
      <c r="TJU10" s="78"/>
      <c r="TJV10" s="78"/>
      <c r="TJW10" s="78"/>
      <c r="TJX10" s="78"/>
      <c r="TJY10" s="78"/>
      <c r="TJZ10" s="78"/>
      <c r="TKA10" s="78"/>
      <c r="TKB10" s="78"/>
      <c r="TKC10" s="78"/>
      <c r="TKD10" s="78"/>
      <c r="TKE10" s="78"/>
      <c r="TKF10" s="78"/>
      <c r="TKG10" s="78"/>
      <c r="TKH10" s="78"/>
      <c r="TKI10" s="78"/>
      <c r="TKJ10" s="78"/>
      <c r="TKK10" s="78"/>
      <c r="TKL10" s="78"/>
      <c r="TKM10" s="78"/>
      <c r="TKN10" s="78"/>
      <c r="TKO10" s="78"/>
      <c r="TKP10" s="78"/>
      <c r="TKQ10" s="78"/>
      <c r="TKR10" s="78"/>
      <c r="TKS10" s="78"/>
      <c r="TKT10" s="78"/>
      <c r="TKU10" s="78"/>
      <c r="TKV10" s="78"/>
      <c r="TKW10" s="78"/>
      <c r="TKX10" s="78"/>
      <c r="TKY10" s="78"/>
      <c r="TKZ10" s="78"/>
      <c r="TLA10" s="78"/>
      <c r="TLB10" s="78"/>
      <c r="TLC10" s="78"/>
      <c r="TLD10" s="78"/>
      <c r="TLE10" s="78"/>
      <c r="TLF10" s="78"/>
      <c r="TLG10" s="78"/>
      <c r="TLH10" s="78"/>
      <c r="TLI10" s="78"/>
      <c r="TLJ10" s="78"/>
      <c r="TLK10" s="78"/>
      <c r="TLL10" s="78"/>
      <c r="TLM10" s="78"/>
      <c r="TLN10" s="78"/>
      <c r="TLO10" s="78"/>
      <c r="TLP10" s="78"/>
      <c r="TLQ10" s="78"/>
      <c r="TLR10" s="78"/>
      <c r="TLS10" s="78"/>
      <c r="TLT10" s="78"/>
      <c r="TLU10" s="78"/>
      <c r="TLV10" s="78"/>
      <c r="TLW10" s="78"/>
      <c r="TLX10" s="78"/>
      <c r="TLY10" s="78"/>
      <c r="TLZ10" s="78"/>
      <c r="TMA10" s="78"/>
      <c r="TMB10" s="78"/>
      <c r="TMC10" s="78"/>
      <c r="TMD10" s="78"/>
      <c r="TME10" s="78"/>
      <c r="TMF10" s="78"/>
      <c r="TMG10" s="78"/>
      <c r="TMH10" s="78"/>
      <c r="TMI10" s="78"/>
      <c r="TMJ10" s="78"/>
      <c r="TMK10" s="78"/>
      <c r="TML10" s="78"/>
      <c r="TMM10" s="78"/>
      <c r="TMN10" s="78"/>
      <c r="TMO10" s="78"/>
      <c r="TMP10" s="78"/>
      <c r="TMQ10" s="78"/>
      <c r="TMR10" s="78"/>
      <c r="TMS10" s="78"/>
      <c r="TMT10" s="78"/>
      <c r="TMU10" s="78"/>
      <c r="TMV10" s="78"/>
      <c r="TMW10" s="78"/>
      <c r="TMX10" s="78"/>
      <c r="TMY10" s="78"/>
      <c r="TMZ10" s="78"/>
      <c r="TNA10" s="78"/>
      <c r="TNB10" s="78"/>
      <c r="TNC10" s="78"/>
      <c r="TND10" s="78"/>
      <c r="TNE10" s="78"/>
      <c r="TNF10" s="78"/>
      <c r="TNG10" s="78"/>
      <c r="TNH10" s="78"/>
      <c r="TNI10" s="78"/>
      <c r="TNJ10" s="78"/>
      <c r="TNK10" s="78"/>
      <c r="TNL10" s="78"/>
      <c r="TNM10" s="78"/>
      <c r="TNN10" s="78"/>
      <c r="TNO10" s="78"/>
      <c r="TNP10" s="78"/>
      <c r="TNQ10" s="78"/>
      <c r="TNR10" s="78"/>
      <c r="TNS10" s="78"/>
      <c r="TNT10" s="78"/>
      <c r="TNU10" s="78"/>
      <c r="TNV10" s="78"/>
      <c r="TNW10" s="78"/>
      <c r="TNX10" s="78"/>
      <c r="TNY10" s="78"/>
      <c r="TNZ10" s="78"/>
      <c r="TOA10" s="78"/>
      <c r="TOB10" s="78"/>
      <c r="TOC10" s="78"/>
      <c r="TOD10" s="78"/>
      <c r="TOE10" s="78"/>
      <c r="TOF10" s="78"/>
      <c r="TOG10" s="78"/>
      <c r="TOH10" s="78"/>
      <c r="TOI10" s="78"/>
      <c r="TOJ10" s="78"/>
      <c r="TOK10" s="78"/>
      <c r="TOL10" s="78"/>
      <c r="TOM10" s="78"/>
      <c r="TON10" s="78"/>
      <c r="TOO10" s="78"/>
      <c r="TOP10" s="78"/>
      <c r="TOQ10" s="78"/>
      <c r="TOR10" s="78"/>
      <c r="TOS10" s="78"/>
      <c r="TOT10" s="78"/>
      <c r="TOU10" s="78"/>
      <c r="TOV10" s="78"/>
      <c r="TOW10" s="78"/>
      <c r="TOX10" s="78"/>
      <c r="TOY10" s="78"/>
      <c r="TOZ10" s="78"/>
      <c r="TPA10" s="78"/>
      <c r="TPB10" s="78"/>
      <c r="TPC10" s="78"/>
      <c r="TPD10" s="78"/>
      <c r="TPE10" s="78"/>
      <c r="TPF10" s="78"/>
      <c r="TPG10" s="78"/>
      <c r="TPH10" s="78"/>
      <c r="TPI10" s="78"/>
      <c r="TPJ10" s="78"/>
      <c r="TPK10" s="78"/>
      <c r="TPL10" s="78"/>
      <c r="TPM10" s="78"/>
      <c r="TPN10" s="78"/>
      <c r="TPO10" s="78"/>
      <c r="TPP10" s="78"/>
      <c r="TPQ10" s="78"/>
      <c r="TPR10" s="78"/>
      <c r="TPS10" s="78"/>
      <c r="TPT10" s="78"/>
      <c r="TPU10" s="78"/>
      <c r="TPV10" s="78"/>
      <c r="TPW10" s="78"/>
      <c r="TPX10" s="78"/>
      <c r="TPY10" s="78"/>
      <c r="TPZ10" s="78"/>
      <c r="TQA10" s="78"/>
      <c r="TQB10" s="78"/>
      <c r="TQC10" s="78"/>
      <c r="TQD10" s="78"/>
      <c r="TQE10" s="78"/>
      <c r="TQF10" s="78"/>
      <c r="TQG10" s="78"/>
      <c r="TQH10" s="78"/>
      <c r="TQI10" s="78"/>
      <c r="TQJ10" s="78"/>
      <c r="TQK10" s="78"/>
      <c r="TQL10" s="78"/>
      <c r="TQM10" s="78"/>
      <c r="TQN10" s="78"/>
      <c r="TQO10" s="78"/>
      <c r="TQP10" s="78"/>
      <c r="TQQ10" s="78"/>
      <c r="TQR10" s="78"/>
      <c r="TQS10" s="78"/>
      <c r="TQT10" s="78"/>
      <c r="TQU10" s="78"/>
      <c r="TQV10" s="78"/>
      <c r="TQW10" s="78"/>
      <c r="TQX10" s="78"/>
      <c r="TQY10" s="78"/>
      <c r="TQZ10" s="78"/>
      <c r="TRA10" s="78"/>
      <c r="TRB10" s="78"/>
      <c r="TRC10" s="78"/>
      <c r="TRD10" s="78"/>
      <c r="TRE10" s="78"/>
      <c r="TRF10" s="78"/>
      <c r="TRG10" s="78"/>
      <c r="TRH10" s="78"/>
      <c r="TRI10" s="78"/>
      <c r="TRJ10" s="78"/>
      <c r="TRK10" s="78"/>
      <c r="TRL10" s="78"/>
      <c r="TRM10" s="78"/>
      <c r="TRN10" s="78"/>
      <c r="TRO10" s="78"/>
      <c r="TRP10" s="78"/>
      <c r="TRQ10" s="78"/>
      <c r="TRR10" s="78"/>
      <c r="TRS10" s="78"/>
      <c r="TRT10" s="78"/>
      <c r="TRU10" s="78"/>
      <c r="TRV10" s="78"/>
      <c r="TRW10" s="78"/>
      <c r="TRX10" s="78"/>
      <c r="TRY10" s="78"/>
      <c r="TRZ10" s="78"/>
      <c r="TSA10" s="78"/>
      <c r="TSB10" s="78"/>
      <c r="TSC10" s="78"/>
      <c r="TSD10" s="78"/>
      <c r="TSE10" s="78"/>
      <c r="TSF10" s="78"/>
      <c r="TSG10" s="78"/>
      <c r="TSH10" s="78"/>
      <c r="TSI10" s="78"/>
      <c r="TSJ10" s="78"/>
      <c r="TSK10" s="78"/>
      <c r="TSL10" s="78"/>
      <c r="TSM10" s="78"/>
      <c r="TSN10" s="78"/>
      <c r="TSO10" s="78"/>
      <c r="TSP10" s="78"/>
      <c r="TSQ10" s="78"/>
      <c r="TSR10" s="78"/>
      <c r="TSS10" s="78"/>
      <c r="TST10" s="78"/>
      <c r="TSU10" s="78"/>
      <c r="TSV10" s="78"/>
      <c r="TSW10" s="78"/>
      <c r="TSX10" s="78"/>
      <c r="TSY10" s="78"/>
      <c r="TSZ10" s="78"/>
      <c r="TTA10" s="78"/>
      <c r="TTB10" s="78"/>
      <c r="TTC10" s="78"/>
      <c r="TTD10" s="78"/>
      <c r="TTE10" s="78"/>
      <c r="TTF10" s="78"/>
      <c r="TTG10" s="78"/>
      <c r="TTH10" s="78"/>
      <c r="TTI10" s="78"/>
      <c r="TTJ10" s="78"/>
      <c r="TTK10" s="78"/>
      <c r="TTL10" s="78"/>
      <c r="TTM10" s="78"/>
      <c r="TTN10" s="78"/>
      <c r="TTO10" s="78"/>
      <c r="TTP10" s="78"/>
      <c r="TTQ10" s="78"/>
      <c r="TTR10" s="78"/>
      <c r="TTS10" s="78"/>
      <c r="TTT10" s="78"/>
      <c r="TTU10" s="78"/>
      <c r="TTV10" s="78"/>
      <c r="TTW10" s="78"/>
      <c r="TTX10" s="78"/>
      <c r="TTY10" s="78"/>
      <c r="TTZ10" s="78"/>
      <c r="TUA10" s="78"/>
      <c r="TUB10" s="78"/>
      <c r="TUC10" s="78"/>
      <c r="TUD10" s="78"/>
      <c r="TUE10" s="78"/>
      <c r="TUF10" s="78"/>
      <c r="TUG10" s="78"/>
      <c r="TUH10" s="78"/>
      <c r="TUI10" s="78"/>
      <c r="TUJ10" s="78"/>
      <c r="TUK10" s="78"/>
      <c r="TUL10" s="78"/>
      <c r="TUM10" s="78"/>
      <c r="TUN10" s="78"/>
      <c r="TUO10" s="78"/>
      <c r="TUP10" s="78"/>
      <c r="TUQ10" s="78"/>
      <c r="TUR10" s="78"/>
      <c r="TUS10" s="78"/>
      <c r="TUT10" s="78"/>
      <c r="TUU10" s="78"/>
      <c r="TUV10" s="78"/>
      <c r="TUW10" s="78"/>
      <c r="TUX10" s="78"/>
      <c r="TUY10" s="78"/>
      <c r="TUZ10" s="78"/>
      <c r="TVA10" s="78"/>
      <c r="TVB10" s="78"/>
      <c r="TVC10" s="78"/>
      <c r="TVD10" s="78"/>
      <c r="TVE10" s="78"/>
      <c r="TVF10" s="78"/>
      <c r="TVG10" s="78"/>
      <c r="TVH10" s="78"/>
      <c r="TVI10" s="78"/>
      <c r="TVJ10" s="78"/>
      <c r="TVK10" s="78"/>
      <c r="TVL10" s="78"/>
      <c r="TVM10" s="78"/>
      <c r="TVN10" s="78"/>
      <c r="TVO10" s="78"/>
      <c r="TVP10" s="78"/>
      <c r="TVQ10" s="78"/>
      <c r="TVR10" s="78"/>
      <c r="TVS10" s="78"/>
      <c r="TVT10" s="78"/>
      <c r="TVU10" s="78"/>
      <c r="TVV10" s="78"/>
      <c r="TVW10" s="78"/>
      <c r="TVX10" s="78"/>
      <c r="TVY10" s="78"/>
      <c r="TVZ10" s="78"/>
      <c r="TWA10" s="78"/>
      <c r="TWB10" s="78"/>
      <c r="TWC10" s="78"/>
      <c r="TWD10" s="78"/>
      <c r="TWE10" s="78"/>
      <c r="TWF10" s="78"/>
      <c r="TWG10" s="78"/>
      <c r="TWH10" s="78"/>
      <c r="TWI10" s="78"/>
      <c r="TWJ10" s="78"/>
      <c r="TWK10" s="78"/>
      <c r="TWL10" s="78"/>
      <c r="TWM10" s="78"/>
      <c r="TWN10" s="78"/>
      <c r="TWO10" s="78"/>
      <c r="TWP10" s="78"/>
      <c r="TWQ10" s="78"/>
      <c r="TWR10" s="78"/>
      <c r="TWS10" s="78"/>
      <c r="TWT10" s="78"/>
      <c r="TWU10" s="78"/>
      <c r="TWV10" s="78"/>
      <c r="TWW10" s="78"/>
      <c r="TWX10" s="78"/>
      <c r="TWY10" s="78"/>
      <c r="TWZ10" s="78"/>
      <c r="TXA10" s="78"/>
      <c r="TXB10" s="78"/>
      <c r="TXC10" s="78"/>
      <c r="TXD10" s="78"/>
      <c r="TXE10" s="78"/>
      <c r="TXF10" s="78"/>
      <c r="TXG10" s="78"/>
      <c r="TXH10" s="78"/>
      <c r="TXI10" s="78"/>
      <c r="TXJ10" s="78"/>
      <c r="TXK10" s="78"/>
      <c r="TXL10" s="78"/>
      <c r="TXM10" s="78"/>
      <c r="TXN10" s="78"/>
      <c r="TXO10" s="78"/>
      <c r="TXP10" s="78"/>
      <c r="TXQ10" s="78"/>
      <c r="TXR10" s="78"/>
      <c r="TXS10" s="78"/>
      <c r="TXT10" s="78"/>
      <c r="TXU10" s="78"/>
      <c r="TXV10" s="78"/>
      <c r="TXW10" s="78"/>
      <c r="TXX10" s="78"/>
      <c r="TXY10" s="78"/>
      <c r="TXZ10" s="78"/>
      <c r="TYA10" s="78"/>
      <c r="TYB10" s="78"/>
      <c r="TYC10" s="78"/>
      <c r="TYD10" s="78"/>
      <c r="TYE10" s="78"/>
      <c r="TYF10" s="78"/>
      <c r="TYG10" s="78"/>
      <c r="TYH10" s="78"/>
      <c r="TYI10" s="78"/>
      <c r="TYJ10" s="78"/>
      <c r="TYK10" s="78"/>
      <c r="TYL10" s="78"/>
      <c r="TYM10" s="78"/>
      <c r="TYN10" s="78"/>
      <c r="TYO10" s="78"/>
      <c r="TYP10" s="78"/>
      <c r="TYQ10" s="78"/>
      <c r="TYR10" s="78"/>
      <c r="TYS10" s="78"/>
      <c r="TYT10" s="78"/>
      <c r="TYU10" s="78"/>
      <c r="TYV10" s="78"/>
      <c r="TYW10" s="78"/>
      <c r="TYX10" s="78"/>
      <c r="TYY10" s="78"/>
      <c r="TYZ10" s="78"/>
      <c r="TZA10" s="78"/>
      <c r="TZB10" s="78"/>
      <c r="TZC10" s="78"/>
      <c r="TZD10" s="78"/>
      <c r="TZE10" s="78"/>
      <c r="TZF10" s="78"/>
      <c r="TZG10" s="78"/>
      <c r="TZH10" s="78"/>
      <c r="TZI10" s="78"/>
      <c r="TZJ10" s="78"/>
      <c r="TZK10" s="78"/>
      <c r="TZL10" s="78"/>
      <c r="TZM10" s="78"/>
      <c r="TZN10" s="78"/>
      <c r="TZO10" s="78"/>
      <c r="TZP10" s="78"/>
      <c r="TZQ10" s="78"/>
      <c r="TZR10" s="78"/>
      <c r="TZS10" s="78"/>
      <c r="TZT10" s="78"/>
      <c r="TZU10" s="78"/>
      <c r="TZV10" s="78"/>
      <c r="TZW10" s="78"/>
      <c r="TZX10" s="78"/>
      <c r="TZY10" s="78"/>
      <c r="TZZ10" s="78"/>
      <c r="UAA10" s="78"/>
      <c r="UAB10" s="78"/>
      <c r="UAC10" s="78"/>
      <c r="UAD10" s="78"/>
      <c r="UAE10" s="78"/>
      <c r="UAF10" s="78"/>
      <c r="UAG10" s="78"/>
      <c r="UAH10" s="78"/>
      <c r="UAI10" s="78"/>
      <c r="UAJ10" s="78"/>
      <c r="UAK10" s="78"/>
      <c r="UAL10" s="78"/>
      <c r="UAM10" s="78"/>
      <c r="UAN10" s="78"/>
      <c r="UAO10" s="78"/>
      <c r="UAP10" s="78"/>
      <c r="UAQ10" s="78"/>
      <c r="UAR10" s="78"/>
      <c r="UAS10" s="78"/>
      <c r="UAT10" s="78"/>
      <c r="UAU10" s="78"/>
      <c r="UAV10" s="78"/>
      <c r="UAW10" s="78"/>
      <c r="UAX10" s="78"/>
      <c r="UAY10" s="78"/>
      <c r="UAZ10" s="78"/>
      <c r="UBA10" s="78"/>
      <c r="UBB10" s="78"/>
      <c r="UBC10" s="78"/>
      <c r="UBD10" s="78"/>
      <c r="UBE10" s="78"/>
      <c r="UBF10" s="78"/>
      <c r="UBG10" s="78"/>
      <c r="UBH10" s="78"/>
      <c r="UBI10" s="78"/>
      <c r="UBJ10" s="78"/>
      <c r="UBK10" s="78"/>
      <c r="UBL10" s="78"/>
      <c r="UBM10" s="78"/>
      <c r="UBN10" s="78"/>
      <c r="UBO10" s="78"/>
      <c r="UBP10" s="78"/>
      <c r="UBQ10" s="78"/>
      <c r="UBR10" s="78"/>
      <c r="UBS10" s="78"/>
      <c r="UBT10" s="78"/>
      <c r="UBU10" s="78"/>
      <c r="UBV10" s="78"/>
      <c r="UBW10" s="78"/>
      <c r="UBX10" s="78"/>
      <c r="UBY10" s="78"/>
      <c r="UBZ10" s="78"/>
      <c r="UCA10" s="78"/>
      <c r="UCB10" s="78"/>
      <c r="UCC10" s="78"/>
      <c r="UCD10" s="78"/>
      <c r="UCE10" s="78"/>
      <c r="UCF10" s="78"/>
      <c r="UCG10" s="78"/>
      <c r="UCH10" s="78"/>
      <c r="UCI10" s="78"/>
      <c r="UCJ10" s="78"/>
      <c r="UCK10" s="78"/>
      <c r="UCL10" s="78"/>
      <c r="UCM10" s="78"/>
      <c r="UCN10" s="78"/>
      <c r="UCO10" s="78"/>
      <c r="UCP10" s="78"/>
      <c r="UCQ10" s="78"/>
      <c r="UCR10" s="78"/>
      <c r="UCS10" s="78"/>
      <c r="UCT10" s="78"/>
      <c r="UCU10" s="78"/>
      <c r="UCV10" s="78"/>
      <c r="UCW10" s="78"/>
      <c r="UCX10" s="78"/>
      <c r="UCY10" s="78"/>
      <c r="UCZ10" s="78"/>
      <c r="UDA10" s="78"/>
      <c r="UDB10" s="78"/>
      <c r="UDC10" s="78"/>
      <c r="UDD10" s="78"/>
      <c r="UDE10" s="78"/>
      <c r="UDF10" s="78"/>
      <c r="UDG10" s="78"/>
      <c r="UDH10" s="78"/>
      <c r="UDI10" s="78"/>
      <c r="UDJ10" s="78"/>
      <c r="UDK10" s="78"/>
      <c r="UDL10" s="78"/>
      <c r="UDM10" s="78"/>
      <c r="UDN10" s="78"/>
      <c r="UDO10" s="78"/>
      <c r="UDP10" s="78"/>
      <c r="UDQ10" s="78"/>
      <c r="UDR10" s="78"/>
      <c r="UDS10" s="78"/>
      <c r="UDT10" s="78"/>
      <c r="UDU10" s="78"/>
      <c r="UDV10" s="78"/>
      <c r="UDW10" s="78"/>
      <c r="UDX10" s="78"/>
      <c r="UDY10" s="78"/>
      <c r="UDZ10" s="78"/>
      <c r="UEA10" s="78"/>
      <c r="UEB10" s="78"/>
      <c r="UEC10" s="78"/>
      <c r="UED10" s="78"/>
      <c r="UEE10" s="78"/>
      <c r="UEF10" s="78"/>
      <c r="UEG10" s="78"/>
      <c r="UEH10" s="78"/>
      <c r="UEI10" s="78"/>
      <c r="UEJ10" s="78"/>
      <c r="UEK10" s="78"/>
      <c r="UEL10" s="78"/>
      <c r="UEM10" s="78"/>
      <c r="UEN10" s="78"/>
      <c r="UEO10" s="78"/>
      <c r="UEP10" s="78"/>
      <c r="UEQ10" s="78"/>
      <c r="UER10" s="78"/>
      <c r="UES10" s="78"/>
      <c r="UET10" s="78"/>
      <c r="UEU10" s="78"/>
      <c r="UEV10" s="78"/>
      <c r="UEW10" s="78"/>
      <c r="UEX10" s="78"/>
      <c r="UEY10" s="78"/>
      <c r="UEZ10" s="78"/>
      <c r="UFA10" s="78"/>
      <c r="UFB10" s="78"/>
      <c r="UFC10" s="78"/>
      <c r="UFD10" s="78"/>
      <c r="UFE10" s="78"/>
      <c r="UFF10" s="78"/>
      <c r="UFG10" s="78"/>
      <c r="UFH10" s="78"/>
      <c r="UFI10" s="78"/>
      <c r="UFJ10" s="78"/>
      <c r="UFK10" s="78"/>
      <c r="UFL10" s="78"/>
      <c r="UFM10" s="78"/>
      <c r="UFN10" s="78"/>
      <c r="UFO10" s="78"/>
      <c r="UFP10" s="78"/>
      <c r="UFQ10" s="78"/>
      <c r="UFR10" s="78"/>
      <c r="UFS10" s="78"/>
      <c r="UFT10" s="78"/>
      <c r="UFU10" s="78"/>
      <c r="UFV10" s="78"/>
      <c r="UFW10" s="78"/>
      <c r="UFX10" s="78"/>
      <c r="UFY10" s="78"/>
      <c r="UFZ10" s="78"/>
      <c r="UGA10" s="78"/>
      <c r="UGB10" s="78"/>
      <c r="UGC10" s="78"/>
      <c r="UGD10" s="78"/>
      <c r="UGE10" s="78"/>
      <c r="UGF10" s="78"/>
      <c r="UGG10" s="78"/>
      <c r="UGH10" s="78"/>
      <c r="UGI10" s="78"/>
      <c r="UGJ10" s="78"/>
      <c r="UGK10" s="78"/>
      <c r="UGL10" s="78"/>
      <c r="UGM10" s="78"/>
      <c r="UGN10" s="78"/>
      <c r="UGO10" s="78"/>
      <c r="UGP10" s="78"/>
      <c r="UGQ10" s="78"/>
      <c r="UGR10" s="78"/>
      <c r="UGS10" s="78"/>
      <c r="UGT10" s="78"/>
      <c r="UGU10" s="78"/>
      <c r="UGV10" s="78"/>
      <c r="UGW10" s="78"/>
      <c r="UGX10" s="78"/>
      <c r="UGY10" s="78"/>
      <c r="UGZ10" s="78"/>
      <c r="UHA10" s="78"/>
      <c r="UHB10" s="78"/>
      <c r="UHC10" s="78"/>
      <c r="UHD10" s="78"/>
      <c r="UHE10" s="78"/>
      <c r="UHF10" s="78"/>
      <c r="UHG10" s="78"/>
      <c r="UHH10" s="78"/>
      <c r="UHI10" s="78"/>
      <c r="UHJ10" s="78"/>
      <c r="UHK10" s="78"/>
      <c r="UHL10" s="78"/>
      <c r="UHM10" s="78"/>
      <c r="UHN10" s="78"/>
      <c r="UHO10" s="78"/>
      <c r="UHP10" s="78"/>
      <c r="UHQ10" s="78"/>
      <c r="UHR10" s="78"/>
      <c r="UHS10" s="78"/>
      <c r="UHT10" s="78"/>
      <c r="UHU10" s="78"/>
      <c r="UHV10" s="78"/>
      <c r="UHW10" s="78"/>
      <c r="UHX10" s="78"/>
      <c r="UHY10" s="78"/>
      <c r="UHZ10" s="78"/>
      <c r="UIA10" s="78"/>
      <c r="UIB10" s="78"/>
      <c r="UIC10" s="78"/>
      <c r="UID10" s="78"/>
      <c r="UIE10" s="78"/>
      <c r="UIF10" s="78"/>
      <c r="UIG10" s="78"/>
      <c r="UIH10" s="78"/>
      <c r="UII10" s="78"/>
      <c r="UIJ10" s="78"/>
      <c r="UIK10" s="78"/>
      <c r="UIL10" s="78"/>
      <c r="UIM10" s="78"/>
      <c r="UIN10" s="78"/>
      <c r="UIO10" s="78"/>
      <c r="UIP10" s="78"/>
      <c r="UIQ10" s="78"/>
      <c r="UIR10" s="78"/>
      <c r="UIS10" s="78"/>
      <c r="UIT10" s="78"/>
      <c r="UIU10" s="78"/>
      <c r="UIV10" s="78"/>
      <c r="UIW10" s="78"/>
      <c r="UIX10" s="78"/>
      <c r="UIY10" s="78"/>
      <c r="UIZ10" s="78"/>
      <c r="UJA10" s="78"/>
      <c r="UJB10" s="78"/>
      <c r="UJC10" s="78"/>
      <c r="UJD10" s="78"/>
      <c r="UJE10" s="78"/>
      <c r="UJF10" s="78"/>
      <c r="UJG10" s="78"/>
      <c r="UJH10" s="78"/>
      <c r="UJI10" s="78"/>
      <c r="UJJ10" s="78"/>
      <c r="UJK10" s="78"/>
      <c r="UJL10" s="78"/>
      <c r="UJM10" s="78"/>
      <c r="UJN10" s="78"/>
      <c r="UJO10" s="78"/>
      <c r="UJP10" s="78"/>
      <c r="UJQ10" s="78"/>
      <c r="UJR10" s="78"/>
      <c r="UJS10" s="78"/>
      <c r="UJT10" s="78"/>
      <c r="UJU10" s="78"/>
      <c r="UJV10" s="78"/>
      <c r="UJW10" s="78"/>
      <c r="UJX10" s="78"/>
      <c r="UJY10" s="78"/>
      <c r="UJZ10" s="78"/>
      <c r="UKA10" s="78"/>
      <c r="UKB10" s="78"/>
      <c r="UKC10" s="78"/>
      <c r="UKD10" s="78"/>
      <c r="UKE10" s="78"/>
      <c r="UKF10" s="78"/>
      <c r="UKG10" s="78"/>
      <c r="UKH10" s="78"/>
      <c r="UKI10" s="78"/>
      <c r="UKJ10" s="78"/>
      <c r="UKK10" s="78"/>
      <c r="UKL10" s="78"/>
      <c r="UKM10" s="78"/>
      <c r="UKN10" s="78"/>
      <c r="UKO10" s="78"/>
      <c r="UKP10" s="78"/>
      <c r="UKQ10" s="78"/>
      <c r="UKR10" s="78"/>
      <c r="UKS10" s="78"/>
      <c r="UKT10" s="78"/>
      <c r="UKU10" s="78"/>
      <c r="UKV10" s="78"/>
      <c r="UKW10" s="78"/>
      <c r="UKX10" s="78"/>
      <c r="UKY10" s="78"/>
      <c r="UKZ10" s="78"/>
      <c r="ULA10" s="78"/>
      <c r="ULB10" s="78"/>
      <c r="ULC10" s="78"/>
      <c r="ULD10" s="78"/>
      <c r="ULE10" s="78"/>
      <c r="ULF10" s="78"/>
      <c r="ULG10" s="78"/>
      <c r="ULH10" s="78"/>
      <c r="ULI10" s="78"/>
      <c r="ULJ10" s="78"/>
      <c r="ULK10" s="78"/>
      <c r="ULL10" s="78"/>
      <c r="ULM10" s="78"/>
      <c r="ULN10" s="78"/>
      <c r="ULO10" s="78"/>
      <c r="ULP10" s="78"/>
      <c r="ULQ10" s="78"/>
      <c r="ULR10" s="78"/>
      <c r="ULS10" s="78"/>
      <c r="ULT10" s="78"/>
      <c r="ULU10" s="78"/>
      <c r="ULV10" s="78"/>
      <c r="ULW10" s="78"/>
      <c r="ULX10" s="78"/>
      <c r="ULY10" s="78"/>
      <c r="ULZ10" s="78"/>
      <c r="UMA10" s="78"/>
      <c r="UMB10" s="78"/>
      <c r="UMC10" s="78"/>
      <c r="UMD10" s="78"/>
      <c r="UME10" s="78"/>
      <c r="UMF10" s="78"/>
      <c r="UMG10" s="78"/>
      <c r="UMH10" s="78"/>
      <c r="UMI10" s="78"/>
      <c r="UMJ10" s="78"/>
      <c r="UMK10" s="78"/>
      <c r="UML10" s="78"/>
      <c r="UMM10" s="78"/>
      <c r="UMN10" s="78"/>
      <c r="UMO10" s="78"/>
      <c r="UMP10" s="78"/>
      <c r="UMQ10" s="78"/>
      <c r="UMR10" s="78"/>
      <c r="UMS10" s="78"/>
      <c r="UMT10" s="78"/>
      <c r="UMU10" s="78"/>
      <c r="UMV10" s="78"/>
      <c r="UMW10" s="78"/>
      <c r="UMX10" s="78"/>
      <c r="UMY10" s="78"/>
      <c r="UMZ10" s="78"/>
      <c r="UNA10" s="78"/>
      <c r="UNB10" s="78"/>
      <c r="UNC10" s="78"/>
      <c r="UND10" s="78"/>
      <c r="UNE10" s="78"/>
      <c r="UNF10" s="78"/>
      <c r="UNG10" s="78"/>
      <c r="UNH10" s="78"/>
      <c r="UNI10" s="78"/>
      <c r="UNJ10" s="78"/>
      <c r="UNK10" s="78"/>
      <c r="UNL10" s="78"/>
      <c r="UNM10" s="78"/>
      <c r="UNN10" s="78"/>
      <c r="UNO10" s="78"/>
      <c r="UNP10" s="78"/>
      <c r="UNQ10" s="78"/>
      <c r="UNR10" s="78"/>
      <c r="UNS10" s="78"/>
      <c r="UNT10" s="78"/>
      <c r="UNU10" s="78"/>
      <c r="UNV10" s="78"/>
      <c r="UNW10" s="78"/>
      <c r="UNX10" s="78"/>
      <c r="UNY10" s="78"/>
      <c r="UNZ10" s="78"/>
      <c r="UOA10" s="78"/>
      <c r="UOB10" s="78"/>
      <c r="UOC10" s="78"/>
      <c r="UOD10" s="78"/>
      <c r="UOE10" s="78"/>
      <c r="UOF10" s="78"/>
      <c r="UOG10" s="78"/>
      <c r="UOH10" s="78"/>
      <c r="UOI10" s="78"/>
      <c r="UOJ10" s="78"/>
      <c r="UOK10" s="78"/>
      <c r="UOL10" s="78"/>
      <c r="UOM10" s="78"/>
      <c r="UON10" s="78"/>
      <c r="UOO10" s="78"/>
      <c r="UOP10" s="78"/>
      <c r="UOQ10" s="78"/>
      <c r="UOR10" s="78"/>
      <c r="UOS10" s="78"/>
      <c r="UOT10" s="78"/>
      <c r="UOU10" s="78"/>
      <c r="UOV10" s="78"/>
      <c r="UOW10" s="78"/>
      <c r="UOX10" s="78"/>
      <c r="UOY10" s="78"/>
      <c r="UOZ10" s="78"/>
      <c r="UPA10" s="78"/>
      <c r="UPB10" s="78"/>
      <c r="UPC10" s="78"/>
      <c r="UPD10" s="78"/>
      <c r="UPE10" s="78"/>
      <c r="UPF10" s="78"/>
      <c r="UPG10" s="78"/>
      <c r="UPH10" s="78"/>
      <c r="UPI10" s="78"/>
      <c r="UPJ10" s="78"/>
      <c r="UPK10" s="78"/>
      <c r="UPL10" s="78"/>
      <c r="UPM10" s="78"/>
      <c r="UPN10" s="78"/>
      <c r="UPO10" s="78"/>
      <c r="UPP10" s="78"/>
      <c r="UPQ10" s="78"/>
      <c r="UPR10" s="78"/>
      <c r="UPS10" s="78"/>
      <c r="UPT10" s="78"/>
      <c r="UPU10" s="78"/>
      <c r="UPV10" s="78"/>
      <c r="UPW10" s="78"/>
      <c r="UPX10" s="78"/>
      <c r="UPY10" s="78"/>
      <c r="UPZ10" s="78"/>
      <c r="UQA10" s="78"/>
      <c r="UQB10" s="78"/>
      <c r="UQC10" s="78"/>
      <c r="UQD10" s="78"/>
      <c r="UQE10" s="78"/>
      <c r="UQF10" s="78"/>
      <c r="UQG10" s="78"/>
      <c r="UQH10" s="78"/>
      <c r="UQI10" s="78"/>
      <c r="UQJ10" s="78"/>
      <c r="UQK10" s="78"/>
      <c r="UQL10" s="78"/>
      <c r="UQM10" s="78"/>
      <c r="UQN10" s="78"/>
      <c r="UQO10" s="78"/>
      <c r="UQP10" s="78"/>
      <c r="UQQ10" s="78"/>
      <c r="UQR10" s="78"/>
      <c r="UQS10" s="78"/>
      <c r="UQT10" s="78"/>
      <c r="UQU10" s="78"/>
      <c r="UQV10" s="78"/>
      <c r="UQW10" s="78"/>
      <c r="UQX10" s="78"/>
      <c r="UQY10" s="78"/>
      <c r="UQZ10" s="78"/>
      <c r="URA10" s="78"/>
      <c r="URB10" s="78"/>
      <c r="URC10" s="78"/>
      <c r="URD10" s="78"/>
      <c r="URE10" s="78"/>
      <c r="URF10" s="78"/>
      <c r="URG10" s="78"/>
      <c r="URH10" s="78"/>
      <c r="URI10" s="78"/>
      <c r="URJ10" s="78"/>
      <c r="URK10" s="78"/>
      <c r="URL10" s="78"/>
      <c r="URM10" s="78"/>
      <c r="URN10" s="78"/>
      <c r="URO10" s="78"/>
      <c r="URP10" s="78"/>
      <c r="URQ10" s="78"/>
      <c r="URR10" s="78"/>
      <c r="URS10" s="78"/>
      <c r="URT10" s="78"/>
      <c r="URU10" s="78"/>
      <c r="URV10" s="78"/>
      <c r="URW10" s="78"/>
      <c r="URX10" s="78"/>
      <c r="URY10" s="78"/>
      <c r="URZ10" s="78"/>
      <c r="USA10" s="78"/>
      <c r="USB10" s="78"/>
      <c r="USC10" s="78"/>
      <c r="USD10" s="78"/>
      <c r="USE10" s="78"/>
      <c r="USF10" s="78"/>
      <c r="USG10" s="78"/>
      <c r="USH10" s="78"/>
      <c r="USI10" s="78"/>
      <c r="USJ10" s="78"/>
      <c r="USK10" s="78"/>
      <c r="USL10" s="78"/>
      <c r="USM10" s="78"/>
      <c r="USN10" s="78"/>
      <c r="USO10" s="78"/>
      <c r="USP10" s="78"/>
      <c r="USQ10" s="78"/>
      <c r="USR10" s="78"/>
      <c r="USS10" s="78"/>
      <c r="UST10" s="78"/>
      <c r="USU10" s="78"/>
      <c r="USV10" s="78"/>
      <c r="USW10" s="78"/>
      <c r="USX10" s="78"/>
      <c r="USY10" s="78"/>
      <c r="USZ10" s="78"/>
      <c r="UTA10" s="78"/>
      <c r="UTB10" s="78"/>
      <c r="UTC10" s="78"/>
      <c r="UTD10" s="78"/>
      <c r="UTE10" s="78"/>
      <c r="UTF10" s="78"/>
      <c r="UTG10" s="78"/>
      <c r="UTH10" s="78"/>
      <c r="UTI10" s="78"/>
      <c r="UTJ10" s="78"/>
      <c r="UTK10" s="78"/>
      <c r="UTL10" s="78"/>
      <c r="UTM10" s="78"/>
      <c r="UTN10" s="78"/>
      <c r="UTO10" s="78"/>
      <c r="UTP10" s="78"/>
      <c r="UTQ10" s="78"/>
      <c r="UTR10" s="78"/>
      <c r="UTS10" s="78"/>
      <c r="UTT10" s="78"/>
      <c r="UTU10" s="78"/>
      <c r="UTV10" s="78"/>
      <c r="UTW10" s="78"/>
      <c r="UTX10" s="78"/>
      <c r="UTY10" s="78"/>
      <c r="UTZ10" s="78"/>
      <c r="UUA10" s="78"/>
      <c r="UUB10" s="78"/>
      <c r="UUC10" s="78"/>
      <c r="UUD10" s="78"/>
      <c r="UUE10" s="78"/>
      <c r="UUF10" s="78"/>
      <c r="UUG10" s="78"/>
      <c r="UUH10" s="78"/>
      <c r="UUI10" s="78"/>
      <c r="UUJ10" s="78"/>
      <c r="UUK10" s="78"/>
      <c r="UUL10" s="78"/>
      <c r="UUM10" s="78"/>
      <c r="UUN10" s="78"/>
      <c r="UUO10" s="78"/>
      <c r="UUP10" s="78"/>
      <c r="UUQ10" s="78"/>
      <c r="UUR10" s="78"/>
      <c r="UUS10" s="78"/>
      <c r="UUT10" s="78"/>
      <c r="UUU10" s="78"/>
      <c r="UUV10" s="78"/>
      <c r="UUW10" s="78"/>
      <c r="UUX10" s="78"/>
      <c r="UUY10" s="78"/>
      <c r="UUZ10" s="78"/>
      <c r="UVA10" s="78"/>
      <c r="UVB10" s="78"/>
      <c r="UVC10" s="78"/>
      <c r="UVD10" s="78"/>
      <c r="UVE10" s="78"/>
      <c r="UVF10" s="78"/>
      <c r="UVG10" s="78"/>
      <c r="UVH10" s="78"/>
      <c r="UVI10" s="78"/>
      <c r="UVJ10" s="78"/>
      <c r="UVK10" s="78"/>
      <c r="UVL10" s="78"/>
      <c r="UVM10" s="78"/>
      <c r="UVN10" s="78"/>
      <c r="UVO10" s="78"/>
      <c r="UVP10" s="78"/>
      <c r="UVQ10" s="78"/>
      <c r="UVR10" s="78"/>
      <c r="UVS10" s="78"/>
      <c r="UVT10" s="78"/>
      <c r="UVU10" s="78"/>
      <c r="UVV10" s="78"/>
      <c r="UVW10" s="78"/>
      <c r="UVX10" s="78"/>
      <c r="UVY10" s="78"/>
      <c r="UVZ10" s="78"/>
      <c r="UWA10" s="78"/>
      <c r="UWB10" s="78"/>
      <c r="UWC10" s="78"/>
      <c r="UWD10" s="78"/>
      <c r="UWE10" s="78"/>
      <c r="UWF10" s="78"/>
      <c r="UWG10" s="78"/>
      <c r="UWH10" s="78"/>
      <c r="UWI10" s="78"/>
      <c r="UWJ10" s="78"/>
      <c r="UWK10" s="78"/>
      <c r="UWL10" s="78"/>
      <c r="UWM10" s="78"/>
      <c r="UWN10" s="78"/>
      <c r="UWO10" s="78"/>
      <c r="UWP10" s="78"/>
      <c r="UWQ10" s="78"/>
      <c r="UWR10" s="78"/>
      <c r="UWS10" s="78"/>
      <c r="UWT10" s="78"/>
      <c r="UWU10" s="78"/>
      <c r="UWV10" s="78"/>
      <c r="UWW10" s="78"/>
      <c r="UWX10" s="78"/>
      <c r="UWY10" s="78"/>
      <c r="UWZ10" s="78"/>
      <c r="UXA10" s="78"/>
      <c r="UXB10" s="78"/>
      <c r="UXC10" s="78"/>
      <c r="UXD10" s="78"/>
      <c r="UXE10" s="78"/>
      <c r="UXF10" s="78"/>
      <c r="UXG10" s="78"/>
      <c r="UXH10" s="78"/>
      <c r="UXI10" s="78"/>
      <c r="UXJ10" s="78"/>
      <c r="UXK10" s="78"/>
      <c r="UXL10" s="78"/>
      <c r="UXM10" s="78"/>
      <c r="UXN10" s="78"/>
      <c r="UXO10" s="78"/>
      <c r="UXP10" s="78"/>
      <c r="UXQ10" s="78"/>
      <c r="UXR10" s="78"/>
      <c r="UXS10" s="78"/>
      <c r="UXT10" s="78"/>
      <c r="UXU10" s="78"/>
      <c r="UXV10" s="78"/>
      <c r="UXW10" s="78"/>
      <c r="UXX10" s="78"/>
      <c r="UXY10" s="78"/>
      <c r="UXZ10" s="78"/>
      <c r="UYA10" s="78"/>
      <c r="UYB10" s="78"/>
      <c r="UYC10" s="78"/>
      <c r="UYD10" s="78"/>
      <c r="UYE10" s="78"/>
      <c r="UYF10" s="78"/>
      <c r="UYG10" s="78"/>
      <c r="UYH10" s="78"/>
      <c r="UYI10" s="78"/>
      <c r="UYJ10" s="78"/>
      <c r="UYK10" s="78"/>
      <c r="UYL10" s="78"/>
      <c r="UYM10" s="78"/>
      <c r="UYN10" s="78"/>
      <c r="UYO10" s="78"/>
      <c r="UYP10" s="78"/>
      <c r="UYQ10" s="78"/>
      <c r="UYR10" s="78"/>
      <c r="UYS10" s="78"/>
      <c r="UYT10" s="78"/>
      <c r="UYU10" s="78"/>
      <c r="UYV10" s="78"/>
      <c r="UYW10" s="78"/>
      <c r="UYX10" s="78"/>
      <c r="UYY10" s="78"/>
      <c r="UYZ10" s="78"/>
      <c r="UZA10" s="78"/>
      <c r="UZB10" s="78"/>
      <c r="UZC10" s="78"/>
      <c r="UZD10" s="78"/>
      <c r="UZE10" s="78"/>
      <c r="UZF10" s="78"/>
      <c r="UZG10" s="78"/>
      <c r="UZH10" s="78"/>
      <c r="UZI10" s="78"/>
      <c r="UZJ10" s="78"/>
      <c r="UZK10" s="78"/>
      <c r="UZL10" s="78"/>
      <c r="UZM10" s="78"/>
      <c r="UZN10" s="78"/>
      <c r="UZO10" s="78"/>
      <c r="UZP10" s="78"/>
      <c r="UZQ10" s="78"/>
      <c r="UZR10" s="78"/>
      <c r="UZS10" s="78"/>
      <c r="UZT10" s="78"/>
      <c r="UZU10" s="78"/>
      <c r="UZV10" s="78"/>
      <c r="UZW10" s="78"/>
      <c r="UZX10" s="78"/>
      <c r="UZY10" s="78"/>
      <c r="UZZ10" s="78"/>
      <c r="VAA10" s="78"/>
      <c r="VAB10" s="78"/>
      <c r="VAC10" s="78"/>
      <c r="VAD10" s="78"/>
      <c r="VAE10" s="78"/>
      <c r="VAF10" s="78"/>
      <c r="VAG10" s="78"/>
      <c r="VAH10" s="78"/>
      <c r="VAI10" s="78"/>
      <c r="VAJ10" s="78"/>
      <c r="VAK10" s="78"/>
      <c r="VAL10" s="78"/>
      <c r="VAM10" s="78"/>
      <c r="VAN10" s="78"/>
      <c r="VAO10" s="78"/>
      <c r="VAP10" s="78"/>
      <c r="VAQ10" s="78"/>
      <c r="VAR10" s="78"/>
      <c r="VAS10" s="78"/>
      <c r="VAT10" s="78"/>
      <c r="VAU10" s="78"/>
      <c r="VAV10" s="78"/>
      <c r="VAW10" s="78"/>
      <c r="VAX10" s="78"/>
      <c r="VAY10" s="78"/>
      <c r="VAZ10" s="78"/>
      <c r="VBA10" s="78"/>
      <c r="VBB10" s="78"/>
      <c r="VBC10" s="78"/>
      <c r="VBD10" s="78"/>
      <c r="VBE10" s="78"/>
      <c r="VBF10" s="78"/>
      <c r="VBG10" s="78"/>
      <c r="VBH10" s="78"/>
      <c r="VBI10" s="78"/>
      <c r="VBJ10" s="78"/>
      <c r="VBK10" s="78"/>
      <c r="VBL10" s="78"/>
      <c r="VBM10" s="78"/>
      <c r="VBN10" s="78"/>
      <c r="VBO10" s="78"/>
      <c r="VBP10" s="78"/>
      <c r="VBQ10" s="78"/>
      <c r="VBR10" s="78"/>
      <c r="VBS10" s="78"/>
      <c r="VBT10" s="78"/>
      <c r="VBU10" s="78"/>
      <c r="VBV10" s="78"/>
      <c r="VBW10" s="78"/>
      <c r="VBX10" s="78"/>
      <c r="VBY10" s="78"/>
      <c r="VBZ10" s="78"/>
      <c r="VCA10" s="78"/>
      <c r="VCB10" s="78"/>
      <c r="VCC10" s="78"/>
      <c r="VCD10" s="78"/>
      <c r="VCE10" s="78"/>
      <c r="VCF10" s="78"/>
      <c r="VCG10" s="78"/>
      <c r="VCH10" s="78"/>
      <c r="VCI10" s="78"/>
      <c r="VCJ10" s="78"/>
      <c r="VCK10" s="78"/>
      <c r="VCL10" s="78"/>
      <c r="VCM10" s="78"/>
      <c r="VCN10" s="78"/>
      <c r="VCO10" s="78"/>
      <c r="VCP10" s="78"/>
      <c r="VCQ10" s="78"/>
      <c r="VCR10" s="78"/>
      <c r="VCS10" s="78"/>
      <c r="VCT10" s="78"/>
      <c r="VCU10" s="78"/>
      <c r="VCV10" s="78"/>
      <c r="VCW10" s="78"/>
      <c r="VCX10" s="78"/>
      <c r="VCY10" s="78"/>
      <c r="VCZ10" s="78"/>
      <c r="VDA10" s="78"/>
      <c r="VDB10" s="78"/>
      <c r="VDC10" s="78"/>
      <c r="VDD10" s="78"/>
      <c r="VDE10" s="78"/>
      <c r="VDF10" s="78"/>
      <c r="VDG10" s="78"/>
      <c r="VDH10" s="78"/>
      <c r="VDI10" s="78"/>
      <c r="VDJ10" s="78"/>
      <c r="VDK10" s="78"/>
      <c r="VDL10" s="78"/>
      <c r="VDM10" s="78"/>
      <c r="VDN10" s="78"/>
      <c r="VDO10" s="78"/>
      <c r="VDP10" s="78"/>
      <c r="VDQ10" s="78"/>
      <c r="VDR10" s="78"/>
      <c r="VDS10" s="78"/>
      <c r="VDT10" s="78"/>
      <c r="VDU10" s="78"/>
      <c r="VDV10" s="78"/>
      <c r="VDW10" s="78"/>
      <c r="VDX10" s="78"/>
      <c r="VDY10" s="78"/>
      <c r="VDZ10" s="78"/>
      <c r="VEA10" s="78"/>
      <c r="VEB10" s="78"/>
      <c r="VEC10" s="78"/>
      <c r="VED10" s="78"/>
      <c r="VEE10" s="78"/>
      <c r="VEF10" s="78"/>
      <c r="VEG10" s="78"/>
      <c r="VEH10" s="78"/>
      <c r="VEI10" s="78"/>
      <c r="VEJ10" s="78"/>
      <c r="VEK10" s="78"/>
      <c r="VEL10" s="78"/>
      <c r="VEM10" s="78"/>
      <c r="VEN10" s="78"/>
      <c r="VEO10" s="78"/>
      <c r="VEP10" s="78"/>
      <c r="VEQ10" s="78"/>
      <c r="VER10" s="78"/>
      <c r="VES10" s="78"/>
      <c r="VET10" s="78"/>
      <c r="VEU10" s="78"/>
      <c r="VEV10" s="78"/>
      <c r="VEW10" s="78"/>
      <c r="VEX10" s="78"/>
      <c r="VEY10" s="78"/>
      <c r="VEZ10" s="78"/>
      <c r="VFA10" s="78"/>
      <c r="VFB10" s="78"/>
      <c r="VFC10" s="78"/>
      <c r="VFD10" s="78"/>
      <c r="VFE10" s="78"/>
      <c r="VFF10" s="78"/>
      <c r="VFG10" s="78"/>
      <c r="VFH10" s="78"/>
      <c r="VFI10" s="78"/>
      <c r="VFJ10" s="78"/>
      <c r="VFK10" s="78"/>
      <c r="VFL10" s="78"/>
      <c r="VFM10" s="78"/>
      <c r="VFN10" s="78"/>
      <c r="VFO10" s="78"/>
      <c r="VFP10" s="78"/>
      <c r="VFQ10" s="78"/>
      <c r="VFR10" s="78"/>
      <c r="VFS10" s="78"/>
      <c r="VFT10" s="78"/>
      <c r="VFU10" s="78"/>
      <c r="VFV10" s="78"/>
      <c r="VFW10" s="78"/>
      <c r="VFX10" s="78"/>
      <c r="VFY10" s="78"/>
      <c r="VFZ10" s="78"/>
      <c r="VGA10" s="78"/>
      <c r="VGB10" s="78"/>
      <c r="VGC10" s="78"/>
      <c r="VGD10" s="78"/>
      <c r="VGE10" s="78"/>
      <c r="VGF10" s="78"/>
      <c r="VGG10" s="78"/>
      <c r="VGH10" s="78"/>
      <c r="VGI10" s="78"/>
      <c r="VGJ10" s="78"/>
      <c r="VGK10" s="78"/>
      <c r="VGL10" s="78"/>
      <c r="VGM10" s="78"/>
      <c r="VGN10" s="78"/>
      <c r="VGO10" s="78"/>
      <c r="VGP10" s="78"/>
      <c r="VGQ10" s="78"/>
      <c r="VGR10" s="78"/>
      <c r="VGS10" s="78"/>
      <c r="VGT10" s="78"/>
      <c r="VGU10" s="78"/>
      <c r="VGV10" s="78"/>
      <c r="VGW10" s="78"/>
      <c r="VGX10" s="78"/>
      <c r="VGY10" s="78"/>
      <c r="VGZ10" s="78"/>
      <c r="VHA10" s="78"/>
      <c r="VHB10" s="78"/>
      <c r="VHC10" s="78"/>
      <c r="VHD10" s="78"/>
      <c r="VHE10" s="78"/>
      <c r="VHF10" s="78"/>
      <c r="VHG10" s="78"/>
      <c r="VHH10" s="78"/>
      <c r="VHI10" s="78"/>
      <c r="VHJ10" s="78"/>
      <c r="VHK10" s="78"/>
      <c r="VHL10" s="78"/>
      <c r="VHM10" s="78"/>
      <c r="VHN10" s="78"/>
      <c r="VHO10" s="78"/>
      <c r="VHP10" s="78"/>
      <c r="VHQ10" s="78"/>
      <c r="VHR10" s="78"/>
      <c r="VHS10" s="78"/>
      <c r="VHT10" s="78"/>
      <c r="VHU10" s="78"/>
      <c r="VHV10" s="78"/>
      <c r="VHW10" s="78"/>
      <c r="VHX10" s="78"/>
      <c r="VHY10" s="78"/>
      <c r="VHZ10" s="78"/>
      <c r="VIA10" s="78"/>
      <c r="VIB10" s="78"/>
      <c r="VIC10" s="78"/>
      <c r="VID10" s="78"/>
      <c r="VIE10" s="78"/>
      <c r="VIF10" s="78"/>
      <c r="VIG10" s="78"/>
      <c r="VIH10" s="78"/>
      <c r="VII10" s="78"/>
      <c r="VIJ10" s="78"/>
      <c r="VIK10" s="78"/>
      <c r="VIL10" s="78"/>
      <c r="VIM10" s="78"/>
      <c r="VIN10" s="78"/>
      <c r="VIO10" s="78"/>
      <c r="VIP10" s="78"/>
      <c r="VIQ10" s="78"/>
      <c r="VIR10" s="78"/>
      <c r="VIS10" s="78"/>
      <c r="VIT10" s="78"/>
      <c r="VIU10" s="78"/>
      <c r="VIV10" s="78"/>
      <c r="VIW10" s="78"/>
      <c r="VIX10" s="78"/>
      <c r="VIY10" s="78"/>
      <c r="VIZ10" s="78"/>
      <c r="VJA10" s="78"/>
      <c r="VJB10" s="78"/>
      <c r="VJC10" s="78"/>
      <c r="VJD10" s="78"/>
      <c r="VJE10" s="78"/>
      <c r="VJF10" s="78"/>
      <c r="VJG10" s="78"/>
      <c r="VJH10" s="78"/>
      <c r="VJI10" s="78"/>
      <c r="VJJ10" s="78"/>
      <c r="VJK10" s="78"/>
      <c r="VJL10" s="78"/>
      <c r="VJM10" s="78"/>
      <c r="VJN10" s="78"/>
      <c r="VJO10" s="78"/>
      <c r="VJP10" s="78"/>
      <c r="VJQ10" s="78"/>
      <c r="VJR10" s="78"/>
      <c r="VJS10" s="78"/>
      <c r="VJT10" s="78"/>
      <c r="VJU10" s="78"/>
      <c r="VJV10" s="78"/>
      <c r="VJW10" s="78"/>
      <c r="VJX10" s="78"/>
      <c r="VJY10" s="78"/>
      <c r="VJZ10" s="78"/>
      <c r="VKA10" s="78"/>
      <c r="VKB10" s="78"/>
      <c r="VKC10" s="78"/>
      <c r="VKD10" s="78"/>
      <c r="VKE10" s="78"/>
      <c r="VKF10" s="78"/>
      <c r="VKG10" s="78"/>
      <c r="VKH10" s="78"/>
      <c r="VKI10" s="78"/>
      <c r="VKJ10" s="78"/>
      <c r="VKK10" s="78"/>
      <c r="VKL10" s="78"/>
      <c r="VKM10" s="78"/>
      <c r="VKN10" s="78"/>
      <c r="VKO10" s="78"/>
      <c r="VKP10" s="78"/>
      <c r="VKQ10" s="78"/>
      <c r="VKR10" s="78"/>
      <c r="VKS10" s="78"/>
      <c r="VKT10" s="78"/>
      <c r="VKU10" s="78"/>
      <c r="VKV10" s="78"/>
      <c r="VKW10" s="78"/>
      <c r="VKX10" s="78"/>
      <c r="VKY10" s="78"/>
      <c r="VKZ10" s="78"/>
      <c r="VLA10" s="78"/>
      <c r="VLB10" s="78"/>
      <c r="VLC10" s="78"/>
      <c r="VLD10" s="78"/>
      <c r="VLE10" s="78"/>
      <c r="VLF10" s="78"/>
      <c r="VLG10" s="78"/>
      <c r="VLH10" s="78"/>
      <c r="VLI10" s="78"/>
      <c r="VLJ10" s="78"/>
      <c r="VLK10" s="78"/>
      <c r="VLL10" s="78"/>
      <c r="VLM10" s="78"/>
      <c r="VLN10" s="78"/>
      <c r="VLO10" s="78"/>
      <c r="VLP10" s="78"/>
      <c r="VLQ10" s="78"/>
      <c r="VLR10" s="78"/>
      <c r="VLS10" s="78"/>
      <c r="VLT10" s="78"/>
      <c r="VLU10" s="78"/>
      <c r="VLV10" s="78"/>
      <c r="VLW10" s="78"/>
      <c r="VLX10" s="78"/>
      <c r="VLY10" s="78"/>
      <c r="VLZ10" s="78"/>
      <c r="VMA10" s="78"/>
      <c r="VMB10" s="78"/>
      <c r="VMC10" s="78"/>
      <c r="VMD10" s="78"/>
      <c r="VME10" s="78"/>
      <c r="VMF10" s="78"/>
      <c r="VMG10" s="78"/>
      <c r="VMH10" s="78"/>
      <c r="VMI10" s="78"/>
      <c r="VMJ10" s="78"/>
      <c r="VMK10" s="78"/>
      <c r="VML10" s="78"/>
      <c r="VMM10" s="78"/>
      <c r="VMN10" s="78"/>
      <c r="VMO10" s="78"/>
      <c r="VMP10" s="78"/>
      <c r="VMQ10" s="78"/>
      <c r="VMR10" s="78"/>
      <c r="VMS10" s="78"/>
      <c r="VMT10" s="78"/>
      <c r="VMU10" s="78"/>
      <c r="VMV10" s="78"/>
      <c r="VMW10" s="78"/>
      <c r="VMX10" s="78"/>
      <c r="VMY10" s="78"/>
      <c r="VMZ10" s="78"/>
      <c r="VNA10" s="78"/>
      <c r="VNB10" s="78"/>
      <c r="VNC10" s="78"/>
      <c r="VND10" s="78"/>
      <c r="VNE10" s="78"/>
      <c r="VNF10" s="78"/>
      <c r="VNG10" s="78"/>
      <c r="VNH10" s="78"/>
      <c r="VNI10" s="78"/>
      <c r="VNJ10" s="78"/>
      <c r="VNK10" s="78"/>
      <c r="VNL10" s="78"/>
      <c r="VNM10" s="78"/>
      <c r="VNN10" s="78"/>
      <c r="VNO10" s="78"/>
      <c r="VNP10" s="78"/>
      <c r="VNQ10" s="78"/>
      <c r="VNR10" s="78"/>
      <c r="VNS10" s="78"/>
      <c r="VNT10" s="78"/>
      <c r="VNU10" s="78"/>
      <c r="VNV10" s="78"/>
      <c r="VNW10" s="78"/>
      <c r="VNX10" s="78"/>
      <c r="VNY10" s="78"/>
      <c r="VNZ10" s="78"/>
      <c r="VOA10" s="78"/>
      <c r="VOB10" s="78"/>
      <c r="VOC10" s="78"/>
      <c r="VOD10" s="78"/>
      <c r="VOE10" s="78"/>
      <c r="VOF10" s="78"/>
      <c r="VOG10" s="78"/>
      <c r="VOH10" s="78"/>
      <c r="VOI10" s="78"/>
      <c r="VOJ10" s="78"/>
      <c r="VOK10" s="78"/>
      <c r="VOL10" s="78"/>
      <c r="VOM10" s="78"/>
      <c r="VON10" s="78"/>
      <c r="VOO10" s="78"/>
      <c r="VOP10" s="78"/>
      <c r="VOQ10" s="78"/>
      <c r="VOR10" s="78"/>
      <c r="VOS10" s="78"/>
      <c r="VOT10" s="78"/>
      <c r="VOU10" s="78"/>
      <c r="VOV10" s="78"/>
      <c r="VOW10" s="78"/>
      <c r="VOX10" s="78"/>
      <c r="VOY10" s="78"/>
      <c r="VOZ10" s="78"/>
      <c r="VPA10" s="78"/>
      <c r="VPB10" s="78"/>
      <c r="VPC10" s="78"/>
      <c r="VPD10" s="78"/>
      <c r="VPE10" s="78"/>
      <c r="VPF10" s="78"/>
      <c r="VPG10" s="78"/>
      <c r="VPH10" s="78"/>
      <c r="VPI10" s="78"/>
      <c r="VPJ10" s="78"/>
      <c r="VPK10" s="78"/>
      <c r="VPL10" s="78"/>
      <c r="VPM10" s="78"/>
      <c r="VPN10" s="78"/>
      <c r="VPO10" s="78"/>
      <c r="VPP10" s="78"/>
      <c r="VPQ10" s="78"/>
      <c r="VPR10" s="78"/>
      <c r="VPS10" s="78"/>
      <c r="VPT10" s="78"/>
      <c r="VPU10" s="78"/>
      <c r="VPV10" s="78"/>
      <c r="VPW10" s="78"/>
      <c r="VPX10" s="78"/>
      <c r="VPY10" s="78"/>
      <c r="VPZ10" s="78"/>
      <c r="VQA10" s="78"/>
      <c r="VQB10" s="78"/>
      <c r="VQC10" s="78"/>
      <c r="VQD10" s="78"/>
      <c r="VQE10" s="78"/>
      <c r="VQF10" s="78"/>
      <c r="VQG10" s="78"/>
      <c r="VQH10" s="78"/>
      <c r="VQI10" s="78"/>
      <c r="VQJ10" s="78"/>
      <c r="VQK10" s="78"/>
      <c r="VQL10" s="78"/>
      <c r="VQM10" s="78"/>
      <c r="VQN10" s="78"/>
      <c r="VQO10" s="78"/>
      <c r="VQP10" s="78"/>
      <c r="VQQ10" s="78"/>
      <c r="VQR10" s="78"/>
      <c r="VQS10" s="78"/>
      <c r="VQT10" s="78"/>
      <c r="VQU10" s="78"/>
      <c r="VQV10" s="78"/>
      <c r="VQW10" s="78"/>
      <c r="VQX10" s="78"/>
      <c r="VQY10" s="78"/>
      <c r="VQZ10" s="78"/>
      <c r="VRA10" s="78"/>
      <c r="VRB10" s="78"/>
      <c r="VRC10" s="78"/>
      <c r="VRD10" s="78"/>
      <c r="VRE10" s="78"/>
      <c r="VRF10" s="78"/>
      <c r="VRG10" s="78"/>
      <c r="VRH10" s="78"/>
      <c r="VRI10" s="78"/>
      <c r="VRJ10" s="78"/>
      <c r="VRK10" s="78"/>
      <c r="VRL10" s="78"/>
      <c r="VRM10" s="78"/>
      <c r="VRN10" s="78"/>
      <c r="VRO10" s="78"/>
      <c r="VRP10" s="78"/>
      <c r="VRQ10" s="78"/>
      <c r="VRR10" s="78"/>
      <c r="VRS10" s="78"/>
      <c r="VRT10" s="78"/>
      <c r="VRU10" s="78"/>
      <c r="VRV10" s="78"/>
      <c r="VRW10" s="78"/>
      <c r="VRX10" s="78"/>
      <c r="VRY10" s="78"/>
      <c r="VRZ10" s="78"/>
      <c r="VSA10" s="78"/>
      <c r="VSB10" s="78"/>
      <c r="VSC10" s="78"/>
      <c r="VSD10" s="78"/>
      <c r="VSE10" s="78"/>
      <c r="VSF10" s="78"/>
      <c r="VSG10" s="78"/>
      <c r="VSH10" s="78"/>
      <c r="VSI10" s="78"/>
      <c r="VSJ10" s="78"/>
      <c r="VSK10" s="78"/>
      <c r="VSL10" s="78"/>
      <c r="VSM10" s="78"/>
      <c r="VSN10" s="78"/>
      <c r="VSO10" s="78"/>
      <c r="VSP10" s="78"/>
      <c r="VSQ10" s="78"/>
      <c r="VSR10" s="78"/>
      <c r="VSS10" s="78"/>
      <c r="VST10" s="78"/>
      <c r="VSU10" s="78"/>
      <c r="VSV10" s="78"/>
      <c r="VSW10" s="78"/>
      <c r="VSX10" s="78"/>
      <c r="VSY10" s="78"/>
      <c r="VSZ10" s="78"/>
      <c r="VTA10" s="78"/>
      <c r="VTB10" s="78"/>
      <c r="VTC10" s="78"/>
      <c r="VTD10" s="78"/>
      <c r="VTE10" s="78"/>
      <c r="VTF10" s="78"/>
      <c r="VTG10" s="78"/>
      <c r="VTH10" s="78"/>
      <c r="VTI10" s="78"/>
      <c r="VTJ10" s="78"/>
      <c r="VTK10" s="78"/>
      <c r="VTL10" s="78"/>
      <c r="VTM10" s="78"/>
      <c r="VTN10" s="78"/>
      <c r="VTO10" s="78"/>
      <c r="VTP10" s="78"/>
      <c r="VTQ10" s="78"/>
      <c r="VTR10" s="78"/>
      <c r="VTS10" s="78"/>
      <c r="VTT10" s="78"/>
      <c r="VTU10" s="78"/>
      <c r="VTV10" s="78"/>
      <c r="VTW10" s="78"/>
      <c r="VTX10" s="78"/>
      <c r="VTY10" s="78"/>
      <c r="VTZ10" s="78"/>
      <c r="VUA10" s="78"/>
      <c r="VUB10" s="78"/>
      <c r="VUC10" s="78"/>
      <c r="VUD10" s="78"/>
      <c r="VUE10" s="78"/>
      <c r="VUF10" s="78"/>
      <c r="VUG10" s="78"/>
      <c r="VUH10" s="78"/>
      <c r="VUI10" s="78"/>
      <c r="VUJ10" s="78"/>
      <c r="VUK10" s="78"/>
      <c r="VUL10" s="78"/>
      <c r="VUM10" s="78"/>
      <c r="VUN10" s="78"/>
      <c r="VUO10" s="78"/>
      <c r="VUP10" s="78"/>
      <c r="VUQ10" s="78"/>
      <c r="VUR10" s="78"/>
      <c r="VUS10" s="78"/>
      <c r="VUT10" s="78"/>
      <c r="VUU10" s="78"/>
      <c r="VUV10" s="78"/>
      <c r="VUW10" s="78"/>
      <c r="VUX10" s="78"/>
      <c r="VUY10" s="78"/>
      <c r="VUZ10" s="78"/>
      <c r="VVA10" s="78"/>
      <c r="VVB10" s="78"/>
      <c r="VVC10" s="78"/>
      <c r="VVD10" s="78"/>
      <c r="VVE10" s="78"/>
      <c r="VVF10" s="78"/>
      <c r="VVG10" s="78"/>
      <c r="VVH10" s="78"/>
      <c r="VVI10" s="78"/>
      <c r="VVJ10" s="78"/>
      <c r="VVK10" s="78"/>
      <c r="VVL10" s="78"/>
      <c r="VVM10" s="78"/>
      <c r="VVN10" s="78"/>
      <c r="VVO10" s="78"/>
      <c r="VVP10" s="78"/>
      <c r="VVQ10" s="78"/>
      <c r="VVR10" s="78"/>
      <c r="VVS10" s="78"/>
      <c r="VVT10" s="78"/>
      <c r="VVU10" s="78"/>
      <c r="VVV10" s="78"/>
      <c r="VVW10" s="78"/>
      <c r="VVX10" s="78"/>
      <c r="VVY10" s="78"/>
      <c r="VVZ10" s="78"/>
      <c r="VWA10" s="78"/>
      <c r="VWB10" s="78"/>
      <c r="VWC10" s="78"/>
      <c r="VWD10" s="78"/>
      <c r="VWE10" s="78"/>
      <c r="VWF10" s="78"/>
      <c r="VWG10" s="78"/>
      <c r="VWH10" s="78"/>
      <c r="VWI10" s="78"/>
      <c r="VWJ10" s="78"/>
      <c r="VWK10" s="78"/>
      <c r="VWL10" s="78"/>
      <c r="VWM10" s="78"/>
      <c r="VWN10" s="78"/>
      <c r="VWO10" s="78"/>
      <c r="VWP10" s="78"/>
      <c r="VWQ10" s="78"/>
      <c r="VWR10" s="78"/>
      <c r="VWS10" s="78"/>
      <c r="VWT10" s="78"/>
      <c r="VWU10" s="78"/>
      <c r="VWV10" s="78"/>
      <c r="VWW10" s="78"/>
      <c r="VWX10" s="78"/>
      <c r="VWY10" s="78"/>
      <c r="VWZ10" s="78"/>
      <c r="VXA10" s="78"/>
      <c r="VXB10" s="78"/>
      <c r="VXC10" s="78"/>
      <c r="VXD10" s="78"/>
      <c r="VXE10" s="78"/>
      <c r="VXF10" s="78"/>
      <c r="VXG10" s="78"/>
      <c r="VXH10" s="78"/>
      <c r="VXI10" s="78"/>
      <c r="VXJ10" s="78"/>
      <c r="VXK10" s="78"/>
      <c r="VXL10" s="78"/>
      <c r="VXM10" s="78"/>
      <c r="VXN10" s="78"/>
      <c r="VXO10" s="78"/>
      <c r="VXP10" s="78"/>
      <c r="VXQ10" s="78"/>
      <c r="VXR10" s="78"/>
      <c r="VXS10" s="78"/>
      <c r="VXT10" s="78"/>
      <c r="VXU10" s="78"/>
      <c r="VXV10" s="78"/>
      <c r="VXW10" s="78"/>
      <c r="VXX10" s="78"/>
      <c r="VXY10" s="78"/>
      <c r="VXZ10" s="78"/>
      <c r="VYA10" s="78"/>
      <c r="VYB10" s="78"/>
      <c r="VYC10" s="78"/>
      <c r="VYD10" s="78"/>
      <c r="VYE10" s="78"/>
      <c r="VYF10" s="78"/>
      <c r="VYG10" s="78"/>
      <c r="VYH10" s="78"/>
      <c r="VYI10" s="78"/>
      <c r="VYJ10" s="78"/>
      <c r="VYK10" s="78"/>
      <c r="VYL10" s="78"/>
      <c r="VYM10" s="78"/>
      <c r="VYN10" s="78"/>
      <c r="VYO10" s="78"/>
      <c r="VYP10" s="78"/>
      <c r="VYQ10" s="78"/>
      <c r="VYR10" s="78"/>
      <c r="VYS10" s="78"/>
      <c r="VYT10" s="78"/>
      <c r="VYU10" s="78"/>
      <c r="VYV10" s="78"/>
      <c r="VYW10" s="78"/>
      <c r="VYX10" s="78"/>
      <c r="VYY10" s="78"/>
      <c r="VYZ10" s="78"/>
      <c r="VZA10" s="78"/>
      <c r="VZB10" s="78"/>
      <c r="VZC10" s="78"/>
      <c r="VZD10" s="78"/>
      <c r="VZE10" s="78"/>
      <c r="VZF10" s="78"/>
      <c r="VZG10" s="78"/>
      <c r="VZH10" s="78"/>
      <c r="VZI10" s="78"/>
      <c r="VZJ10" s="78"/>
      <c r="VZK10" s="78"/>
      <c r="VZL10" s="78"/>
      <c r="VZM10" s="78"/>
      <c r="VZN10" s="78"/>
      <c r="VZO10" s="78"/>
      <c r="VZP10" s="78"/>
      <c r="VZQ10" s="78"/>
      <c r="VZR10" s="78"/>
      <c r="VZS10" s="78"/>
      <c r="VZT10" s="78"/>
      <c r="VZU10" s="78"/>
      <c r="VZV10" s="78"/>
      <c r="VZW10" s="78"/>
      <c r="VZX10" s="78"/>
      <c r="VZY10" s="78"/>
      <c r="VZZ10" s="78"/>
      <c r="WAA10" s="78"/>
      <c r="WAB10" s="78"/>
      <c r="WAC10" s="78"/>
      <c r="WAD10" s="78"/>
      <c r="WAE10" s="78"/>
      <c r="WAF10" s="78"/>
      <c r="WAG10" s="78"/>
      <c r="WAH10" s="78"/>
      <c r="WAI10" s="78"/>
      <c r="WAJ10" s="78"/>
      <c r="WAK10" s="78"/>
      <c r="WAL10" s="78"/>
      <c r="WAM10" s="78"/>
      <c r="WAN10" s="78"/>
      <c r="WAO10" s="78"/>
      <c r="WAP10" s="78"/>
      <c r="WAQ10" s="78"/>
      <c r="WAR10" s="78"/>
      <c r="WAS10" s="78"/>
      <c r="WAT10" s="78"/>
      <c r="WAU10" s="78"/>
      <c r="WAV10" s="78"/>
      <c r="WAW10" s="78"/>
      <c r="WAX10" s="78"/>
      <c r="WAY10" s="78"/>
      <c r="WAZ10" s="78"/>
      <c r="WBA10" s="78"/>
      <c r="WBB10" s="78"/>
      <c r="WBC10" s="78"/>
      <c r="WBD10" s="78"/>
      <c r="WBE10" s="78"/>
      <c r="WBF10" s="78"/>
      <c r="WBG10" s="78"/>
      <c r="WBH10" s="78"/>
      <c r="WBI10" s="78"/>
      <c r="WBJ10" s="78"/>
      <c r="WBK10" s="78"/>
      <c r="WBL10" s="78"/>
      <c r="WBM10" s="78"/>
      <c r="WBN10" s="78"/>
      <c r="WBO10" s="78"/>
      <c r="WBP10" s="78"/>
      <c r="WBQ10" s="78"/>
      <c r="WBR10" s="78"/>
      <c r="WBS10" s="78"/>
      <c r="WBT10" s="78"/>
      <c r="WBU10" s="78"/>
      <c r="WBV10" s="78"/>
      <c r="WBW10" s="78"/>
      <c r="WBX10" s="78"/>
      <c r="WBY10" s="78"/>
      <c r="WBZ10" s="78"/>
      <c r="WCA10" s="78"/>
      <c r="WCB10" s="78"/>
      <c r="WCC10" s="78"/>
      <c r="WCD10" s="78"/>
      <c r="WCE10" s="78"/>
      <c r="WCF10" s="78"/>
      <c r="WCG10" s="78"/>
      <c r="WCH10" s="78"/>
      <c r="WCI10" s="78"/>
      <c r="WCJ10" s="78"/>
      <c r="WCK10" s="78"/>
      <c r="WCL10" s="78"/>
      <c r="WCM10" s="78"/>
      <c r="WCN10" s="78"/>
      <c r="WCO10" s="78"/>
      <c r="WCP10" s="78"/>
      <c r="WCQ10" s="78"/>
      <c r="WCR10" s="78"/>
      <c r="WCS10" s="78"/>
      <c r="WCT10" s="78"/>
      <c r="WCU10" s="78"/>
      <c r="WCV10" s="78"/>
      <c r="WCW10" s="78"/>
      <c r="WCX10" s="78"/>
      <c r="WCY10" s="78"/>
      <c r="WCZ10" s="78"/>
      <c r="WDA10" s="78"/>
      <c r="WDB10" s="78"/>
      <c r="WDC10" s="78"/>
      <c r="WDD10" s="78"/>
      <c r="WDE10" s="78"/>
      <c r="WDF10" s="78"/>
      <c r="WDG10" s="78"/>
      <c r="WDH10" s="78"/>
      <c r="WDI10" s="78"/>
      <c r="WDJ10" s="78"/>
      <c r="WDK10" s="78"/>
      <c r="WDL10" s="78"/>
      <c r="WDM10" s="78"/>
      <c r="WDN10" s="78"/>
      <c r="WDO10" s="78"/>
      <c r="WDP10" s="78"/>
      <c r="WDQ10" s="78"/>
      <c r="WDR10" s="78"/>
      <c r="WDS10" s="78"/>
      <c r="WDT10" s="78"/>
      <c r="WDU10" s="78"/>
      <c r="WDV10" s="78"/>
      <c r="WDW10" s="78"/>
      <c r="WDX10" s="78"/>
      <c r="WDY10" s="78"/>
      <c r="WDZ10" s="78"/>
      <c r="WEA10" s="78"/>
      <c r="WEB10" s="78"/>
      <c r="WEC10" s="78"/>
      <c r="WED10" s="78"/>
      <c r="WEE10" s="78"/>
      <c r="WEF10" s="78"/>
      <c r="WEG10" s="78"/>
      <c r="WEH10" s="78"/>
      <c r="WEI10" s="78"/>
      <c r="WEJ10" s="78"/>
      <c r="WEK10" s="78"/>
      <c r="WEL10" s="78"/>
      <c r="WEM10" s="78"/>
      <c r="WEN10" s="78"/>
      <c r="WEO10" s="78"/>
      <c r="WEP10" s="78"/>
      <c r="WEQ10" s="78"/>
      <c r="WER10" s="78"/>
      <c r="WES10" s="78"/>
      <c r="WET10" s="78"/>
      <c r="WEU10" s="78"/>
      <c r="WEV10" s="78"/>
      <c r="WEW10" s="78"/>
      <c r="WEX10" s="78"/>
      <c r="WEY10" s="78"/>
      <c r="WEZ10" s="78"/>
      <c r="WFA10" s="78"/>
      <c r="WFB10" s="78"/>
      <c r="WFC10" s="78"/>
      <c r="WFD10" s="78"/>
      <c r="WFE10" s="78"/>
      <c r="WFF10" s="78"/>
      <c r="WFG10" s="78"/>
      <c r="WFH10" s="78"/>
      <c r="WFI10" s="78"/>
      <c r="WFJ10" s="78"/>
      <c r="WFK10" s="78"/>
      <c r="WFL10" s="78"/>
      <c r="WFM10" s="78"/>
      <c r="WFN10" s="78"/>
      <c r="WFO10" s="78"/>
      <c r="WFP10" s="78"/>
      <c r="WFQ10" s="78"/>
      <c r="WFR10" s="78"/>
      <c r="WFS10" s="78"/>
      <c r="WFT10" s="78"/>
      <c r="WFU10" s="78"/>
      <c r="WFV10" s="78"/>
      <c r="WFW10" s="78"/>
      <c r="WFX10" s="78"/>
      <c r="WFY10" s="78"/>
      <c r="WFZ10" s="78"/>
      <c r="WGA10" s="78"/>
      <c r="WGB10" s="78"/>
      <c r="WGC10" s="78"/>
      <c r="WGD10" s="78"/>
      <c r="WGE10" s="78"/>
      <c r="WGF10" s="78"/>
      <c r="WGG10" s="78"/>
      <c r="WGH10" s="78"/>
      <c r="WGI10" s="78"/>
      <c r="WGJ10" s="78"/>
      <c r="WGK10" s="78"/>
      <c r="WGL10" s="78"/>
      <c r="WGM10" s="78"/>
      <c r="WGN10" s="78"/>
      <c r="WGO10" s="78"/>
      <c r="WGP10" s="78"/>
      <c r="WGQ10" s="78"/>
      <c r="WGR10" s="78"/>
      <c r="WGS10" s="78"/>
      <c r="WGT10" s="78"/>
      <c r="WGU10" s="78"/>
      <c r="WGV10" s="78"/>
      <c r="WGW10" s="78"/>
      <c r="WGX10" s="78"/>
      <c r="WGY10" s="78"/>
      <c r="WGZ10" s="78"/>
      <c r="WHA10" s="78"/>
      <c r="WHB10" s="78"/>
      <c r="WHC10" s="78"/>
      <c r="WHD10" s="78"/>
      <c r="WHE10" s="78"/>
      <c r="WHF10" s="78"/>
      <c r="WHG10" s="78"/>
      <c r="WHH10" s="78"/>
      <c r="WHI10" s="78"/>
      <c r="WHJ10" s="78"/>
      <c r="WHK10" s="78"/>
      <c r="WHL10" s="78"/>
      <c r="WHM10" s="78"/>
      <c r="WHN10" s="78"/>
      <c r="WHO10" s="78"/>
      <c r="WHP10" s="78"/>
      <c r="WHQ10" s="78"/>
      <c r="WHR10" s="78"/>
      <c r="WHS10" s="78"/>
      <c r="WHT10" s="78"/>
      <c r="WHU10" s="78"/>
      <c r="WHV10" s="78"/>
      <c r="WHW10" s="78"/>
      <c r="WHX10" s="78"/>
      <c r="WHY10" s="78"/>
      <c r="WHZ10" s="78"/>
      <c r="WIA10" s="78"/>
      <c r="WIB10" s="78"/>
      <c r="WIC10" s="78"/>
      <c r="WID10" s="78"/>
      <c r="WIE10" s="78"/>
      <c r="WIF10" s="78"/>
      <c r="WIG10" s="78"/>
      <c r="WIH10" s="78"/>
      <c r="WII10" s="78"/>
      <c r="WIJ10" s="78"/>
      <c r="WIK10" s="78"/>
      <c r="WIL10" s="78"/>
      <c r="WIM10" s="78"/>
      <c r="WIN10" s="78"/>
      <c r="WIO10" s="78"/>
      <c r="WIP10" s="78"/>
      <c r="WIQ10" s="78"/>
      <c r="WIR10" s="78"/>
      <c r="WIS10" s="78"/>
      <c r="WIT10" s="78"/>
      <c r="WIU10" s="78"/>
      <c r="WIV10" s="78"/>
      <c r="WIW10" s="78"/>
      <c r="WIX10" s="78"/>
      <c r="WIY10" s="78"/>
      <c r="WIZ10" s="78"/>
      <c r="WJA10" s="78"/>
      <c r="WJB10" s="78"/>
      <c r="WJC10" s="78"/>
      <c r="WJD10" s="78"/>
      <c r="WJE10" s="78"/>
      <c r="WJF10" s="78"/>
      <c r="WJG10" s="78"/>
      <c r="WJH10" s="78"/>
      <c r="WJI10" s="78"/>
      <c r="WJJ10" s="78"/>
      <c r="WJK10" s="78"/>
      <c r="WJL10" s="78"/>
      <c r="WJM10" s="78"/>
      <c r="WJN10" s="78"/>
      <c r="WJO10" s="78"/>
      <c r="WJP10" s="78"/>
      <c r="WJQ10" s="78"/>
      <c r="WJR10" s="78"/>
      <c r="WJS10" s="78"/>
      <c r="WJT10" s="78"/>
      <c r="WJU10" s="78"/>
      <c r="WJV10" s="78"/>
      <c r="WJW10" s="78"/>
      <c r="WJX10" s="78"/>
      <c r="WJY10" s="78"/>
      <c r="WJZ10" s="78"/>
      <c r="WKA10" s="78"/>
      <c r="WKB10" s="78"/>
      <c r="WKC10" s="78"/>
      <c r="WKD10" s="78"/>
      <c r="WKE10" s="78"/>
      <c r="WKF10" s="78"/>
      <c r="WKG10" s="78"/>
      <c r="WKH10" s="78"/>
      <c r="WKI10" s="78"/>
      <c r="WKJ10" s="78"/>
      <c r="WKK10" s="78"/>
      <c r="WKL10" s="78"/>
      <c r="WKM10" s="78"/>
      <c r="WKN10" s="78"/>
      <c r="WKO10" s="78"/>
      <c r="WKP10" s="78"/>
      <c r="WKQ10" s="78"/>
      <c r="WKR10" s="78"/>
      <c r="WKS10" s="78"/>
      <c r="WKT10" s="78"/>
      <c r="WKU10" s="78"/>
      <c r="WKV10" s="78"/>
      <c r="WKW10" s="78"/>
      <c r="WKX10" s="78"/>
      <c r="WKY10" s="78"/>
      <c r="WKZ10" s="78"/>
      <c r="WLA10" s="78"/>
      <c r="WLB10" s="78"/>
      <c r="WLC10" s="78"/>
      <c r="WLD10" s="78"/>
      <c r="WLE10" s="78"/>
      <c r="WLF10" s="78"/>
      <c r="WLG10" s="78"/>
      <c r="WLH10" s="78"/>
      <c r="WLI10" s="78"/>
      <c r="WLJ10" s="78"/>
      <c r="WLK10" s="78"/>
      <c r="WLL10" s="78"/>
      <c r="WLM10" s="78"/>
      <c r="WLN10" s="78"/>
      <c r="WLO10" s="78"/>
      <c r="WLP10" s="78"/>
      <c r="WLQ10" s="78"/>
      <c r="WLR10" s="78"/>
      <c r="WLS10" s="78"/>
      <c r="WLT10" s="78"/>
      <c r="WLU10" s="78"/>
      <c r="WLV10" s="78"/>
      <c r="WLW10" s="78"/>
      <c r="WLX10" s="78"/>
      <c r="WLY10" s="78"/>
      <c r="WLZ10" s="78"/>
      <c r="WMA10" s="78"/>
      <c r="WMB10" s="78"/>
      <c r="WMC10" s="78"/>
      <c r="WMD10" s="78"/>
      <c r="WME10" s="78"/>
      <c r="WMF10" s="78"/>
      <c r="WMG10" s="78"/>
      <c r="WMH10" s="78"/>
      <c r="WMI10" s="78"/>
      <c r="WMJ10" s="78"/>
      <c r="WMK10" s="78"/>
      <c r="WML10" s="78"/>
      <c r="WMM10" s="78"/>
      <c r="WMN10" s="78"/>
      <c r="WMO10" s="78"/>
      <c r="WMP10" s="78"/>
      <c r="WMQ10" s="78"/>
      <c r="WMR10" s="78"/>
      <c r="WMS10" s="78"/>
      <c r="WMT10" s="78"/>
      <c r="WMU10" s="78"/>
      <c r="WMV10" s="78"/>
      <c r="WMW10" s="78"/>
      <c r="WMX10" s="78"/>
      <c r="WMY10" s="78"/>
      <c r="WMZ10" s="78"/>
      <c r="WNA10" s="78"/>
      <c r="WNB10" s="78"/>
      <c r="WNC10" s="78"/>
      <c r="WND10" s="78"/>
      <c r="WNE10" s="78"/>
      <c r="WNF10" s="78"/>
      <c r="WNG10" s="78"/>
      <c r="WNH10" s="78"/>
      <c r="WNI10" s="78"/>
      <c r="WNJ10" s="78"/>
      <c r="WNK10" s="78"/>
      <c r="WNL10" s="78"/>
      <c r="WNM10" s="78"/>
      <c r="WNN10" s="78"/>
      <c r="WNO10" s="78"/>
      <c r="WNP10" s="78"/>
      <c r="WNQ10" s="78"/>
      <c r="WNR10" s="78"/>
      <c r="WNS10" s="78"/>
      <c r="WNT10" s="78"/>
      <c r="WNU10" s="78"/>
      <c r="WNV10" s="78"/>
      <c r="WNW10" s="78"/>
      <c r="WNX10" s="78"/>
      <c r="WNY10" s="78"/>
      <c r="WNZ10" s="78"/>
      <c r="WOA10" s="78"/>
      <c r="WOB10" s="78"/>
      <c r="WOC10" s="78"/>
      <c r="WOD10" s="78"/>
      <c r="WOE10" s="78"/>
      <c r="WOF10" s="78"/>
      <c r="WOG10" s="78"/>
      <c r="WOH10" s="78"/>
      <c r="WOI10" s="78"/>
      <c r="WOJ10" s="78"/>
      <c r="WOK10" s="78"/>
      <c r="WOL10" s="78"/>
      <c r="WOM10" s="78"/>
      <c r="WON10" s="78"/>
      <c r="WOO10" s="78"/>
      <c r="WOP10" s="78"/>
      <c r="WOQ10" s="78"/>
      <c r="WOR10" s="78"/>
      <c r="WOS10" s="78"/>
      <c r="WOT10" s="78"/>
      <c r="WOU10" s="78"/>
      <c r="WOV10" s="78"/>
      <c r="WOW10" s="78"/>
      <c r="WOX10" s="78"/>
      <c r="WOY10" s="78"/>
      <c r="WOZ10" s="78"/>
      <c r="WPA10" s="78"/>
      <c r="WPB10" s="78"/>
      <c r="WPC10" s="78"/>
      <c r="WPD10" s="78"/>
      <c r="WPE10" s="78"/>
      <c r="WPF10" s="78"/>
      <c r="WPG10" s="78"/>
      <c r="WPH10" s="78"/>
      <c r="WPI10" s="78"/>
      <c r="WPJ10" s="78"/>
      <c r="WPK10" s="78"/>
      <c r="WPL10" s="78"/>
      <c r="WPM10" s="78"/>
      <c r="WPN10" s="78"/>
      <c r="WPO10" s="78"/>
      <c r="WPP10" s="78"/>
      <c r="WPQ10" s="78"/>
      <c r="WPR10" s="78"/>
      <c r="WPS10" s="78"/>
      <c r="WPT10" s="78"/>
      <c r="WPU10" s="78"/>
      <c r="WPV10" s="78"/>
      <c r="WPW10" s="78"/>
      <c r="WPX10" s="78"/>
      <c r="WPY10" s="78"/>
      <c r="WPZ10" s="78"/>
      <c r="WQA10" s="78"/>
      <c r="WQB10" s="78"/>
      <c r="WQC10" s="78"/>
      <c r="WQD10" s="78"/>
      <c r="WQE10" s="78"/>
      <c r="WQF10" s="78"/>
      <c r="WQG10" s="78"/>
      <c r="WQH10" s="78"/>
      <c r="WQI10" s="78"/>
      <c r="WQJ10" s="78"/>
      <c r="WQK10" s="78"/>
      <c r="WQL10" s="78"/>
      <c r="WQM10" s="78"/>
      <c r="WQN10" s="78"/>
      <c r="WQO10" s="78"/>
      <c r="WQP10" s="78"/>
      <c r="WQQ10" s="78"/>
      <c r="WQR10" s="78"/>
      <c r="WQS10" s="78"/>
      <c r="WQT10" s="78"/>
      <c r="WQU10" s="78"/>
      <c r="WQV10" s="78"/>
      <c r="WQW10" s="78"/>
      <c r="WQX10" s="78"/>
      <c r="WQY10" s="78"/>
      <c r="WQZ10" s="78"/>
      <c r="WRA10" s="78"/>
      <c r="WRB10" s="78"/>
      <c r="WRC10" s="78"/>
      <c r="WRD10" s="78"/>
      <c r="WRE10" s="78"/>
      <c r="WRF10" s="78"/>
      <c r="WRG10" s="78"/>
      <c r="WRH10" s="78"/>
      <c r="WRI10" s="78"/>
      <c r="WRJ10" s="78"/>
      <c r="WRK10" s="78"/>
      <c r="WRL10" s="78"/>
      <c r="WRM10" s="78"/>
      <c r="WRN10" s="78"/>
      <c r="WRO10" s="78"/>
      <c r="WRP10" s="78"/>
      <c r="WRQ10" s="78"/>
      <c r="WRR10" s="78"/>
      <c r="WRS10" s="78"/>
      <c r="WRT10" s="78"/>
      <c r="WRU10" s="78"/>
      <c r="WRV10" s="78"/>
      <c r="WRW10" s="78"/>
      <c r="WRX10" s="78"/>
      <c r="WRY10" s="78"/>
      <c r="WRZ10" s="78"/>
      <c r="WSA10" s="78"/>
      <c r="WSB10" s="78"/>
      <c r="WSC10" s="78"/>
      <c r="WSD10" s="78"/>
      <c r="WSE10" s="78"/>
      <c r="WSF10" s="78"/>
      <c r="WSG10" s="78"/>
      <c r="WSH10" s="78"/>
      <c r="WSI10" s="78"/>
      <c r="WSJ10" s="78"/>
      <c r="WSK10" s="78"/>
      <c r="WSL10" s="78"/>
      <c r="WSM10" s="78"/>
      <c r="WSN10" s="78"/>
      <c r="WSO10" s="78"/>
      <c r="WSP10" s="78"/>
      <c r="WSQ10" s="78"/>
      <c r="WSR10" s="78"/>
      <c r="WSS10" s="78"/>
      <c r="WST10" s="78"/>
      <c r="WSU10" s="78"/>
      <c r="WSV10" s="78"/>
      <c r="WSW10" s="78"/>
      <c r="WSX10" s="78"/>
      <c r="WSY10" s="78"/>
      <c r="WSZ10" s="78"/>
      <c r="WTA10" s="78"/>
      <c r="WTB10" s="78"/>
      <c r="WTC10" s="78"/>
      <c r="WTD10" s="78"/>
      <c r="WTE10" s="78"/>
      <c r="WTF10" s="78"/>
      <c r="WTG10" s="78"/>
      <c r="WTH10" s="78"/>
      <c r="WTI10" s="78"/>
      <c r="WTJ10" s="78"/>
      <c r="WTK10" s="78"/>
      <c r="WTL10" s="78"/>
      <c r="WTM10" s="78"/>
      <c r="WTN10" s="78"/>
      <c r="WTO10" s="78"/>
      <c r="WTP10" s="78"/>
      <c r="WTQ10" s="78"/>
      <c r="WTR10" s="78"/>
      <c r="WTS10" s="78"/>
      <c r="WTT10" s="78"/>
      <c r="WTU10" s="78"/>
      <c r="WTV10" s="78"/>
      <c r="WTW10" s="78"/>
      <c r="WTX10" s="78"/>
      <c r="WTY10" s="78"/>
      <c r="WTZ10" s="78"/>
      <c r="WUA10" s="78"/>
      <c r="WUB10" s="78"/>
      <c r="WUC10" s="78"/>
      <c r="WUD10" s="78"/>
      <c r="WUE10" s="78"/>
      <c r="WUF10" s="78"/>
      <c r="WUG10" s="78"/>
      <c r="WUH10" s="78"/>
      <c r="WUI10" s="78"/>
      <c r="WUJ10" s="78"/>
      <c r="WUK10" s="78"/>
      <c r="WUL10" s="78"/>
      <c r="WUM10" s="78"/>
      <c r="WUN10" s="78"/>
      <c r="WUO10" s="78"/>
      <c r="WUP10" s="78"/>
      <c r="WUQ10" s="78"/>
      <c r="WUR10" s="78"/>
      <c r="WUS10" s="78"/>
      <c r="WUT10" s="78"/>
      <c r="WUU10" s="78"/>
      <c r="WUV10" s="78"/>
      <c r="WUW10" s="78"/>
      <c r="WUX10" s="78"/>
      <c r="WUY10" s="78"/>
      <c r="WUZ10" s="78"/>
      <c r="WVA10" s="78"/>
      <c r="WVB10" s="78"/>
      <c r="WVC10" s="78"/>
      <c r="WVD10" s="78"/>
      <c r="WVE10" s="78"/>
      <c r="WVF10" s="78"/>
      <c r="WVG10" s="78"/>
      <c r="WVH10" s="78"/>
      <c r="WVI10" s="78"/>
      <c r="WVJ10" s="78"/>
      <c r="WVK10" s="78"/>
      <c r="WVL10" s="78"/>
      <c r="WVM10" s="78"/>
      <c r="WVN10" s="78"/>
      <c r="WVO10" s="78"/>
      <c r="WVP10" s="78"/>
      <c r="WVQ10" s="78"/>
      <c r="WVR10" s="78"/>
      <c r="WVS10" s="78"/>
      <c r="WVT10" s="78"/>
      <c r="WVU10" s="78"/>
      <c r="WVV10" s="78"/>
      <c r="WVW10" s="78"/>
      <c r="WVX10" s="78"/>
      <c r="WVY10" s="78"/>
      <c r="WVZ10" s="78"/>
      <c r="WWA10" s="78"/>
      <c r="WWB10" s="78"/>
      <c r="WWC10" s="78"/>
      <c r="WWD10" s="78"/>
      <c r="WWE10" s="78"/>
      <c r="WWF10" s="78"/>
      <c r="WWG10" s="78"/>
      <c r="WWH10" s="78"/>
      <c r="WWI10" s="78"/>
      <c r="WWJ10" s="78"/>
      <c r="WWK10" s="78"/>
      <c r="WWL10" s="78"/>
      <c r="WWM10" s="78"/>
      <c r="WWN10" s="78"/>
      <c r="WWO10" s="78"/>
      <c r="WWP10" s="78"/>
      <c r="WWQ10" s="78"/>
      <c r="WWR10" s="78"/>
      <c r="WWS10" s="78"/>
      <c r="WWT10" s="78"/>
      <c r="WWU10" s="78"/>
      <c r="WWV10" s="78"/>
      <c r="WWW10" s="78"/>
      <c r="WWX10" s="78"/>
      <c r="WWY10" s="78"/>
      <c r="WWZ10" s="78"/>
      <c r="WXA10" s="78"/>
      <c r="WXB10" s="78"/>
      <c r="WXC10" s="78"/>
      <c r="WXD10" s="78"/>
      <c r="WXE10" s="78"/>
      <c r="WXF10" s="78"/>
      <c r="WXG10" s="78"/>
      <c r="WXH10" s="78"/>
      <c r="WXI10" s="78"/>
      <c r="WXJ10" s="78"/>
      <c r="WXK10" s="78"/>
      <c r="WXL10" s="78"/>
      <c r="WXM10" s="78"/>
      <c r="WXN10" s="78"/>
      <c r="WXO10" s="78"/>
      <c r="WXP10" s="78"/>
      <c r="WXQ10" s="78"/>
      <c r="WXR10" s="78"/>
      <c r="WXS10" s="78"/>
      <c r="WXT10" s="78"/>
      <c r="WXU10" s="78"/>
      <c r="WXV10" s="78"/>
      <c r="WXW10" s="78"/>
      <c r="WXX10" s="78"/>
      <c r="WXY10" s="78"/>
      <c r="WXZ10" s="78"/>
      <c r="WYA10" s="78"/>
      <c r="WYB10" s="78"/>
      <c r="WYC10" s="78"/>
      <c r="WYD10" s="78"/>
      <c r="WYE10" s="78"/>
      <c r="WYF10" s="78"/>
      <c r="WYG10" s="78"/>
      <c r="WYH10" s="78"/>
      <c r="WYI10" s="78"/>
      <c r="WYJ10" s="78"/>
      <c r="WYK10" s="78"/>
      <c r="WYL10" s="78"/>
      <c r="WYM10" s="78"/>
      <c r="WYN10" s="78"/>
      <c r="WYO10" s="78"/>
      <c r="WYP10" s="78"/>
      <c r="WYQ10" s="78"/>
      <c r="WYR10" s="78"/>
      <c r="WYS10" s="78"/>
      <c r="WYT10" s="78"/>
      <c r="WYU10" s="78"/>
      <c r="WYV10" s="78"/>
      <c r="WYW10" s="78"/>
      <c r="WYX10" s="78"/>
      <c r="WYY10" s="78"/>
      <c r="WYZ10" s="78"/>
      <c r="WZA10" s="78"/>
      <c r="WZB10" s="78"/>
      <c r="WZC10" s="78"/>
      <c r="WZD10" s="78"/>
      <c r="WZE10" s="78"/>
      <c r="WZF10" s="78"/>
      <c r="WZG10" s="78"/>
      <c r="WZH10" s="78"/>
      <c r="WZI10" s="78"/>
      <c r="WZJ10" s="78"/>
      <c r="WZK10" s="78"/>
      <c r="WZL10" s="78"/>
      <c r="WZM10" s="78"/>
      <c r="WZN10" s="78"/>
      <c r="WZO10" s="78"/>
      <c r="WZP10" s="78"/>
      <c r="WZQ10" s="78"/>
      <c r="WZR10" s="78"/>
      <c r="WZS10" s="78"/>
      <c r="WZT10" s="78"/>
      <c r="WZU10" s="78"/>
      <c r="WZV10" s="78"/>
      <c r="WZW10" s="78"/>
      <c r="WZX10" s="78"/>
      <c r="WZY10" s="78"/>
      <c r="WZZ10" s="78"/>
      <c r="XAA10" s="78"/>
      <c r="XAB10" s="78"/>
      <c r="XAC10" s="78"/>
      <c r="XAD10" s="78"/>
      <c r="XAE10" s="78"/>
      <c r="XAF10" s="78"/>
      <c r="XAG10" s="78"/>
      <c r="XAH10" s="78"/>
      <c r="XAI10" s="78"/>
      <c r="XAJ10" s="78"/>
      <c r="XAK10" s="78"/>
      <c r="XAL10" s="78"/>
      <c r="XAM10" s="78"/>
      <c r="XAN10" s="78"/>
      <c r="XAO10" s="78"/>
      <c r="XAP10" s="78"/>
      <c r="XAQ10" s="78"/>
      <c r="XAR10" s="78"/>
      <c r="XAS10" s="78"/>
      <c r="XAT10" s="78"/>
      <c r="XAU10" s="78"/>
      <c r="XAV10" s="78"/>
      <c r="XAW10" s="78"/>
      <c r="XAX10" s="78"/>
      <c r="XAY10" s="78"/>
      <c r="XAZ10" s="78"/>
      <c r="XBA10" s="78"/>
      <c r="XBB10" s="78"/>
      <c r="XBC10" s="78"/>
      <c r="XBD10" s="78"/>
      <c r="XBE10" s="78"/>
      <c r="XBF10" s="78"/>
      <c r="XBG10" s="78"/>
      <c r="XBH10" s="78"/>
      <c r="XBI10" s="78"/>
      <c r="XBJ10" s="78"/>
      <c r="XBK10" s="78"/>
      <c r="XBL10" s="78"/>
      <c r="XBM10" s="78"/>
      <c r="XBN10" s="78"/>
      <c r="XBO10" s="78"/>
      <c r="XBP10" s="78"/>
      <c r="XBQ10" s="78"/>
      <c r="XBR10" s="78"/>
      <c r="XBS10" s="78"/>
      <c r="XBT10" s="78"/>
      <c r="XBU10" s="78"/>
      <c r="XBV10" s="78"/>
      <c r="XBW10" s="78"/>
      <c r="XBX10" s="78"/>
      <c r="XBY10" s="78"/>
      <c r="XBZ10" s="78"/>
      <c r="XCA10" s="78"/>
      <c r="XCB10" s="78"/>
      <c r="XCC10" s="78"/>
      <c r="XCD10" s="78"/>
      <c r="XCE10" s="78"/>
      <c r="XCF10" s="78"/>
      <c r="XCG10" s="78"/>
      <c r="XCH10" s="78"/>
      <c r="XCI10" s="78"/>
      <c r="XCJ10" s="78"/>
      <c r="XCK10" s="78"/>
      <c r="XCL10" s="78"/>
      <c r="XCM10" s="78"/>
      <c r="XCN10" s="78"/>
      <c r="XCO10" s="78"/>
      <c r="XCP10" s="78"/>
      <c r="XCQ10" s="78"/>
      <c r="XCR10" s="78"/>
      <c r="XCS10" s="78"/>
      <c r="XCT10" s="78"/>
      <c r="XCU10" s="78"/>
      <c r="XCV10" s="78"/>
      <c r="XCW10" s="78"/>
      <c r="XCX10" s="78"/>
      <c r="XCY10" s="78"/>
      <c r="XCZ10" s="78"/>
      <c r="XDA10" s="78"/>
      <c r="XDB10" s="78"/>
      <c r="XDC10" s="78"/>
      <c r="XDD10" s="78"/>
      <c r="XDE10" s="78"/>
      <c r="XDF10" s="78"/>
      <c r="XDG10" s="78"/>
      <c r="XDH10" s="78"/>
      <c r="XDI10" s="78"/>
      <c r="XDJ10" s="78"/>
      <c r="XDK10" s="78"/>
      <c r="XDL10" s="78"/>
      <c r="XDM10" s="78"/>
      <c r="XDN10" s="78"/>
      <c r="XDO10" s="78"/>
      <c r="XDP10" s="78"/>
      <c r="XDQ10" s="78"/>
      <c r="XDR10" s="78"/>
      <c r="XDS10" s="78"/>
      <c r="XDT10" s="78"/>
      <c r="XDU10" s="78"/>
      <c r="XDV10" s="78"/>
      <c r="XDW10" s="78"/>
      <c r="XDX10" s="78"/>
      <c r="XDY10" s="78"/>
      <c r="XDZ10" s="78"/>
      <c r="XEA10" s="78"/>
      <c r="XEB10" s="78"/>
      <c r="XEC10" s="78"/>
      <c r="XED10" s="78"/>
      <c r="XEE10" s="78"/>
      <c r="XEF10" s="78"/>
      <c r="XEG10" s="78"/>
      <c r="XEH10" s="78"/>
      <c r="XEI10" s="78"/>
      <c r="XEJ10" s="78"/>
      <c r="XEK10" s="78"/>
      <c r="XEL10" s="78"/>
      <c r="XEM10" s="78"/>
      <c r="XEN10" s="78"/>
      <c r="XEO10" s="78"/>
      <c r="XEP10" s="78"/>
      <c r="XEQ10" s="78"/>
      <c r="XER10" s="78"/>
      <c r="XES10" s="78"/>
      <c r="XET10" s="78"/>
      <c r="XEU10" s="78"/>
      <c r="XEV10" s="78"/>
      <c r="XEW10" s="78"/>
      <c r="XEX10" s="78"/>
      <c r="XEY10" s="78"/>
      <c r="XEZ10" s="78"/>
      <c r="XFA10" s="78"/>
      <c r="XFB10" s="78"/>
      <c r="XFC10" s="78"/>
    </row>
    <row r="11" spans="1:16383" ht="45" x14ac:dyDescent="0.25">
      <c r="A11" s="68" t="s">
        <v>124</v>
      </c>
      <c r="B11" s="68" t="s">
        <v>158</v>
      </c>
      <c r="C11" s="68" t="s">
        <v>159</v>
      </c>
      <c r="D11" s="68" t="s">
        <v>160</v>
      </c>
      <c r="E11" s="68" t="s">
        <v>161</v>
      </c>
    </row>
    <row r="12" spans="1:16383" x14ac:dyDescent="0.25">
      <c r="A12" s="70">
        <v>1</v>
      </c>
      <c r="B12" s="70">
        <v>2</v>
      </c>
      <c r="C12" s="70">
        <v>3</v>
      </c>
      <c r="D12" s="70">
        <v>4</v>
      </c>
      <c r="E12" s="70">
        <v>5</v>
      </c>
    </row>
    <row r="13" spans="1:16383" x14ac:dyDescent="0.25">
      <c r="A13" s="72" t="s">
        <v>134</v>
      </c>
      <c r="B13" s="283" t="s">
        <v>162</v>
      </c>
      <c r="C13" s="73"/>
      <c r="D13" s="73"/>
      <c r="E13" s="73"/>
    </row>
    <row r="14" spans="1:16383" x14ac:dyDescent="0.25">
      <c r="A14" s="72" t="s">
        <v>135</v>
      </c>
      <c r="B14" s="284"/>
      <c r="C14" s="73"/>
      <c r="D14" s="73"/>
      <c r="E14" s="73"/>
    </row>
    <row r="15" spans="1:16383" x14ac:dyDescent="0.25">
      <c r="A15" s="72" t="s">
        <v>136</v>
      </c>
      <c r="B15" s="285"/>
      <c r="C15" s="73"/>
      <c r="D15" s="73"/>
      <c r="E15" s="73"/>
    </row>
    <row r="16" spans="1:16383" x14ac:dyDescent="0.25">
      <c r="A16" s="286" t="s">
        <v>137</v>
      </c>
      <c r="B16" s="287"/>
      <c r="C16" s="86">
        <f>SUM(C13:C15)</f>
        <v>0</v>
      </c>
      <c r="D16" s="86">
        <f t="shared" ref="D16" si="0">SUM(D13:D15)</f>
        <v>0</v>
      </c>
      <c r="E16" s="86">
        <f t="shared" ref="E16" si="1">SUM(E13:E15)</f>
        <v>0</v>
      </c>
    </row>
    <row r="17" spans="1:8" x14ac:dyDescent="0.25">
      <c r="A17" s="72" t="s">
        <v>134</v>
      </c>
      <c r="B17" s="283" t="s">
        <v>163</v>
      </c>
      <c r="C17" s="73"/>
      <c r="D17" s="73"/>
      <c r="E17" s="73"/>
    </row>
    <row r="18" spans="1:8" x14ac:dyDescent="0.25">
      <c r="A18" s="72" t="s">
        <v>135</v>
      </c>
      <c r="B18" s="284"/>
      <c r="C18" s="73"/>
      <c r="D18" s="73"/>
      <c r="E18" s="73"/>
    </row>
    <row r="19" spans="1:8" x14ac:dyDescent="0.25">
      <c r="A19" s="72" t="s">
        <v>136</v>
      </c>
      <c r="B19" s="285"/>
      <c r="C19" s="73"/>
      <c r="D19" s="73"/>
      <c r="E19" s="73"/>
    </row>
    <row r="20" spans="1:8" x14ac:dyDescent="0.25">
      <c r="A20" s="286" t="s">
        <v>137</v>
      </c>
      <c r="B20" s="287"/>
      <c r="C20" s="86">
        <f>SUM(C17:C19)</f>
        <v>0</v>
      </c>
      <c r="D20" s="86">
        <f t="shared" ref="D20" si="2">SUM(D17:D19)</f>
        <v>0</v>
      </c>
      <c r="E20" s="86">
        <f t="shared" ref="E20" si="3">SUM(E17:E19)</f>
        <v>0</v>
      </c>
    </row>
    <row r="21" spans="1:8" x14ac:dyDescent="0.25">
      <c r="A21" s="72" t="s">
        <v>134</v>
      </c>
      <c r="B21" s="283" t="s">
        <v>164</v>
      </c>
      <c r="C21" s="73"/>
      <c r="D21" s="73"/>
      <c r="E21" s="73"/>
    </row>
    <row r="22" spans="1:8" x14ac:dyDescent="0.25">
      <c r="A22" s="72" t="s">
        <v>135</v>
      </c>
      <c r="B22" s="284"/>
      <c r="C22" s="73"/>
      <c r="D22" s="73"/>
      <c r="E22" s="73"/>
    </row>
    <row r="23" spans="1:8" x14ac:dyDescent="0.25">
      <c r="A23" s="72" t="s">
        <v>136</v>
      </c>
      <c r="B23" s="285"/>
      <c r="C23" s="73"/>
      <c r="D23" s="73"/>
      <c r="E23" s="73"/>
    </row>
    <row r="24" spans="1:8" x14ac:dyDescent="0.25">
      <c r="A24" s="286" t="s">
        <v>137</v>
      </c>
      <c r="B24" s="287"/>
      <c r="C24" s="86">
        <f>SUM(C21:C23)</f>
        <v>0</v>
      </c>
      <c r="D24" s="86">
        <f t="shared" ref="D24:E24" si="4">SUM(D21:D23)</f>
        <v>0</v>
      </c>
      <c r="E24" s="86">
        <f t="shared" si="4"/>
        <v>0</v>
      </c>
    </row>
    <row r="26" spans="1:8" x14ac:dyDescent="0.25">
      <c r="A26" s="282" t="s">
        <v>1089</v>
      </c>
      <c r="B26" s="282"/>
      <c r="C26" s="282"/>
      <c r="D26" s="282"/>
      <c r="E26" s="282"/>
      <c r="F26" s="282"/>
      <c r="G26" s="282"/>
      <c r="H26" s="282"/>
    </row>
    <row r="27" spans="1:8" x14ac:dyDescent="0.25">
      <c r="A27" s="278" t="s">
        <v>124</v>
      </c>
      <c r="B27" s="278" t="s">
        <v>123</v>
      </c>
      <c r="C27" s="275" t="s">
        <v>125</v>
      </c>
      <c r="D27" s="277"/>
      <c r="E27" s="275" t="s">
        <v>126</v>
      </c>
      <c r="F27" s="277"/>
      <c r="G27" s="275" t="s">
        <v>127</v>
      </c>
      <c r="H27" s="277"/>
    </row>
    <row r="28" spans="1:8" ht="17.25" x14ac:dyDescent="0.25">
      <c r="A28" s="279"/>
      <c r="B28" s="279"/>
      <c r="C28" s="68" t="s">
        <v>128</v>
      </c>
      <c r="D28" s="68" t="s">
        <v>129</v>
      </c>
      <c r="E28" s="68" t="s">
        <v>130</v>
      </c>
      <c r="F28" s="68" t="s">
        <v>131</v>
      </c>
      <c r="G28" s="69" t="s">
        <v>130</v>
      </c>
      <c r="H28" s="68" t="s">
        <v>131</v>
      </c>
    </row>
    <row r="29" spans="1:8" x14ac:dyDescent="0.25">
      <c r="A29" s="70">
        <v>1</v>
      </c>
      <c r="B29" s="70">
        <v>2</v>
      </c>
      <c r="C29" s="70">
        <v>3</v>
      </c>
      <c r="D29" s="70">
        <v>4</v>
      </c>
      <c r="E29" s="70">
        <v>5</v>
      </c>
      <c r="F29" s="70">
        <v>6</v>
      </c>
      <c r="G29" s="71">
        <v>7</v>
      </c>
      <c r="H29" s="70">
        <v>8</v>
      </c>
    </row>
    <row r="30" spans="1:8" x14ac:dyDescent="0.25">
      <c r="A30" s="72" t="s">
        <v>132</v>
      </c>
      <c r="B30" s="73"/>
      <c r="C30" s="73"/>
      <c r="D30" s="73"/>
      <c r="E30" s="73"/>
      <c r="F30" s="73"/>
      <c r="G30" s="74"/>
      <c r="H30" s="73"/>
    </row>
    <row r="31" spans="1:8" x14ac:dyDescent="0.25">
      <c r="A31" s="72" t="s">
        <v>133</v>
      </c>
      <c r="B31" s="73"/>
      <c r="C31" s="73"/>
      <c r="D31" s="73"/>
      <c r="E31" s="73"/>
      <c r="F31" s="73"/>
      <c r="G31" s="74"/>
      <c r="H31" s="73"/>
    </row>
    <row r="32" spans="1:8" x14ac:dyDescent="0.25">
      <c r="A32" s="72" t="s">
        <v>134</v>
      </c>
      <c r="B32" s="73"/>
      <c r="C32" s="73"/>
      <c r="D32" s="73"/>
      <c r="E32" s="73"/>
      <c r="F32" s="73"/>
      <c r="G32" s="74"/>
      <c r="H32" s="73"/>
    </row>
    <row r="33" spans="1:8" x14ac:dyDescent="0.25">
      <c r="A33" s="72" t="s">
        <v>135</v>
      </c>
      <c r="B33" s="73"/>
      <c r="C33" s="73"/>
      <c r="D33" s="73"/>
      <c r="E33" s="73"/>
      <c r="F33" s="73"/>
      <c r="G33" s="74"/>
      <c r="H33" s="73"/>
    </row>
    <row r="34" spans="1:8" x14ac:dyDescent="0.25">
      <c r="A34" s="72" t="s">
        <v>136</v>
      </c>
      <c r="B34" s="73"/>
      <c r="C34" s="73"/>
      <c r="D34" s="73"/>
      <c r="E34" s="73"/>
      <c r="F34" s="73"/>
      <c r="G34" s="74"/>
      <c r="H34" s="73"/>
    </row>
    <row r="35" spans="1:8" x14ac:dyDescent="0.25">
      <c r="A35" s="75" t="s">
        <v>137</v>
      </c>
      <c r="B35" s="86">
        <f>SUM(B30:B34)</f>
        <v>0</v>
      </c>
      <c r="C35" s="86">
        <f t="shared" ref="C35:F35" si="5">SUM(C30:C34)</f>
        <v>0</v>
      </c>
      <c r="D35" s="86">
        <f t="shared" si="5"/>
        <v>0</v>
      </c>
      <c r="E35" s="86">
        <f t="shared" si="5"/>
        <v>0</v>
      </c>
      <c r="F35" s="86">
        <f t="shared" si="5"/>
        <v>0</v>
      </c>
      <c r="G35" s="288">
        <f>SUM(G34:H34)</f>
        <v>0</v>
      </c>
      <c r="H35" s="289"/>
    </row>
    <row r="37" spans="1:8" x14ac:dyDescent="0.25">
      <c r="A37" s="282" t="s">
        <v>1090</v>
      </c>
      <c r="B37" s="282"/>
      <c r="C37" s="282"/>
      <c r="D37" s="77"/>
      <c r="E37" s="77"/>
      <c r="F37" s="77"/>
      <c r="G37" s="77"/>
      <c r="H37" s="77"/>
    </row>
    <row r="38" spans="1:8" ht="45" customHeight="1" x14ac:dyDescent="0.25">
      <c r="A38" s="68" t="s">
        <v>124</v>
      </c>
      <c r="B38" s="68" t="s">
        <v>127</v>
      </c>
      <c r="C38" s="68" t="s">
        <v>138</v>
      </c>
      <c r="D38" s="78"/>
      <c r="E38" s="78"/>
      <c r="F38" s="78"/>
      <c r="G38" s="78"/>
      <c r="H38" s="78"/>
    </row>
    <row r="39" spans="1:8" x14ac:dyDescent="0.25">
      <c r="A39" s="70">
        <v>1</v>
      </c>
      <c r="B39" s="70">
        <v>2</v>
      </c>
      <c r="C39" s="70">
        <v>3</v>
      </c>
    </row>
    <row r="40" spans="1:8" x14ac:dyDescent="0.25">
      <c r="A40" s="72" t="s">
        <v>132</v>
      </c>
      <c r="B40" s="85">
        <f>SUM(G30:H30)</f>
        <v>0</v>
      </c>
      <c r="C40" s="73"/>
    </row>
    <row r="41" spans="1:8" x14ac:dyDescent="0.25">
      <c r="A41" s="72" t="s">
        <v>133</v>
      </c>
      <c r="B41" s="85">
        <f t="shared" ref="B41:B44" si="6">SUM(G31:H31)</f>
        <v>0</v>
      </c>
      <c r="C41" s="73"/>
    </row>
    <row r="42" spans="1:8" x14ac:dyDescent="0.25">
      <c r="A42" s="72" t="s">
        <v>134</v>
      </c>
      <c r="B42" s="85">
        <f t="shared" si="6"/>
        <v>0</v>
      </c>
      <c r="C42" s="73"/>
    </row>
    <row r="43" spans="1:8" x14ac:dyDescent="0.25">
      <c r="A43" s="72" t="s">
        <v>135</v>
      </c>
      <c r="B43" s="85">
        <f t="shared" si="6"/>
        <v>0</v>
      </c>
      <c r="C43" s="73"/>
    </row>
    <row r="44" spans="1:8" x14ac:dyDescent="0.25">
      <c r="A44" s="72" t="s">
        <v>136</v>
      </c>
      <c r="B44" s="85">
        <f t="shared" si="6"/>
        <v>0</v>
      </c>
      <c r="C44" s="73"/>
    </row>
    <row r="45" spans="1:8" x14ac:dyDescent="0.25">
      <c r="A45" s="76" t="s">
        <v>137</v>
      </c>
      <c r="B45" s="86">
        <f>G35</f>
        <v>0</v>
      </c>
      <c r="C45" s="86">
        <f t="shared" ref="C45" si="7">SUM(C40:C44)</f>
        <v>0</v>
      </c>
    </row>
    <row r="47" spans="1:8" x14ac:dyDescent="0.25">
      <c r="A47" s="282" t="s">
        <v>1091</v>
      </c>
      <c r="B47" s="282"/>
      <c r="C47" s="77"/>
    </row>
    <row r="48" spans="1:8" x14ac:dyDescent="0.25">
      <c r="A48" s="68" t="s">
        <v>124</v>
      </c>
      <c r="B48" s="68" t="s">
        <v>167</v>
      </c>
    </row>
    <row r="49" spans="1:4" x14ac:dyDescent="0.25">
      <c r="A49" s="70">
        <v>1</v>
      </c>
      <c r="B49" s="70">
        <v>2</v>
      </c>
    </row>
    <row r="50" spans="1:4" x14ac:dyDescent="0.25">
      <c r="A50" s="88" t="s">
        <v>136</v>
      </c>
      <c r="B50" s="89"/>
    </row>
    <row r="51" spans="1:4" x14ac:dyDescent="0.25">
      <c r="A51" s="88" t="s">
        <v>135</v>
      </c>
      <c r="B51" s="89"/>
    </row>
    <row r="52" spans="1:4" x14ac:dyDescent="0.25">
      <c r="A52" s="88" t="s">
        <v>134</v>
      </c>
      <c r="B52" s="89"/>
    </row>
    <row r="53" spans="1:4" x14ac:dyDescent="0.25">
      <c r="A53" s="88" t="s">
        <v>133</v>
      </c>
      <c r="B53" s="89"/>
    </row>
    <row r="54" spans="1:4" x14ac:dyDescent="0.25">
      <c r="A54" s="81" t="s">
        <v>157</v>
      </c>
      <c r="B54" s="90">
        <f>SUM(B50:B53)</f>
        <v>0</v>
      </c>
    </row>
    <row r="56" spans="1:4" x14ac:dyDescent="0.25">
      <c r="A56" s="91" t="s">
        <v>1111</v>
      </c>
      <c r="B56" s="87"/>
      <c r="C56" s="87"/>
    </row>
    <row r="57" spans="1:4" x14ac:dyDescent="0.25">
      <c r="A57" s="295" t="s">
        <v>168</v>
      </c>
      <c r="B57" s="296"/>
      <c r="C57" s="92" t="s">
        <v>137</v>
      </c>
      <c r="D57" s="87"/>
    </row>
    <row r="58" spans="1:4" ht="30" customHeight="1" x14ac:dyDescent="0.25">
      <c r="A58" s="292" t="s">
        <v>1081</v>
      </c>
      <c r="B58" s="293"/>
      <c r="C58" s="93"/>
    </row>
    <row r="59" spans="1:4" ht="30" customHeight="1" x14ac:dyDescent="0.25">
      <c r="A59" s="292" t="s">
        <v>1082</v>
      </c>
      <c r="B59" s="293"/>
      <c r="C59" s="93"/>
    </row>
    <row r="60" spans="1:4" x14ac:dyDescent="0.25">
      <c r="A60" s="292" t="s">
        <v>1083</v>
      </c>
      <c r="B60" s="293"/>
      <c r="C60" s="93"/>
    </row>
    <row r="61" spans="1:4" x14ac:dyDescent="0.25">
      <c r="A61" s="292" t="s">
        <v>1084</v>
      </c>
      <c r="B61" s="293"/>
      <c r="C61" s="93"/>
    </row>
    <row r="62" spans="1:4" x14ac:dyDescent="0.25">
      <c r="A62" s="292" t="s">
        <v>1085</v>
      </c>
      <c r="B62" s="293"/>
      <c r="C62" s="93"/>
    </row>
    <row r="63" spans="1:4" x14ac:dyDescent="0.25">
      <c r="A63" s="292" t="s">
        <v>1086</v>
      </c>
      <c r="B63" s="293"/>
      <c r="C63" s="93"/>
    </row>
    <row r="64" spans="1:4" ht="30" customHeight="1" x14ac:dyDescent="0.25">
      <c r="A64" s="292" t="s">
        <v>1087</v>
      </c>
      <c r="B64" s="293"/>
      <c r="C64" s="93"/>
    </row>
    <row r="65" spans="1:3" x14ac:dyDescent="0.25">
      <c r="A65" s="292" t="s">
        <v>169</v>
      </c>
      <c r="B65" s="293"/>
      <c r="C65" s="93"/>
    </row>
    <row r="66" spans="1:3" ht="30" customHeight="1" x14ac:dyDescent="0.25">
      <c r="A66" s="292" t="s">
        <v>283</v>
      </c>
      <c r="B66" s="293"/>
      <c r="C66" s="93"/>
    </row>
    <row r="67" spans="1:3" ht="105" customHeight="1" x14ac:dyDescent="0.25">
      <c r="A67" s="294" t="s">
        <v>1112</v>
      </c>
      <c r="B67" s="137" t="s">
        <v>599</v>
      </c>
      <c r="C67" s="93"/>
    </row>
    <row r="68" spans="1:3" ht="75" x14ac:dyDescent="0.25">
      <c r="A68" s="294"/>
      <c r="B68" s="148" t="s">
        <v>601</v>
      </c>
      <c r="C68" s="93"/>
    </row>
    <row r="69" spans="1:3" ht="91.5" customHeight="1" x14ac:dyDescent="0.25">
      <c r="A69" s="294"/>
      <c r="B69" s="137" t="s">
        <v>600</v>
      </c>
      <c r="C69" s="93"/>
    </row>
    <row r="70" spans="1:3" ht="90" customHeight="1" x14ac:dyDescent="0.25">
      <c r="A70" s="294"/>
      <c r="B70" s="148" t="s">
        <v>603</v>
      </c>
      <c r="C70" s="93"/>
    </row>
    <row r="71" spans="1:3" ht="60" customHeight="1" x14ac:dyDescent="0.25">
      <c r="A71" s="294"/>
      <c r="B71" s="63" t="s">
        <v>602</v>
      </c>
      <c r="C71" s="93"/>
    </row>
    <row r="72" spans="1:3" x14ac:dyDescent="0.25">
      <c r="A72" s="294"/>
      <c r="B72" s="160"/>
      <c r="C72" s="159">
        <f>SUM(C67:C71)</f>
        <v>0</v>
      </c>
    </row>
    <row r="74" spans="1:3" x14ac:dyDescent="0.25">
      <c r="A74" s="82" t="s">
        <v>1113</v>
      </c>
    </row>
    <row r="75" spans="1:3" x14ac:dyDescent="0.25">
      <c r="A75" s="92" t="s">
        <v>168</v>
      </c>
      <c r="B75" s="92" t="s">
        <v>137</v>
      </c>
    </row>
    <row r="76" spans="1:3" ht="30" x14ac:dyDescent="0.25">
      <c r="A76" s="267" t="s">
        <v>1114</v>
      </c>
      <c r="B76" s="93"/>
    </row>
    <row r="77" spans="1:3" ht="30" x14ac:dyDescent="0.25">
      <c r="A77" s="267" t="s">
        <v>1115</v>
      </c>
      <c r="B77" s="93"/>
    </row>
    <row r="79" spans="1:3" x14ac:dyDescent="0.25">
      <c r="A79" s="91" t="s">
        <v>1092</v>
      </c>
      <c r="B79" s="87"/>
    </row>
    <row r="80" spans="1:3" x14ac:dyDescent="0.25">
      <c r="A80" s="92" t="s">
        <v>168</v>
      </c>
      <c r="B80" s="92" t="s">
        <v>137</v>
      </c>
    </row>
    <row r="81" spans="1:5" ht="45" x14ac:dyDescent="0.25">
      <c r="A81" s="14" t="s">
        <v>1116</v>
      </c>
      <c r="B81" s="99"/>
    </row>
    <row r="82" spans="1:5" ht="45" x14ac:dyDescent="0.25">
      <c r="A82" s="14" t="s">
        <v>1117</v>
      </c>
      <c r="B82" s="99"/>
    </row>
    <row r="83" spans="1:5" ht="45" x14ac:dyDescent="0.25">
      <c r="A83" s="14" t="s">
        <v>1118</v>
      </c>
      <c r="B83" s="99"/>
    </row>
    <row r="85" spans="1:5" x14ac:dyDescent="0.25">
      <c r="A85" s="91" t="s">
        <v>1093</v>
      </c>
      <c r="B85" s="87"/>
    </row>
    <row r="86" spans="1:5" x14ac:dyDescent="0.25">
      <c r="A86" s="273" t="s">
        <v>168</v>
      </c>
      <c r="B86" s="270" t="s">
        <v>617</v>
      </c>
      <c r="C86" s="271"/>
      <c r="D86" s="272"/>
      <c r="E86" s="273" t="s">
        <v>137</v>
      </c>
    </row>
    <row r="87" spans="1:5" x14ac:dyDescent="0.25">
      <c r="A87" s="274"/>
      <c r="B87" s="92" t="s">
        <v>134</v>
      </c>
      <c r="C87" s="92" t="s">
        <v>135</v>
      </c>
      <c r="D87" s="92" t="s">
        <v>136</v>
      </c>
      <c r="E87" s="274"/>
    </row>
    <row r="88" spans="1:5" ht="30" x14ac:dyDescent="0.25">
      <c r="A88" s="155" t="s">
        <v>611</v>
      </c>
      <c r="B88" s="99"/>
      <c r="C88" s="99"/>
      <c r="D88" s="99"/>
      <c r="E88" s="169">
        <f>SUM(B88:D88)</f>
        <v>0</v>
      </c>
    </row>
    <row r="89" spans="1:5" ht="30" x14ac:dyDescent="0.25">
      <c r="A89" s="155" t="s">
        <v>612</v>
      </c>
      <c r="B89" s="99"/>
      <c r="C89" s="99"/>
      <c r="D89" s="99"/>
      <c r="E89" s="169">
        <f>SUM(B89:D89)</f>
        <v>0</v>
      </c>
    </row>
    <row r="90" spans="1:5" x14ac:dyDescent="0.25">
      <c r="A90" s="155" t="s">
        <v>613</v>
      </c>
      <c r="B90" s="99"/>
      <c r="C90" s="99"/>
      <c r="D90" s="99"/>
      <c r="E90" s="169">
        <f>SUM(B90:D90)</f>
        <v>0</v>
      </c>
    </row>
    <row r="92" spans="1:5" x14ac:dyDescent="0.25">
      <c r="A92" s="91" t="s">
        <v>1094</v>
      </c>
      <c r="B92" s="87"/>
    </row>
    <row r="93" spans="1:5" x14ac:dyDescent="0.25">
      <c r="A93" s="273" t="s">
        <v>168</v>
      </c>
      <c r="B93" s="270" t="s">
        <v>617</v>
      </c>
      <c r="C93" s="271"/>
      <c r="D93" s="272"/>
      <c r="E93" s="273" t="s">
        <v>137</v>
      </c>
    </row>
    <row r="94" spans="1:5" x14ac:dyDescent="0.25">
      <c r="A94" s="274"/>
      <c r="B94" s="92" t="s">
        <v>134</v>
      </c>
      <c r="C94" s="92" t="s">
        <v>135</v>
      </c>
      <c r="D94" s="92" t="s">
        <v>136</v>
      </c>
      <c r="E94" s="274"/>
    </row>
    <row r="95" spans="1:5" ht="30" x14ac:dyDescent="0.25">
      <c r="A95" s="155" t="s">
        <v>611</v>
      </c>
      <c r="B95" s="99"/>
      <c r="C95" s="99"/>
      <c r="D95" s="99"/>
      <c r="E95" s="169">
        <f>SUM(B95:D95)</f>
        <v>0</v>
      </c>
    </row>
    <row r="96" spans="1:5" ht="30" x14ac:dyDescent="0.25">
      <c r="A96" s="155" t="s">
        <v>612</v>
      </c>
      <c r="B96" s="99"/>
      <c r="C96" s="99"/>
      <c r="D96" s="99"/>
      <c r="E96" s="169">
        <f>SUM(B96:D96)</f>
        <v>0</v>
      </c>
    </row>
    <row r="97" spans="1:5" x14ac:dyDescent="0.25">
      <c r="A97" s="155" t="s">
        <v>613</v>
      </c>
      <c r="B97" s="99"/>
      <c r="C97" s="99"/>
      <c r="D97" s="99"/>
      <c r="E97" s="169">
        <f>SUM(B97:D97)</f>
        <v>0</v>
      </c>
    </row>
    <row r="99" spans="1:5" x14ac:dyDescent="0.25">
      <c r="A99" s="91" t="s">
        <v>1095</v>
      </c>
    </row>
    <row r="100" spans="1:5" x14ac:dyDescent="0.25">
      <c r="A100" s="273" t="s">
        <v>168</v>
      </c>
      <c r="B100" s="270" t="s">
        <v>617</v>
      </c>
      <c r="C100" s="271"/>
      <c r="D100" s="272"/>
      <c r="E100" s="273" t="s">
        <v>137</v>
      </c>
    </row>
    <row r="101" spans="1:5" x14ac:dyDescent="0.25">
      <c r="A101" s="274"/>
      <c r="B101" s="92" t="s">
        <v>134</v>
      </c>
      <c r="C101" s="92" t="s">
        <v>135</v>
      </c>
      <c r="D101" s="92" t="s">
        <v>136</v>
      </c>
      <c r="E101" s="274"/>
    </row>
    <row r="102" spans="1:5" ht="30" x14ac:dyDescent="0.25">
      <c r="A102" s="155" t="s">
        <v>618</v>
      </c>
      <c r="B102" s="253"/>
      <c r="C102" s="253"/>
      <c r="D102" s="253"/>
      <c r="E102" s="169">
        <f t="shared" ref="E102:E111" si="8">SUM(B102:D102)</f>
        <v>0</v>
      </c>
    </row>
    <row r="103" spans="1:5" ht="30" x14ac:dyDescent="0.25">
      <c r="A103" s="155" t="s">
        <v>619</v>
      </c>
      <c r="B103" s="253"/>
      <c r="C103" s="253"/>
      <c r="D103" s="253"/>
      <c r="E103" s="169">
        <f t="shared" si="8"/>
        <v>0</v>
      </c>
    </row>
    <row r="104" spans="1:5" x14ac:dyDescent="0.25">
      <c r="A104" s="155" t="s">
        <v>620</v>
      </c>
      <c r="B104" s="253"/>
      <c r="C104" s="253"/>
      <c r="D104" s="253"/>
      <c r="E104" s="169">
        <f t="shared" si="8"/>
        <v>0</v>
      </c>
    </row>
    <row r="105" spans="1:5" ht="30" x14ac:dyDescent="0.25">
      <c r="A105" s="155" t="s">
        <v>621</v>
      </c>
      <c r="B105" s="253"/>
      <c r="C105" s="253"/>
      <c r="D105" s="253"/>
      <c r="E105" s="169">
        <f t="shared" si="8"/>
        <v>0</v>
      </c>
    </row>
    <row r="106" spans="1:5" ht="30" x14ac:dyDescent="0.25">
      <c r="A106" s="155" t="s">
        <v>622</v>
      </c>
      <c r="B106" s="253"/>
      <c r="C106" s="253"/>
      <c r="D106" s="253"/>
      <c r="E106" s="169">
        <f t="shared" si="8"/>
        <v>0</v>
      </c>
    </row>
    <row r="107" spans="1:5" x14ac:dyDescent="0.25">
      <c r="A107" s="155" t="s">
        <v>623</v>
      </c>
      <c r="B107" s="253"/>
      <c r="C107" s="253"/>
      <c r="D107" s="253"/>
      <c r="E107" s="169">
        <f t="shared" si="8"/>
        <v>0</v>
      </c>
    </row>
    <row r="108" spans="1:5" x14ac:dyDescent="0.25">
      <c r="A108" s="155" t="s">
        <v>624</v>
      </c>
      <c r="B108" s="253"/>
      <c r="C108" s="253"/>
      <c r="D108" s="253"/>
      <c r="E108" s="169">
        <f t="shared" si="8"/>
        <v>0</v>
      </c>
    </row>
    <row r="109" spans="1:5" ht="30" x14ac:dyDescent="0.25">
      <c r="A109" s="155" t="s">
        <v>625</v>
      </c>
      <c r="B109" s="253"/>
      <c r="C109" s="253"/>
      <c r="D109" s="253"/>
      <c r="E109" s="169">
        <f t="shared" si="8"/>
        <v>0</v>
      </c>
    </row>
    <row r="110" spans="1:5" ht="30" x14ac:dyDescent="0.25">
      <c r="A110" s="155" t="s">
        <v>626</v>
      </c>
      <c r="B110" s="253"/>
      <c r="C110" s="253"/>
      <c r="D110" s="253"/>
      <c r="E110" s="169">
        <f t="shared" si="8"/>
        <v>0</v>
      </c>
    </row>
    <row r="111" spans="1:5" ht="30" x14ac:dyDescent="0.25">
      <c r="A111" s="155" t="s">
        <v>627</v>
      </c>
      <c r="B111" s="253"/>
      <c r="C111" s="253"/>
      <c r="D111" s="253"/>
      <c r="E111" s="169">
        <f t="shared" si="8"/>
        <v>0</v>
      </c>
    </row>
    <row r="113" spans="1:5" x14ac:dyDescent="0.25">
      <c r="A113" s="91" t="s">
        <v>1096</v>
      </c>
    </row>
    <row r="114" spans="1:5" x14ac:dyDescent="0.25">
      <c r="A114" s="273" t="s">
        <v>168</v>
      </c>
      <c r="B114" s="270" t="s">
        <v>617</v>
      </c>
      <c r="C114" s="271"/>
      <c r="D114" s="272"/>
      <c r="E114" s="273" t="s">
        <v>137</v>
      </c>
    </row>
    <row r="115" spans="1:5" x14ac:dyDescent="0.25">
      <c r="A115" s="274"/>
      <c r="B115" s="92" t="s">
        <v>134</v>
      </c>
      <c r="C115" s="92" t="s">
        <v>135</v>
      </c>
      <c r="D115" s="92" t="s">
        <v>136</v>
      </c>
      <c r="E115" s="274"/>
    </row>
    <row r="116" spans="1:5" ht="45" x14ac:dyDescent="0.25">
      <c r="A116" s="155" t="s">
        <v>1120</v>
      </c>
      <c r="B116" s="99"/>
      <c r="C116" s="99"/>
      <c r="D116" s="99"/>
      <c r="E116" s="169">
        <f>SUM(B116:D116)</f>
        <v>0</v>
      </c>
    </row>
    <row r="118" spans="1:5" x14ac:dyDescent="0.25">
      <c r="A118" s="101" t="s">
        <v>1097</v>
      </c>
    </row>
    <row r="119" spans="1:5" x14ac:dyDescent="0.25">
      <c r="A119" s="278" t="s">
        <v>574</v>
      </c>
      <c r="B119" s="275" t="s">
        <v>556</v>
      </c>
      <c r="C119" s="276"/>
      <c r="D119" s="277"/>
      <c r="E119" s="278" t="s">
        <v>137</v>
      </c>
    </row>
    <row r="120" spans="1:5" x14ac:dyDescent="0.25">
      <c r="A120" s="279"/>
      <c r="B120" s="152" t="s">
        <v>557</v>
      </c>
      <c r="C120" s="152" t="s">
        <v>558</v>
      </c>
      <c r="D120" s="152" t="s">
        <v>136</v>
      </c>
      <c r="E120" s="279"/>
    </row>
    <row r="121" spans="1:5" x14ac:dyDescent="0.25">
      <c r="A121" s="70">
        <v>1</v>
      </c>
      <c r="B121" s="70">
        <v>2</v>
      </c>
      <c r="C121" s="70">
        <v>3</v>
      </c>
      <c r="D121" s="70">
        <v>4</v>
      </c>
      <c r="E121" s="70">
        <v>5</v>
      </c>
    </row>
    <row r="122" spans="1:5" ht="30" x14ac:dyDescent="0.25">
      <c r="A122" s="63" t="s">
        <v>575</v>
      </c>
      <c r="B122" s="73"/>
      <c r="C122" s="73"/>
      <c r="D122" s="73"/>
      <c r="E122" s="85">
        <f>SUM(B122:D122)</f>
        <v>0</v>
      </c>
    </row>
    <row r="123" spans="1:5" ht="75" x14ac:dyDescent="0.25">
      <c r="A123" s="63" t="s">
        <v>576</v>
      </c>
      <c r="B123" s="73"/>
      <c r="C123" s="73"/>
      <c r="D123" s="73"/>
      <c r="E123" s="85">
        <f t="shared" ref="E123:E125" si="9">SUM(B123:D123)</f>
        <v>0</v>
      </c>
    </row>
    <row r="124" spans="1:5" ht="75" x14ac:dyDescent="0.25">
      <c r="A124" s="63" t="s">
        <v>577</v>
      </c>
      <c r="B124" s="73"/>
      <c r="C124" s="73"/>
      <c r="D124" s="73"/>
      <c r="E124" s="85">
        <f t="shared" si="9"/>
        <v>0</v>
      </c>
    </row>
    <row r="125" spans="1:5" ht="30" x14ac:dyDescent="0.25">
      <c r="A125" s="63" t="s">
        <v>578</v>
      </c>
      <c r="B125" s="73"/>
      <c r="C125" s="73"/>
      <c r="D125" s="73"/>
      <c r="E125" s="85">
        <f t="shared" si="9"/>
        <v>0</v>
      </c>
    </row>
    <row r="128" spans="1:5" x14ac:dyDescent="0.25">
      <c r="A128" s="101" t="s">
        <v>1098</v>
      </c>
    </row>
    <row r="129" spans="1:2" x14ac:dyDescent="0.25">
      <c r="A129" s="92" t="s">
        <v>168</v>
      </c>
      <c r="B129" s="92" t="s">
        <v>137</v>
      </c>
    </row>
    <row r="130" spans="1:2" ht="75" x14ac:dyDescent="0.25">
      <c r="A130" s="14" t="s">
        <v>299</v>
      </c>
      <c r="B130" s="99"/>
    </row>
    <row r="131" spans="1:2" ht="30" x14ac:dyDescent="0.25">
      <c r="A131" s="14" t="s">
        <v>300</v>
      </c>
      <c r="B131" s="99"/>
    </row>
    <row r="132" spans="1:2" ht="60" x14ac:dyDescent="0.25">
      <c r="A132" s="14" t="s">
        <v>312</v>
      </c>
      <c r="B132" s="99"/>
    </row>
    <row r="134" spans="1:2" x14ac:dyDescent="0.25">
      <c r="A134" s="101" t="s">
        <v>1099</v>
      </c>
    </row>
    <row r="135" spans="1:2" x14ac:dyDescent="0.25">
      <c r="A135" s="92" t="s">
        <v>168</v>
      </c>
      <c r="B135" s="92" t="s">
        <v>511</v>
      </c>
    </row>
    <row r="136" spans="1:2" x14ac:dyDescent="0.25">
      <c r="A136" s="136" t="s">
        <v>325</v>
      </c>
      <c r="B136" s="136"/>
    </row>
    <row r="137" spans="1:2" x14ac:dyDescent="0.25">
      <c r="A137" s="103" t="s">
        <v>315</v>
      </c>
      <c r="B137" s="102"/>
    </row>
    <row r="138" spans="1:2" x14ac:dyDescent="0.25">
      <c r="A138" s="103" t="s">
        <v>316</v>
      </c>
      <c r="B138" s="102"/>
    </row>
    <row r="139" spans="1:2" x14ac:dyDescent="0.25">
      <c r="A139" s="103" t="s">
        <v>317</v>
      </c>
      <c r="B139" s="102"/>
    </row>
    <row r="140" spans="1:2" x14ac:dyDescent="0.25">
      <c r="A140" s="103" t="s">
        <v>318</v>
      </c>
      <c r="B140" s="102"/>
    </row>
    <row r="141" spans="1:2" ht="18" x14ac:dyDescent="0.25">
      <c r="A141" s="104" t="s">
        <v>319</v>
      </c>
      <c r="B141" s="105">
        <f>IF((4*B137+3*B138+2*B139+B140)/4&gt;100%,0,(4*B137+3*B138+2*B139+B140)/4)</f>
        <v>0</v>
      </c>
    </row>
    <row r="142" spans="1:2" x14ac:dyDescent="0.25">
      <c r="A142" s="136" t="s">
        <v>326</v>
      </c>
      <c r="B142" s="136"/>
    </row>
    <row r="143" spans="1:2" x14ac:dyDescent="0.25">
      <c r="A143" s="103" t="s">
        <v>315</v>
      </c>
      <c r="B143" s="102"/>
    </row>
    <row r="144" spans="1:2" x14ac:dyDescent="0.25">
      <c r="A144" s="103" t="s">
        <v>316</v>
      </c>
      <c r="B144" s="102"/>
    </row>
    <row r="145" spans="1:2" x14ac:dyDescent="0.25">
      <c r="A145" s="103" t="s">
        <v>317</v>
      </c>
      <c r="B145" s="102"/>
    </row>
    <row r="146" spans="1:2" x14ac:dyDescent="0.25">
      <c r="A146" s="103" t="s">
        <v>318</v>
      </c>
      <c r="B146" s="102"/>
    </row>
    <row r="147" spans="1:2" ht="18" x14ac:dyDescent="0.25">
      <c r="A147" s="104" t="s">
        <v>320</v>
      </c>
      <c r="B147" s="105">
        <f>IF((4*B143+3*B144+2*B145+B146)/4&gt;100%,0,(4*B143+3*B144+2*B145+B146)/4)</f>
        <v>0</v>
      </c>
    </row>
    <row r="148" spans="1:2" x14ac:dyDescent="0.25">
      <c r="A148" s="136" t="s">
        <v>327</v>
      </c>
      <c r="B148" s="136"/>
    </row>
    <row r="149" spans="1:2" x14ac:dyDescent="0.25">
      <c r="A149" s="103" t="s">
        <v>315</v>
      </c>
      <c r="B149" s="102"/>
    </row>
    <row r="150" spans="1:2" x14ac:dyDescent="0.25">
      <c r="A150" s="103" t="s">
        <v>316</v>
      </c>
      <c r="B150" s="102"/>
    </row>
    <row r="151" spans="1:2" x14ac:dyDescent="0.25">
      <c r="A151" s="103" t="s">
        <v>317</v>
      </c>
      <c r="B151" s="102"/>
    </row>
    <row r="152" spans="1:2" x14ac:dyDescent="0.25">
      <c r="A152" s="103" t="s">
        <v>318</v>
      </c>
      <c r="B152" s="102"/>
    </row>
    <row r="153" spans="1:2" ht="18" x14ac:dyDescent="0.25">
      <c r="A153" s="104" t="s">
        <v>321</v>
      </c>
      <c r="B153" s="105">
        <f>IF((4*B149+3*B150+2*B151+B152)/4&gt;100%,0,(4*B149+3*B150+2*B151+B152)/4)</f>
        <v>0</v>
      </c>
    </row>
    <row r="154" spans="1:2" x14ac:dyDescent="0.25">
      <c r="A154" s="136" t="s">
        <v>328</v>
      </c>
      <c r="B154" s="136"/>
    </row>
    <row r="155" spans="1:2" x14ac:dyDescent="0.25">
      <c r="A155" s="103" t="s">
        <v>315</v>
      </c>
      <c r="B155" s="102"/>
    </row>
    <row r="156" spans="1:2" x14ac:dyDescent="0.25">
      <c r="A156" s="103" t="s">
        <v>316</v>
      </c>
      <c r="B156" s="102"/>
    </row>
    <row r="157" spans="1:2" x14ac:dyDescent="0.25">
      <c r="A157" s="103" t="s">
        <v>317</v>
      </c>
      <c r="B157" s="102"/>
    </row>
    <row r="158" spans="1:2" x14ac:dyDescent="0.25">
      <c r="A158" s="103" t="s">
        <v>318</v>
      </c>
      <c r="B158" s="102"/>
    </row>
    <row r="159" spans="1:2" ht="18" x14ac:dyDescent="0.25">
      <c r="A159" s="104" t="s">
        <v>322</v>
      </c>
      <c r="B159" s="105">
        <f>IF((4*B155+3*B156+2*B157+B158)/4&gt;100%,0,(4*B155+3*B156+2*B157+B158)/4)</f>
        <v>0</v>
      </c>
    </row>
    <row r="160" spans="1:2" x14ac:dyDescent="0.25">
      <c r="A160" s="136" t="s">
        <v>323</v>
      </c>
      <c r="B160" s="136"/>
    </row>
    <row r="161" spans="1:3" x14ac:dyDescent="0.25">
      <c r="A161" s="103" t="s">
        <v>315</v>
      </c>
      <c r="B161" s="102"/>
    </row>
    <row r="162" spans="1:3" x14ac:dyDescent="0.25">
      <c r="A162" s="103" t="s">
        <v>316</v>
      </c>
      <c r="B162" s="102"/>
    </row>
    <row r="163" spans="1:3" x14ac:dyDescent="0.25">
      <c r="A163" s="103" t="s">
        <v>317</v>
      </c>
      <c r="B163" s="102"/>
    </row>
    <row r="164" spans="1:3" x14ac:dyDescent="0.25">
      <c r="A164" s="103" t="s">
        <v>318</v>
      </c>
      <c r="B164" s="102"/>
    </row>
    <row r="165" spans="1:3" ht="18" x14ac:dyDescent="0.25">
      <c r="A165" s="104" t="s">
        <v>324</v>
      </c>
      <c r="B165" s="105">
        <f>IF((4*B161+3*B162+2*B163+B164)/4&gt;100%,0,(4*B161+3*B162+2*B163+B164)/4)</f>
        <v>0</v>
      </c>
    </row>
    <row r="167" spans="1:3" x14ac:dyDescent="0.25">
      <c r="A167" s="101" t="s">
        <v>1100</v>
      </c>
    </row>
    <row r="168" spans="1:3" x14ac:dyDescent="0.25">
      <c r="A168" s="92" t="s">
        <v>168</v>
      </c>
      <c r="B168" s="92" t="s">
        <v>137</v>
      </c>
    </row>
    <row r="169" spans="1:3" ht="90" x14ac:dyDescent="0.25">
      <c r="A169" s="14" t="s">
        <v>350</v>
      </c>
      <c r="B169" s="99"/>
    </row>
    <row r="170" spans="1:3" ht="45" x14ac:dyDescent="0.25">
      <c r="A170" s="14" t="s">
        <v>351</v>
      </c>
      <c r="B170" s="99"/>
    </row>
    <row r="171" spans="1:3" ht="45" x14ac:dyDescent="0.25">
      <c r="A171" s="14" t="s">
        <v>384</v>
      </c>
      <c r="B171" s="99"/>
    </row>
    <row r="172" spans="1:3" ht="45" x14ac:dyDescent="0.25">
      <c r="A172" s="14" t="s">
        <v>385</v>
      </c>
      <c r="B172" s="99"/>
    </row>
    <row r="174" spans="1:3" x14ac:dyDescent="0.25">
      <c r="A174" s="108" t="s">
        <v>1101</v>
      </c>
    </row>
    <row r="175" spans="1:3" x14ac:dyDescent="0.25">
      <c r="A175" s="68" t="s">
        <v>124</v>
      </c>
      <c r="B175" s="68" t="s">
        <v>389</v>
      </c>
      <c r="C175" s="68" t="s">
        <v>390</v>
      </c>
    </row>
    <row r="176" spans="1:3" x14ac:dyDescent="0.25">
      <c r="A176" s="70">
        <v>1</v>
      </c>
      <c r="B176" s="70">
        <v>2</v>
      </c>
      <c r="C176" s="70">
        <v>3</v>
      </c>
    </row>
    <row r="177" spans="1:4" x14ac:dyDescent="0.25">
      <c r="A177" s="72" t="s">
        <v>134</v>
      </c>
      <c r="B177" s="73"/>
      <c r="C177" s="109"/>
    </row>
    <row r="178" spans="1:4" x14ac:dyDescent="0.25">
      <c r="A178" s="72" t="s">
        <v>135</v>
      </c>
      <c r="B178" s="73"/>
      <c r="C178" s="109"/>
    </row>
    <row r="179" spans="1:4" x14ac:dyDescent="0.25">
      <c r="A179" s="72" t="s">
        <v>136</v>
      </c>
      <c r="B179" s="73"/>
      <c r="C179" s="109"/>
    </row>
    <row r="181" spans="1:4" x14ac:dyDescent="0.25">
      <c r="A181" s="254" t="s">
        <v>1102</v>
      </c>
      <c r="B181" s="135"/>
      <c r="C181" s="135"/>
      <c r="D181" s="135"/>
    </row>
    <row r="182" spans="1:4" x14ac:dyDescent="0.25">
      <c r="A182" s="278" t="s">
        <v>124</v>
      </c>
      <c r="B182" s="275" t="s">
        <v>407</v>
      </c>
      <c r="C182" s="276"/>
      <c r="D182" s="277"/>
    </row>
    <row r="183" spans="1:4" x14ac:dyDescent="0.25">
      <c r="A183" s="279"/>
      <c r="B183" s="68" t="s">
        <v>164</v>
      </c>
      <c r="C183" s="68" t="s">
        <v>163</v>
      </c>
      <c r="D183" s="68" t="s">
        <v>162</v>
      </c>
    </row>
    <row r="184" spans="1:4" x14ac:dyDescent="0.25">
      <c r="A184" s="70">
        <v>1</v>
      </c>
      <c r="B184" s="70">
        <v>2</v>
      </c>
      <c r="C184" s="70">
        <v>3</v>
      </c>
      <c r="D184" s="70">
        <v>3</v>
      </c>
    </row>
    <row r="185" spans="1:4" x14ac:dyDescent="0.25">
      <c r="A185" s="72" t="s">
        <v>134</v>
      </c>
      <c r="B185" s="109"/>
      <c r="C185" s="109"/>
      <c r="D185" s="109"/>
    </row>
    <row r="186" spans="1:4" x14ac:dyDescent="0.25">
      <c r="A186" s="72" t="s">
        <v>135</v>
      </c>
      <c r="B186" s="109"/>
      <c r="C186" s="109"/>
      <c r="D186" s="109"/>
    </row>
    <row r="187" spans="1:4" x14ac:dyDescent="0.25">
      <c r="A187" s="72" t="s">
        <v>136</v>
      </c>
      <c r="B187" s="109"/>
      <c r="C187" s="109"/>
      <c r="D187" s="109"/>
    </row>
    <row r="188" spans="1:4" x14ac:dyDescent="0.25">
      <c r="A188" s="76" t="s">
        <v>137</v>
      </c>
      <c r="B188" s="110">
        <f>SUM(B185:B187)</f>
        <v>0</v>
      </c>
      <c r="C188" s="110">
        <f t="shared" ref="C188:D188" si="10">SUM(C185:C187)</f>
        <v>0</v>
      </c>
      <c r="D188" s="110">
        <f t="shared" si="10"/>
        <v>0</v>
      </c>
    </row>
    <row r="190" spans="1:4" x14ac:dyDescent="0.25">
      <c r="A190" s="254" t="s">
        <v>1103</v>
      </c>
      <c r="B190" s="135"/>
      <c r="C190" s="135"/>
      <c r="D190" s="135"/>
    </row>
    <row r="191" spans="1:4" ht="15" customHeight="1" x14ac:dyDescent="0.25">
      <c r="A191" s="278" t="s">
        <v>124</v>
      </c>
      <c r="B191" s="275" t="s">
        <v>408</v>
      </c>
      <c r="C191" s="276"/>
      <c r="D191" s="277"/>
    </row>
    <row r="192" spans="1:4" x14ac:dyDescent="0.25">
      <c r="A192" s="279"/>
      <c r="B192" s="68" t="s">
        <v>164</v>
      </c>
      <c r="C192" s="68" t="s">
        <v>163</v>
      </c>
      <c r="D192" s="68" t="s">
        <v>162</v>
      </c>
    </row>
    <row r="193" spans="1:11" x14ac:dyDescent="0.25">
      <c r="A193" s="70">
        <v>1</v>
      </c>
      <c r="B193" s="70">
        <v>2</v>
      </c>
      <c r="C193" s="70">
        <v>3</v>
      </c>
      <c r="D193" s="70">
        <v>3</v>
      </c>
    </row>
    <row r="194" spans="1:11" x14ac:dyDescent="0.25">
      <c r="A194" s="72" t="s">
        <v>134</v>
      </c>
      <c r="B194" s="109"/>
      <c r="C194" s="109"/>
      <c r="D194" s="109"/>
    </row>
    <row r="195" spans="1:11" x14ac:dyDescent="0.25">
      <c r="A195" s="72" t="s">
        <v>135</v>
      </c>
      <c r="B195" s="109"/>
      <c r="C195" s="109"/>
      <c r="D195" s="109"/>
    </row>
    <row r="196" spans="1:11" x14ac:dyDescent="0.25">
      <c r="A196" s="72" t="s">
        <v>136</v>
      </c>
      <c r="B196" s="109"/>
      <c r="C196" s="109"/>
      <c r="D196" s="109"/>
    </row>
    <row r="197" spans="1:11" x14ac:dyDescent="0.25">
      <c r="A197" s="76" t="s">
        <v>137</v>
      </c>
      <c r="B197" s="110">
        <f>SUM(B194:B196)</f>
        <v>0</v>
      </c>
      <c r="C197" s="110">
        <f t="shared" ref="C197" si="11">SUM(C194:C196)</f>
        <v>0</v>
      </c>
      <c r="D197" s="110">
        <f t="shared" ref="D197" si="12">SUM(D194:D196)</f>
        <v>0</v>
      </c>
    </row>
    <row r="199" spans="1:11" x14ac:dyDescent="0.25">
      <c r="A199" s="101" t="s">
        <v>1104</v>
      </c>
    </row>
    <row r="200" spans="1:11" ht="30" customHeight="1" x14ac:dyDescent="0.25">
      <c r="A200" s="280" t="s">
        <v>419</v>
      </c>
      <c r="B200" s="280" t="s">
        <v>422</v>
      </c>
      <c r="C200" s="275" t="s">
        <v>432</v>
      </c>
      <c r="D200" s="276"/>
      <c r="E200" s="276"/>
      <c r="F200" s="276"/>
      <c r="G200" s="276"/>
      <c r="H200" s="276"/>
      <c r="I200" s="277"/>
      <c r="J200" s="280" t="s">
        <v>430</v>
      </c>
      <c r="K200" s="280" t="s">
        <v>431</v>
      </c>
    </row>
    <row r="201" spans="1:11" ht="30" customHeight="1" x14ac:dyDescent="0.25">
      <c r="A201" s="280"/>
      <c r="B201" s="280"/>
      <c r="C201" s="68" t="s">
        <v>423</v>
      </c>
      <c r="D201" s="68" t="s">
        <v>424</v>
      </c>
      <c r="E201" s="68" t="s">
        <v>425</v>
      </c>
      <c r="F201" s="68" t="s">
        <v>426</v>
      </c>
      <c r="G201" s="68" t="s">
        <v>427</v>
      </c>
      <c r="H201" s="68" t="s">
        <v>428</v>
      </c>
      <c r="I201" s="68" t="s">
        <v>429</v>
      </c>
      <c r="J201" s="280"/>
      <c r="K201" s="280"/>
    </row>
    <row r="202" spans="1:11" x14ac:dyDescent="0.25">
      <c r="A202" s="70">
        <v>1</v>
      </c>
      <c r="B202" s="70">
        <v>2</v>
      </c>
      <c r="C202" s="70">
        <v>3</v>
      </c>
      <c r="D202" s="70">
        <v>4</v>
      </c>
      <c r="E202" s="70">
        <v>5</v>
      </c>
      <c r="F202" s="70">
        <v>6</v>
      </c>
      <c r="G202" s="70">
        <v>7</v>
      </c>
      <c r="H202" s="70">
        <v>8</v>
      </c>
      <c r="I202" s="70">
        <v>9</v>
      </c>
      <c r="J202" s="70">
        <v>10</v>
      </c>
      <c r="K202" s="70">
        <v>11</v>
      </c>
    </row>
    <row r="203" spans="1:11" x14ac:dyDescent="0.25">
      <c r="A203" s="124" t="s">
        <v>420</v>
      </c>
      <c r="B203" s="73"/>
      <c r="C203" s="125"/>
      <c r="D203" s="125"/>
      <c r="E203" s="125"/>
      <c r="F203" s="73"/>
      <c r="G203" s="73"/>
      <c r="H203" s="73"/>
      <c r="I203" s="73"/>
      <c r="J203" s="85">
        <f>SUM(F203:I203)</f>
        <v>0</v>
      </c>
      <c r="K203" s="109"/>
    </row>
    <row r="204" spans="1:11" x14ac:dyDescent="0.25">
      <c r="A204" s="124" t="s">
        <v>421</v>
      </c>
      <c r="B204" s="73"/>
      <c r="C204" s="125"/>
      <c r="D204" s="125"/>
      <c r="E204" s="125"/>
      <c r="F204" s="125"/>
      <c r="G204" s="73"/>
      <c r="H204" s="73"/>
      <c r="I204" s="73"/>
      <c r="J204" s="85">
        <f>SUM(G204:I204)</f>
        <v>0</v>
      </c>
      <c r="K204" s="109"/>
    </row>
    <row r="205" spans="1:11" x14ac:dyDescent="0.25">
      <c r="A205" s="124" t="s">
        <v>132</v>
      </c>
      <c r="B205" s="73"/>
      <c r="C205" s="125"/>
      <c r="D205" s="125"/>
      <c r="E205" s="125"/>
      <c r="F205" s="125"/>
      <c r="G205" s="125"/>
      <c r="H205" s="73"/>
      <c r="I205" s="73"/>
      <c r="J205" s="85">
        <f>SUM(H205:I205)</f>
        <v>0</v>
      </c>
      <c r="K205" s="109"/>
    </row>
    <row r="206" spans="1:11" x14ac:dyDescent="0.25">
      <c r="A206" s="124" t="s">
        <v>133</v>
      </c>
      <c r="B206" s="73"/>
      <c r="C206" s="125"/>
      <c r="D206" s="125"/>
      <c r="E206" s="125"/>
      <c r="F206" s="125"/>
      <c r="G206" s="125"/>
      <c r="H206" s="125"/>
      <c r="I206" s="73"/>
      <c r="J206" s="85">
        <f>SUM(I206)</f>
        <v>0</v>
      </c>
      <c r="K206" s="109"/>
    </row>
    <row r="207" spans="1:11" x14ac:dyDescent="0.25">
      <c r="A207" s="76" t="s">
        <v>137</v>
      </c>
      <c r="B207" s="86">
        <f>SUM(B203:B206)</f>
        <v>0</v>
      </c>
      <c r="C207" s="125"/>
      <c r="D207" s="125"/>
      <c r="E207" s="125"/>
      <c r="F207" s="86">
        <f>SUM(F203:F206)</f>
        <v>0</v>
      </c>
      <c r="G207" s="86">
        <f t="shared" ref="G207:J207" si="13">SUM(G203:G206)</f>
        <v>0</v>
      </c>
      <c r="H207" s="86">
        <f t="shared" si="13"/>
        <v>0</v>
      </c>
      <c r="I207" s="86">
        <f t="shared" si="13"/>
        <v>0</v>
      </c>
      <c r="J207" s="86">
        <f t="shared" si="13"/>
        <v>0</v>
      </c>
      <c r="K207" s="86"/>
    </row>
    <row r="209" spans="1:6" x14ac:dyDescent="0.25">
      <c r="A209" s="101" t="s">
        <v>1105</v>
      </c>
    </row>
    <row r="210" spans="1:6" ht="30" customHeight="1" x14ac:dyDescent="0.25">
      <c r="A210" s="280" t="s">
        <v>491</v>
      </c>
      <c r="B210" s="280" t="s">
        <v>389</v>
      </c>
      <c r="C210" s="280" t="s">
        <v>448</v>
      </c>
      <c r="D210" s="280" t="s">
        <v>449</v>
      </c>
      <c r="E210" s="280"/>
      <c r="F210" s="280"/>
    </row>
    <row r="211" spans="1:6" ht="30" x14ac:dyDescent="0.25">
      <c r="A211" s="280"/>
      <c r="B211" s="280"/>
      <c r="C211" s="280"/>
      <c r="D211" s="126" t="s">
        <v>450</v>
      </c>
      <c r="E211" s="126" t="s">
        <v>452</v>
      </c>
      <c r="F211" s="126" t="s">
        <v>451</v>
      </c>
    </row>
    <row r="212" spans="1:6" x14ac:dyDescent="0.25">
      <c r="A212" s="70">
        <v>1</v>
      </c>
      <c r="B212" s="70">
        <v>2</v>
      </c>
      <c r="C212" s="70">
        <v>3</v>
      </c>
      <c r="D212" s="70">
        <v>4</v>
      </c>
      <c r="E212" s="70">
        <v>5</v>
      </c>
      <c r="F212" s="70">
        <v>6</v>
      </c>
    </row>
    <row r="213" spans="1:6" x14ac:dyDescent="0.25">
      <c r="A213" s="124" t="s">
        <v>132</v>
      </c>
      <c r="B213" s="73"/>
      <c r="C213" s="73"/>
      <c r="D213" s="73"/>
      <c r="E213" s="73"/>
      <c r="F213" s="73"/>
    </row>
    <row r="214" spans="1:6" x14ac:dyDescent="0.25">
      <c r="A214" s="124" t="s">
        <v>133</v>
      </c>
      <c r="B214" s="73"/>
      <c r="C214" s="73"/>
      <c r="D214" s="73"/>
      <c r="E214" s="73"/>
      <c r="F214" s="73"/>
    </row>
    <row r="215" spans="1:6" x14ac:dyDescent="0.25">
      <c r="A215" s="124" t="s">
        <v>134</v>
      </c>
      <c r="B215" s="73"/>
      <c r="C215" s="73"/>
      <c r="D215" s="73"/>
      <c r="E215" s="73"/>
      <c r="F215" s="73"/>
    </row>
    <row r="216" spans="1:6" x14ac:dyDescent="0.25">
      <c r="A216" s="76" t="s">
        <v>137</v>
      </c>
      <c r="B216" s="86">
        <f>SUM(B213:B215)</f>
        <v>0</v>
      </c>
      <c r="C216" s="86">
        <f t="shared" ref="C216:E216" si="14">SUM(C213:C215)</f>
        <v>0</v>
      </c>
      <c r="D216" s="86">
        <f t="shared" si="14"/>
        <v>0</v>
      </c>
      <c r="E216" s="86">
        <f t="shared" si="14"/>
        <v>0</v>
      </c>
      <c r="F216" s="86">
        <f>SUM(F213:F215)</f>
        <v>0</v>
      </c>
    </row>
    <row r="218" spans="1:6" x14ac:dyDescent="0.25">
      <c r="A218" s="101" t="s">
        <v>1106</v>
      </c>
    </row>
    <row r="219" spans="1:6" ht="30" customHeight="1" x14ac:dyDescent="0.25">
      <c r="A219" s="280" t="s">
        <v>491</v>
      </c>
      <c r="B219" s="280" t="s">
        <v>389</v>
      </c>
      <c r="C219" s="280" t="s">
        <v>448</v>
      </c>
      <c r="D219" s="280" t="s">
        <v>480</v>
      </c>
      <c r="E219" s="280"/>
      <c r="F219" s="280"/>
    </row>
    <row r="220" spans="1:6" x14ac:dyDescent="0.25">
      <c r="A220" s="280"/>
      <c r="B220" s="280"/>
      <c r="C220" s="280"/>
      <c r="D220" s="126" t="s">
        <v>481</v>
      </c>
      <c r="E220" s="126" t="s">
        <v>482</v>
      </c>
      <c r="F220" s="126" t="s">
        <v>483</v>
      </c>
    </row>
    <row r="221" spans="1:6" x14ac:dyDescent="0.25">
      <c r="A221" s="70">
        <v>1</v>
      </c>
      <c r="B221" s="70">
        <v>2</v>
      </c>
      <c r="C221" s="70">
        <v>3</v>
      </c>
      <c r="D221" s="70">
        <v>4</v>
      </c>
      <c r="E221" s="70">
        <v>5</v>
      </c>
      <c r="F221" s="70">
        <v>6</v>
      </c>
    </row>
    <row r="222" spans="1:6" x14ac:dyDescent="0.25">
      <c r="A222" s="124" t="s">
        <v>132</v>
      </c>
      <c r="B222" s="73"/>
      <c r="C222" s="73"/>
      <c r="D222" s="73"/>
      <c r="E222" s="73"/>
      <c r="F222" s="73"/>
    </row>
    <row r="223" spans="1:6" x14ac:dyDescent="0.25">
      <c r="A223" s="124" t="s">
        <v>133</v>
      </c>
      <c r="B223" s="73"/>
      <c r="C223" s="73"/>
      <c r="D223" s="73"/>
      <c r="E223" s="73"/>
      <c r="F223" s="73"/>
    </row>
    <row r="224" spans="1:6" x14ac:dyDescent="0.25">
      <c r="A224" s="124" t="s">
        <v>134</v>
      </c>
      <c r="B224" s="73"/>
      <c r="C224" s="73"/>
      <c r="D224" s="73"/>
      <c r="E224" s="73"/>
      <c r="F224" s="73"/>
    </row>
    <row r="225" spans="1:8" x14ac:dyDescent="0.25">
      <c r="A225" s="76" t="s">
        <v>137</v>
      </c>
      <c r="B225" s="86">
        <f>SUM(B222:B224)</f>
        <v>0</v>
      </c>
      <c r="C225" s="86">
        <f t="shared" ref="C225:E225" si="15">SUM(C222:C224)</f>
        <v>0</v>
      </c>
      <c r="D225" s="86">
        <f t="shared" si="15"/>
        <v>0</v>
      </c>
      <c r="E225" s="86">
        <f t="shared" si="15"/>
        <v>0</v>
      </c>
      <c r="F225" s="86">
        <f>SUM(F222:F224)</f>
        <v>0</v>
      </c>
    </row>
    <row r="227" spans="1:8" x14ac:dyDescent="0.25">
      <c r="A227" s="141" t="s">
        <v>1107</v>
      </c>
    </row>
    <row r="228" spans="1:8" ht="45" customHeight="1" x14ac:dyDescent="0.25">
      <c r="A228" s="280" t="s">
        <v>484</v>
      </c>
      <c r="B228" s="280" t="s">
        <v>485</v>
      </c>
      <c r="C228" s="280" t="s">
        <v>486</v>
      </c>
      <c r="D228" s="280" t="s">
        <v>487</v>
      </c>
      <c r="E228" s="280"/>
      <c r="F228" s="280"/>
    </row>
    <row r="229" spans="1:8" ht="60" x14ac:dyDescent="0.25">
      <c r="A229" s="280"/>
      <c r="B229" s="280"/>
      <c r="C229" s="280"/>
      <c r="D229" s="126" t="s">
        <v>488</v>
      </c>
      <c r="E229" s="126" t="s">
        <v>489</v>
      </c>
      <c r="F229" s="126" t="s">
        <v>490</v>
      </c>
    </row>
    <row r="230" spans="1:8" x14ac:dyDescent="0.25">
      <c r="A230" s="70">
        <v>1</v>
      </c>
      <c r="B230" s="70">
        <v>2</v>
      </c>
      <c r="C230" s="70">
        <v>3</v>
      </c>
      <c r="D230" s="70">
        <v>4</v>
      </c>
      <c r="E230" s="70">
        <v>5</v>
      </c>
      <c r="F230" s="70">
        <v>6</v>
      </c>
    </row>
    <row r="231" spans="1:8" x14ac:dyDescent="0.25">
      <c r="A231" s="124" t="s">
        <v>132</v>
      </c>
      <c r="B231" s="73"/>
      <c r="C231" s="73"/>
      <c r="D231" s="73"/>
      <c r="E231" s="73"/>
      <c r="F231" s="73"/>
    </row>
    <row r="232" spans="1:8" x14ac:dyDescent="0.25">
      <c r="A232" s="124" t="s">
        <v>133</v>
      </c>
      <c r="B232" s="73"/>
      <c r="C232" s="73"/>
      <c r="D232" s="73"/>
      <c r="E232" s="73"/>
      <c r="F232" s="73"/>
    </row>
    <row r="233" spans="1:8" x14ac:dyDescent="0.25">
      <c r="A233" s="124" t="s">
        <v>134</v>
      </c>
      <c r="B233" s="73"/>
      <c r="C233" s="73"/>
      <c r="D233" s="73"/>
      <c r="E233" s="73"/>
      <c r="F233" s="73"/>
    </row>
    <row r="234" spans="1:8" x14ac:dyDescent="0.25">
      <c r="A234" s="76" t="s">
        <v>137</v>
      </c>
      <c r="B234" s="86">
        <f>SUM(B231:B233)</f>
        <v>0</v>
      </c>
      <c r="C234" s="86">
        <f t="shared" ref="C234:E234" si="16">SUM(C231:C233)</f>
        <v>0</v>
      </c>
      <c r="D234" s="86">
        <f t="shared" si="16"/>
        <v>0</v>
      </c>
      <c r="E234" s="86">
        <f t="shared" si="16"/>
        <v>0</v>
      </c>
      <c r="F234" s="86">
        <f>SUM(F231:F233)</f>
        <v>0</v>
      </c>
    </row>
    <row r="236" spans="1:8" x14ac:dyDescent="0.25">
      <c r="A236" s="101" t="s">
        <v>1108</v>
      </c>
    </row>
    <row r="237" spans="1:8" ht="45" customHeight="1" x14ac:dyDescent="0.25">
      <c r="A237" s="278" t="s">
        <v>484</v>
      </c>
      <c r="B237" s="278" t="s">
        <v>485</v>
      </c>
      <c r="C237" s="278" t="s">
        <v>538</v>
      </c>
      <c r="D237" s="278" t="s">
        <v>507</v>
      </c>
      <c r="E237" s="275" t="s">
        <v>533</v>
      </c>
      <c r="F237" s="276"/>
      <c r="G237" s="276"/>
      <c r="H237" s="277"/>
    </row>
    <row r="238" spans="1:8" ht="30" customHeight="1" x14ac:dyDescent="0.25">
      <c r="A238" s="279"/>
      <c r="B238" s="279"/>
      <c r="C238" s="279"/>
      <c r="D238" s="279"/>
      <c r="E238" s="126" t="s">
        <v>534</v>
      </c>
      <c r="F238" s="126" t="s">
        <v>535</v>
      </c>
      <c r="G238" s="126" t="s">
        <v>536</v>
      </c>
      <c r="H238" s="126" t="s">
        <v>537</v>
      </c>
    </row>
    <row r="239" spans="1:8" x14ac:dyDescent="0.25">
      <c r="A239" s="70">
        <v>1</v>
      </c>
      <c r="B239" s="70">
        <v>2</v>
      </c>
      <c r="C239" s="70">
        <v>3</v>
      </c>
      <c r="D239" s="70">
        <v>4</v>
      </c>
      <c r="E239" s="70">
        <v>5</v>
      </c>
      <c r="F239" s="70">
        <v>6</v>
      </c>
      <c r="G239" s="70">
        <v>7</v>
      </c>
      <c r="H239" s="70">
        <v>8</v>
      </c>
    </row>
    <row r="240" spans="1:8" x14ac:dyDescent="0.25">
      <c r="A240" s="124" t="s">
        <v>132</v>
      </c>
      <c r="B240" s="73"/>
      <c r="C240" s="73"/>
      <c r="D240" s="143" t="s">
        <v>508</v>
      </c>
      <c r="E240" s="142"/>
      <c r="F240" s="142"/>
      <c r="G240" s="142"/>
      <c r="H240" s="142"/>
    </row>
    <row r="241" spans="1:8" ht="30" x14ac:dyDescent="0.25">
      <c r="A241" s="124" t="s">
        <v>133</v>
      </c>
      <c r="B241" s="73"/>
      <c r="C241" s="73"/>
      <c r="D241" s="143" t="s">
        <v>512</v>
      </c>
      <c r="E241" s="142"/>
      <c r="F241" s="142"/>
      <c r="G241" s="142"/>
      <c r="H241" s="142"/>
    </row>
    <row r="242" spans="1:8" ht="30" x14ac:dyDescent="0.25">
      <c r="A242" s="124" t="s">
        <v>134</v>
      </c>
      <c r="B242" s="73"/>
      <c r="C242" s="73"/>
      <c r="D242" s="143" t="s">
        <v>518</v>
      </c>
      <c r="E242" s="142"/>
      <c r="F242" s="142"/>
      <c r="G242" s="142"/>
      <c r="H242" s="142"/>
    </row>
    <row r="243" spans="1:8" ht="45" x14ac:dyDescent="0.25">
      <c r="A243" s="146"/>
      <c r="B243" s="146"/>
      <c r="C243" s="146"/>
      <c r="D243" s="143" t="s">
        <v>519</v>
      </c>
      <c r="E243" s="142"/>
      <c r="F243" s="142"/>
      <c r="G243" s="142"/>
      <c r="H243" s="142"/>
    </row>
    <row r="244" spans="1:8" ht="30" x14ac:dyDescent="0.25">
      <c r="A244" s="146"/>
      <c r="B244" s="146"/>
      <c r="C244" s="146"/>
      <c r="D244" s="143" t="s">
        <v>520</v>
      </c>
      <c r="E244" s="142"/>
      <c r="F244" s="142"/>
      <c r="G244" s="142"/>
      <c r="H244" s="142"/>
    </row>
    <row r="245" spans="1:8" x14ac:dyDescent="0.25">
      <c r="A245" s="146"/>
      <c r="B245" s="146"/>
      <c r="C245" s="146"/>
      <c r="D245" s="143" t="s">
        <v>509</v>
      </c>
      <c r="E245" s="142"/>
      <c r="F245" s="142"/>
      <c r="G245" s="142"/>
      <c r="H245" s="142"/>
    </row>
    <row r="246" spans="1:8" ht="30" x14ac:dyDescent="0.25">
      <c r="A246" s="146"/>
      <c r="B246" s="146"/>
      <c r="C246" s="146"/>
      <c r="D246" s="143" t="s">
        <v>510</v>
      </c>
      <c r="E246" s="142"/>
      <c r="F246" s="142"/>
      <c r="G246" s="142"/>
      <c r="H246" s="142"/>
    </row>
    <row r="248" spans="1:8" x14ac:dyDescent="0.25">
      <c r="A248" s="101" t="s">
        <v>1109</v>
      </c>
    </row>
    <row r="249" spans="1:8" x14ac:dyDescent="0.25">
      <c r="A249" s="278" t="s">
        <v>555</v>
      </c>
      <c r="B249" s="275" t="s">
        <v>556</v>
      </c>
      <c r="C249" s="276"/>
      <c r="D249" s="277"/>
      <c r="E249" s="278" t="s">
        <v>137</v>
      </c>
    </row>
    <row r="250" spans="1:8" x14ac:dyDescent="0.25">
      <c r="A250" s="279"/>
      <c r="B250" s="126" t="s">
        <v>557</v>
      </c>
      <c r="C250" s="126" t="s">
        <v>558</v>
      </c>
      <c r="D250" s="126" t="s">
        <v>136</v>
      </c>
      <c r="E250" s="279"/>
    </row>
    <row r="251" spans="1:8" x14ac:dyDescent="0.25">
      <c r="A251" s="70">
        <v>1</v>
      </c>
      <c r="B251" s="70">
        <v>2</v>
      </c>
      <c r="C251" s="70">
        <v>3</v>
      </c>
      <c r="D251" s="70">
        <v>4</v>
      </c>
      <c r="E251" s="70">
        <v>5</v>
      </c>
    </row>
    <row r="252" spans="1:8" ht="45" x14ac:dyDescent="0.25">
      <c r="A252" s="63" t="s">
        <v>559</v>
      </c>
      <c r="B252" s="73"/>
      <c r="C252" s="73"/>
      <c r="D252" s="73"/>
      <c r="E252" s="85">
        <f>SUM(B252:D252)</f>
        <v>0</v>
      </c>
    </row>
    <row r="253" spans="1:8" ht="30" x14ac:dyDescent="0.25">
      <c r="A253" s="63" t="s">
        <v>560</v>
      </c>
      <c r="B253" s="73"/>
      <c r="C253" s="73"/>
      <c r="D253" s="73"/>
      <c r="E253" s="85">
        <f t="shared" ref="E253:E255" si="17">SUM(B253:D253)</f>
        <v>0</v>
      </c>
    </row>
    <row r="254" spans="1:8" ht="30" x14ac:dyDescent="0.25">
      <c r="A254" s="63" t="s">
        <v>561</v>
      </c>
      <c r="B254" s="73"/>
      <c r="C254" s="73"/>
      <c r="D254" s="73"/>
      <c r="E254" s="85">
        <f t="shared" si="17"/>
        <v>0</v>
      </c>
    </row>
    <row r="255" spans="1:8" ht="30" x14ac:dyDescent="0.25">
      <c r="A255" s="63" t="s">
        <v>562</v>
      </c>
      <c r="B255" s="73"/>
      <c r="C255" s="73"/>
      <c r="D255" s="73"/>
      <c r="E255" s="85">
        <f t="shared" si="17"/>
        <v>0</v>
      </c>
    </row>
    <row r="256" spans="1:8" ht="30" x14ac:dyDescent="0.25">
      <c r="A256" s="63" t="s">
        <v>563</v>
      </c>
      <c r="B256" s="73"/>
      <c r="C256" s="73"/>
      <c r="D256" s="73"/>
      <c r="E256" s="85">
        <f t="shared" ref="E256:E261" si="18">SUM(B256:D256)</f>
        <v>0</v>
      </c>
    </row>
    <row r="257" spans="1:5" x14ac:dyDescent="0.25">
      <c r="A257" s="63" t="s">
        <v>564</v>
      </c>
      <c r="B257" s="73"/>
      <c r="C257" s="73"/>
      <c r="D257" s="73"/>
      <c r="E257" s="85">
        <f t="shared" si="18"/>
        <v>0</v>
      </c>
    </row>
    <row r="258" spans="1:5" x14ac:dyDescent="0.25">
      <c r="A258" s="63" t="s">
        <v>565</v>
      </c>
      <c r="B258" s="73"/>
      <c r="C258" s="73"/>
      <c r="D258" s="73"/>
      <c r="E258" s="85">
        <f t="shared" si="18"/>
        <v>0</v>
      </c>
    </row>
    <row r="259" spans="1:5" ht="30" x14ac:dyDescent="0.25">
      <c r="A259" s="63" t="s">
        <v>566</v>
      </c>
      <c r="B259" s="73"/>
      <c r="C259" s="73"/>
      <c r="D259" s="73"/>
      <c r="E259" s="85">
        <f t="shared" si="18"/>
        <v>0</v>
      </c>
    </row>
    <row r="260" spans="1:5" ht="30" x14ac:dyDescent="0.25">
      <c r="A260" s="63" t="s">
        <v>567</v>
      </c>
      <c r="B260" s="73"/>
      <c r="C260" s="73"/>
      <c r="D260" s="73"/>
      <c r="E260" s="85">
        <f t="shared" si="18"/>
        <v>0</v>
      </c>
    </row>
    <row r="261" spans="1:5" ht="30" x14ac:dyDescent="0.25">
      <c r="A261" s="63" t="s">
        <v>568</v>
      </c>
      <c r="B261" s="73"/>
      <c r="C261" s="73"/>
      <c r="D261" s="73"/>
      <c r="E261" s="85">
        <f t="shared" si="18"/>
        <v>0</v>
      </c>
    </row>
    <row r="263" spans="1:5" x14ac:dyDescent="0.25">
      <c r="A263" s="101" t="s">
        <v>1110</v>
      </c>
    </row>
    <row r="264" spans="1:5" x14ac:dyDescent="0.25">
      <c r="A264" s="278" t="s">
        <v>574</v>
      </c>
      <c r="B264" s="275" t="s">
        <v>556</v>
      </c>
      <c r="C264" s="276"/>
      <c r="D264" s="277"/>
      <c r="E264" s="278" t="s">
        <v>137</v>
      </c>
    </row>
    <row r="265" spans="1:5" x14ac:dyDescent="0.25">
      <c r="A265" s="279"/>
      <c r="B265" s="126" t="s">
        <v>557</v>
      </c>
      <c r="C265" s="126" t="s">
        <v>558</v>
      </c>
      <c r="D265" s="126" t="s">
        <v>136</v>
      </c>
      <c r="E265" s="279"/>
    </row>
    <row r="266" spans="1:5" x14ac:dyDescent="0.25">
      <c r="A266" s="70">
        <v>1</v>
      </c>
      <c r="B266" s="70">
        <v>2</v>
      </c>
      <c r="C266" s="70">
        <v>3</v>
      </c>
      <c r="D266" s="70">
        <v>4</v>
      </c>
      <c r="E266" s="70">
        <v>5</v>
      </c>
    </row>
    <row r="267" spans="1:5" ht="30" x14ac:dyDescent="0.25">
      <c r="A267" s="63" t="s">
        <v>575</v>
      </c>
      <c r="B267" s="73"/>
      <c r="C267" s="73"/>
      <c r="D267" s="73"/>
      <c r="E267" s="85">
        <f>SUM(B267:D267)</f>
        <v>0</v>
      </c>
    </row>
    <row r="268" spans="1:5" ht="75" x14ac:dyDescent="0.25">
      <c r="A268" s="63" t="s">
        <v>576</v>
      </c>
      <c r="B268" s="73"/>
      <c r="C268" s="73"/>
      <c r="D268" s="73"/>
      <c r="E268" s="85">
        <f t="shared" ref="E268:E270" si="19">SUM(B268:D268)</f>
        <v>0</v>
      </c>
    </row>
    <row r="269" spans="1:5" ht="75" x14ac:dyDescent="0.25">
      <c r="A269" s="63" t="s">
        <v>577</v>
      </c>
      <c r="B269" s="73"/>
      <c r="C269" s="73"/>
      <c r="D269" s="73"/>
      <c r="E269" s="85">
        <f t="shared" si="19"/>
        <v>0</v>
      </c>
    </row>
    <row r="270" spans="1:5" ht="30" x14ac:dyDescent="0.25">
      <c r="A270" s="63" t="s">
        <v>578</v>
      </c>
      <c r="B270" s="73"/>
      <c r="C270" s="73"/>
      <c r="D270" s="73"/>
      <c r="E270" s="85">
        <f t="shared" si="19"/>
        <v>0</v>
      </c>
    </row>
  </sheetData>
  <mergeCells count="80">
    <mergeCell ref="B210:B211"/>
    <mergeCell ref="C210:C211"/>
    <mergeCell ref="D210:F210"/>
    <mergeCell ref="A210:A211"/>
    <mergeCell ref="A100:A101"/>
    <mergeCell ref="J200:J201"/>
    <mergeCell ref="K200:K201"/>
    <mergeCell ref="A200:A201"/>
    <mergeCell ref="B200:B201"/>
    <mergeCell ref="A6:B6"/>
    <mergeCell ref="C200:I200"/>
    <mergeCell ref="A67:A72"/>
    <mergeCell ref="A57:B57"/>
    <mergeCell ref="A58:B58"/>
    <mergeCell ref="A59:B59"/>
    <mergeCell ref="A60:B60"/>
    <mergeCell ref="A61:B61"/>
    <mergeCell ref="A62:B62"/>
    <mergeCell ref="A63:B63"/>
    <mergeCell ref="A64:B64"/>
    <mergeCell ref="A5:B5"/>
    <mergeCell ref="A7:B7"/>
    <mergeCell ref="A182:A183"/>
    <mergeCell ref="A191:A192"/>
    <mergeCell ref="E27:F27"/>
    <mergeCell ref="A8:B8"/>
    <mergeCell ref="B86:D86"/>
    <mergeCell ref="A86:A87"/>
    <mergeCell ref="E86:E87"/>
    <mergeCell ref="A93:A94"/>
    <mergeCell ref="B93:D93"/>
    <mergeCell ref="E93:E94"/>
    <mergeCell ref="B191:D191"/>
    <mergeCell ref="A65:B65"/>
    <mergeCell ref="A66:B66"/>
    <mergeCell ref="A1:H1"/>
    <mergeCell ref="A10:E10"/>
    <mergeCell ref="A47:B47"/>
    <mergeCell ref="A37:C37"/>
    <mergeCell ref="B13:B15"/>
    <mergeCell ref="B17:B19"/>
    <mergeCell ref="B21:B23"/>
    <mergeCell ref="A24:B24"/>
    <mergeCell ref="A16:B16"/>
    <mergeCell ref="A20:B20"/>
    <mergeCell ref="G35:H35"/>
    <mergeCell ref="A26:H26"/>
    <mergeCell ref="G27:H27"/>
    <mergeCell ref="A27:A28"/>
    <mergeCell ref="B27:B28"/>
    <mergeCell ref="C27:D27"/>
    <mergeCell ref="B219:B220"/>
    <mergeCell ref="C219:C220"/>
    <mergeCell ref="D219:F219"/>
    <mergeCell ref="A264:A265"/>
    <mergeCell ref="E264:E265"/>
    <mergeCell ref="A237:A238"/>
    <mergeCell ref="B237:B238"/>
    <mergeCell ref="C237:C238"/>
    <mergeCell ref="D237:D238"/>
    <mergeCell ref="E237:H237"/>
    <mergeCell ref="A249:A250"/>
    <mergeCell ref="E249:E250"/>
    <mergeCell ref="B249:D249"/>
    <mergeCell ref="A3:M3"/>
    <mergeCell ref="B100:D100"/>
    <mergeCell ref="E100:E101"/>
    <mergeCell ref="B264:D264"/>
    <mergeCell ref="A114:A115"/>
    <mergeCell ref="B114:D114"/>
    <mergeCell ref="E114:E115"/>
    <mergeCell ref="A119:A120"/>
    <mergeCell ref="B119:D119"/>
    <mergeCell ref="E119:E120"/>
    <mergeCell ref="B182:D182"/>
    <mergeCell ref="A228:A229"/>
    <mergeCell ref="B228:B229"/>
    <mergeCell ref="C228:C229"/>
    <mergeCell ref="D228:F228"/>
    <mergeCell ref="A219:A220"/>
  </mergeCells>
  <dataValidations xWindow="631" yWindow="333" count="8">
    <dataValidation allowBlank="1" showInputMessage="1" showErrorMessage="1" promptTitle="Penjelasan" prompt="Bukti Kerjasama berupa : _x000a_Surat Penugasan, Surat Perjanjian Kerjasama (SPK), Bukti Pelaksanaan (laporan, hasil kerjasama, luaran kerjasama)_x000a_Dokumen Memorandum of Understanding (MoU) dan Memorandum of Agreement (MoA) tidak dapat dijadikan bukti kerjasama" sqref="A10:E10 C13:E13"/>
    <dataValidation allowBlank="1" showInputMessage="1" showErrorMessage="1" promptTitle="Penjelasan" prompt="TS = Tahun akademik penuh terakhir (2019/2020)" sqref="A26:H26 B34 B203"/>
    <dataValidation allowBlank="1" showInputMessage="1" showErrorMessage="1" promptTitle="Penjelasan" prompt="Mahasiswa asing dapat terdaftar secara penuh waktu (full time) atau paruh waktu (part time). Mahasiswa asing part time misal : mahasiswa yang mengikuti pertukaran studi (student exchange), credit earning." sqref="A37:C37 C44"/>
    <dataValidation allowBlank="1" showInputMessage="1" showErrorMessage="1" promptTitle="Penjelasan" prompt="Rekognisi dosen dihitung per DTPS. 1 DTPS hanya bisa dihitung di salah satu rekognisi. Bisa memilih a, b, c, d, atau e" sqref="C67"/>
    <dataValidation allowBlank="1" showInputMessage="1" showErrorMessage="1" promptTitle="Penjelasan" prompt="DTPS : Dosen homebase dan dosen prodi lain yang mengajar mata kuliah inti prodi" sqref="A59:C59"/>
    <dataValidation allowBlank="1" showInputMessage="1" showErrorMessage="1" promptTitle="Penjelasan" prompt="Jurnal terdaftar di SINTA 1 - 6" sqref="A103"/>
    <dataValidation type="list" allowBlank="1" showInputMessage="1" showErrorMessage="1" promptTitle="Keterangan" prompt="1 : Tinggi_x000a_2 : Rendah" sqref="C8">
      <formula1>"1,2"</formula1>
    </dataValidation>
    <dataValidation type="list" allowBlank="1" showInputMessage="1" showErrorMessage="1" promptTitle="Keterangan" prompt="1 : Prodi sains teknologi_x000a_2 : Prodi sosial humaniora" sqref="C7">
      <formula1>"1,2"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54"/>
  <sheetViews>
    <sheetView tabSelected="1" topLeftCell="E5" zoomScaleNormal="100" workbookViewId="0">
      <selection activeCell="F8" sqref="F8:F13"/>
    </sheetView>
  </sheetViews>
  <sheetFormatPr defaultRowHeight="15" x14ac:dyDescent="0.25"/>
  <cols>
    <col min="1" max="1" width="6.42578125" customWidth="1"/>
    <col min="2" max="2" width="12.42578125" customWidth="1"/>
    <col min="3" max="3" width="5.28515625" customWidth="1"/>
    <col min="4" max="4" width="58.5703125" customWidth="1"/>
    <col min="5" max="5" width="36" customWidth="1"/>
    <col min="6" max="7" width="32.7109375" customWidth="1"/>
    <col min="8" max="8" width="16.28515625" customWidth="1"/>
    <col min="9" max="9" width="12.28515625" bestFit="1" customWidth="1"/>
    <col min="10" max="10" width="12.7109375" customWidth="1"/>
    <col min="11" max="11" width="15.5703125" customWidth="1"/>
    <col min="12" max="12" width="41.7109375" customWidth="1"/>
    <col min="13" max="13" width="41.7109375" style="9" customWidth="1"/>
    <col min="16" max="24" width="9.140625" hidden="1" customWidth="1"/>
  </cols>
  <sheetData>
    <row r="1" spans="1:30" ht="15.75" x14ac:dyDescent="0.25">
      <c r="A1" s="343" t="s">
        <v>995</v>
      </c>
      <c r="B1" s="343"/>
      <c r="C1" s="343"/>
      <c r="D1" s="343"/>
      <c r="E1" s="343"/>
      <c r="F1" s="343"/>
      <c r="G1" s="343"/>
      <c r="H1" s="343"/>
      <c r="I1" s="343"/>
      <c r="J1" s="343"/>
      <c r="K1" s="343"/>
      <c r="L1" s="343"/>
      <c r="M1" s="343"/>
    </row>
    <row r="2" spans="1:30" ht="15.75" x14ac:dyDescent="0.25">
      <c r="A2" s="343" t="s">
        <v>0</v>
      </c>
      <c r="B2" s="343"/>
      <c r="C2" s="343"/>
      <c r="D2" s="343"/>
      <c r="E2" s="343"/>
      <c r="F2" s="343"/>
      <c r="G2" s="343"/>
      <c r="H2" s="343"/>
      <c r="I2" s="343"/>
      <c r="J2" s="343"/>
      <c r="K2" s="343"/>
      <c r="L2" s="343"/>
      <c r="M2" s="343"/>
    </row>
    <row r="3" spans="1:30" ht="15.75" x14ac:dyDescent="0.25">
      <c r="A3" s="1"/>
      <c r="B3" s="1"/>
      <c r="C3" s="1"/>
      <c r="D3" s="1"/>
      <c r="E3" s="1"/>
      <c r="F3" s="1"/>
      <c r="G3" s="1"/>
      <c r="H3" s="1"/>
      <c r="I3" s="1"/>
      <c r="J3" s="1"/>
      <c r="K3" s="1"/>
      <c r="M3"/>
    </row>
    <row r="4" spans="1:30" ht="15.75" x14ac:dyDescent="0.25">
      <c r="A4" s="344" t="s">
        <v>1123</v>
      </c>
      <c r="B4" s="344"/>
      <c r="C4" s="344"/>
      <c r="D4" s="344"/>
      <c r="E4" s="344"/>
      <c r="F4" s="344"/>
      <c r="G4" s="344"/>
      <c r="H4" s="344"/>
      <c r="I4" s="344"/>
      <c r="J4" s="344"/>
      <c r="K4" s="344"/>
      <c r="L4" s="344"/>
      <c r="M4" s="344"/>
    </row>
    <row r="5" spans="1:30" x14ac:dyDescent="0.25">
      <c r="A5" s="2"/>
      <c r="B5" s="3"/>
      <c r="C5" s="3"/>
      <c r="D5" s="4"/>
      <c r="E5" s="4"/>
      <c r="F5" s="4"/>
      <c r="G5" s="4"/>
      <c r="H5" s="4"/>
      <c r="I5" s="4"/>
      <c r="J5" s="4"/>
      <c r="K5" s="3"/>
      <c r="M5"/>
    </row>
    <row r="6" spans="1:30" ht="15" customHeight="1" x14ac:dyDescent="0.25">
      <c r="A6" s="413" t="s">
        <v>1</v>
      </c>
      <c r="B6" s="413" t="s">
        <v>690</v>
      </c>
      <c r="C6" s="414" t="s">
        <v>2</v>
      </c>
      <c r="D6" s="415"/>
      <c r="E6" s="413" t="s">
        <v>6</v>
      </c>
      <c r="F6" s="413" t="s">
        <v>165</v>
      </c>
      <c r="G6" s="413" t="s">
        <v>780</v>
      </c>
      <c r="H6" s="413"/>
      <c r="I6" s="413"/>
      <c r="J6" s="413"/>
      <c r="K6" s="413" t="s">
        <v>1077</v>
      </c>
      <c r="L6" s="413" t="s">
        <v>1075</v>
      </c>
      <c r="M6" s="413" t="s">
        <v>1076</v>
      </c>
    </row>
    <row r="7" spans="1:30" ht="30" x14ac:dyDescent="0.25">
      <c r="A7" s="413"/>
      <c r="B7" s="413"/>
      <c r="C7" s="416"/>
      <c r="D7" s="417"/>
      <c r="E7" s="413"/>
      <c r="F7" s="413"/>
      <c r="G7" s="84" t="s">
        <v>779</v>
      </c>
      <c r="H7" s="84" t="s">
        <v>918</v>
      </c>
      <c r="I7" s="84" t="s">
        <v>919</v>
      </c>
      <c r="J7" s="84" t="s">
        <v>778</v>
      </c>
      <c r="K7" s="413"/>
      <c r="L7" s="413"/>
      <c r="M7" s="413"/>
      <c r="Z7" s="242"/>
      <c r="AA7" s="242"/>
      <c r="AB7" s="242"/>
      <c r="AC7" s="242"/>
      <c r="AD7" s="216"/>
    </row>
    <row r="8" spans="1:30" ht="45" customHeight="1" x14ac:dyDescent="0.25">
      <c r="A8" s="395">
        <v>1</v>
      </c>
      <c r="B8" s="348" t="s">
        <v>697</v>
      </c>
      <c r="C8" s="291" t="s">
        <v>691</v>
      </c>
      <c r="D8" s="291"/>
      <c r="E8" s="310" t="s">
        <v>1063</v>
      </c>
      <c r="F8" s="301" t="s">
        <v>993</v>
      </c>
      <c r="G8" s="301" t="s">
        <v>994</v>
      </c>
      <c r="H8" s="203" t="s">
        <v>964</v>
      </c>
      <c r="I8" s="203">
        <v>4</v>
      </c>
      <c r="J8" s="212" t="str">
        <f>IF((IF(OR((H8&amp;"."&amp;I8)=$R$8,(H8&amp;"."&amp;I8)=$S$8,(H8&amp;"."&amp;I8)=$T$8,(H8&amp;"."&amp;I8)=$U$8,(H8&amp;"."&amp;I8)=$V$8,(H8&amp;"."&amp;I8)=$W$8),1,0))=1,"EKSTREM",IF((IF(OR((H8&amp;"."&amp;I8)=$R$9,(H8&amp;"."&amp;I8)=$S$9,(H8&amp;"."&amp;I8)=$T$9,(H8&amp;"."&amp;I8)=$U$9,(H8&amp;"."&amp;I8)=$V$9,(H8&amp;"."&amp;I8)=$W$9,(H8&amp;"."&amp;I8)=$X$9),1,0))=1,"TINGGI",IF((IF(OR((H8&amp;"."&amp;I8)=$R$10,(H8&amp;"."&amp;I8)=$S$10,(H8&amp;"."&amp;I8)=$T$10,(H8&amp;"."&amp;I8)=$U$10,(H8&amp;"."&amp;I8)=$V$10,(H8&amp;"."&amp;I8)=$W$10),1,0))=1,"MODERAT",IF((IF(OR((H8&amp;"."&amp;I8)=$R$11,(H8&amp;"."&amp;I8)=$S$11,(H8&amp;"."&amp;I8)=$T$11,(H8&amp;"."&amp;I8)=$U$11,(H8&amp;"."&amp;I8)=$V$11,(H8&amp;"."&amp;I8)=$W$11),1,0))=1,"RENDAH","-"))))</f>
        <v>TINGGI</v>
      </c>
      <c r="K8" s="10">
        <v>3</v>
      </c>
      <c r="L8" s="354" t="s">
        <v>1126</v>
      </c>
      <c r="M8" s="354" t="s">
        <v>1127</v>
      </c>
      <c r="P8" s="204" t="s">
        <v>920</v>
      </c>
      <c r="Q8" s="205" t="s">
        <v>921</v>
      </c>
      <c r="R8" s="204" t="s">
        <v>928</v>
      </c>
      <c r="S8" s="204" t="s">
        <v>929</v>
      </c>
      <c r="T8" s="204" t="s">
        <v>930</v>
      </c>
      <c r="U8" s="204" t="s">
        <v>931</v>
      </c>
      <c r="V8" s="204" t="s">
        <v>932</v>
      </c>
      <c r="W8" s="204" t="s">
        <v>933</v>
      </c>
      <c r="X8" s="204"/>
      <c r="Z8" s="216"/>
      <c r="AA8" s="216"/>
      <c r="AB8" s="216"/>
      <c r="AC8" s="216"/>
      <c r="AD8" s="216"/>
    </row>
    <row r="9" spans="1:30" ht="165" x14ac:dyDescent="0.25">
      <c r="A9" s="396"/>
      <c r="B9" s="349"/>
      <c r="C9" s="8">
        <v>4</v>
      </c>
      <c r="D9" s="5" t="s">
        <v>692</v>
      </c>
      <c r="E9" s="313"/>
      <c r="F9" s="302"/>
      <c r="G9" s="302"/>
      <c r="H9" s="297"/>
      <c r="I9" s="297"/>
      <c r="J9" s="297"/>
      <c r="K9" s="297"/>
      <c r="L9" s="355"/>
      <c r="M9" s="355"/>
      <c r="P9" s="206" t="s">
        <v>922</v>
      </c>
      <c r="Q9" s="207" t="s">
        <v>923</v>
      </c>
      <c r="R9" s="206" t="s">
        <v>934</v>
      </c>
      <c r="S9" s="206" t="s">
        <v>935</v>
      </c>
      <c r="T9" s="206" t="s">
        <v>936</v>
      </c>
      <c r="U9" s="206" t="s">
        <v>937</v>
      </c>
      <c r="V9" s="206" t="s">
        <v>938</v>
      </c>
      <c r="W9" s="206" t="s">
        <v>939</v>
      </c>
      <c r="X9" s="206" t="s">
        <v>940</v>
      </c>
    </row>
    <row r="10" spans="1:30" ht="120" customHeight="1" x14ac:dyDescent="0.25">
      <c r="A10" s="396"/>
      <c r="B10" s="349"/>
      <c r="C10" s="8">
        <v>3</v>
      </c>
      <c r="D10" s="5" t="s">
        <v>693</v>
      </c>
      <c r="E10" s="313"/>
      <c r="F10" s="302"/>
      <c r="G10" s="302"/>
      <c r="H10" s="298"/>
      <c r="I10" s="298"/>
      <c r="J10" s="298"/>
      <c r="K10" s="298"/>
      <c r="L10" s="355"/>
      <c r="M10" s="355"/>
      <c r="P10" s="208" t="s">
        <v>924</v>
      </c>
      <c r="Q10" s="209" t="s">
        <v>925</v>
      </c>
      <c r="R10" s="208" t="s">
        <v>941</v>
      </c>
      <c r="S10" s="208" t="s">
        <v>942</v>
      </c>
      <c r="T10" s="208" t="s">
        <v>943</v>
      </c>
      <c r="U10" s="208" t="s">
        <v>944</v>
      </c>
      <c r="V10" s="208" t="s">
        <v>945</v>
      </c>
      <c r="W10" s="208" t="s">
        <v>946</v>
      </c>
      <c r="X10" s="208"/>
    </row>
    <row r="11" spans="1:30" ht="75" customHeight="1" x14ac:dyDescent="0.25">
      <c r="A11" s="396"/>
      <c r="B11" s="349"/>
      <c r="C11" s="8">
        <v>2</v>
      </c>
      <c r="D11" s="5" t="s">
        <v>694</v>
      </c>
      <c r="E11" s="313"/>
      <c r="F11" s="302"/>
      <c r="G11" s="302"/>
      <c r="H11" s="298"/>
      <c r="I11" s="298"/>
      <c r="J11" s="298"/>
      <c r="K11" s="298"/>
      <c r="L11" s="355"/>
      <c r="M11" s="355"/>
      <c r="P11" s="210" t="s">
        <v>926</v>
      </c>
      <c r="Q11" s="211" t="s">
        <v>927</v>
      </c>
      <c r="R11" s="210" t="s">
        <v>947</v>
      </c>
      <c r="S11" s="210" t="s">
        <v>948</v>
      </c>
      <c r="T11" s="210" t="s">
        <v>949</v>
      </c>
      <c r="U11" s="210" t="s">
        <v>950</v>
      </c>
      <c r="V11" s="210" t="s">
        <v>951</v>
      </c>
      <c r="W11" s="210" t="s">
        <v>952</v>
      </c>
      <c r="X11" s="210"/>
    </row>
    <row r="12" spans="1:30" ht="75" customHeight="1" x14ac:dyDescent="0.25">
      <c r="A12" s="396"/>
      <c r="B12" s="349"/>
      <c r="C12" s="8">
        <v>1</v>
      </c>
      <c r="D12" s="5" t="s">
        <v>695</v>
      </c>
      <c r="E12" s="313"/>
      <c r="F12" s="302"/>
      <c r="G12" s="302"/>
      <c r="H12" s="298"/>
      <c r="I12" s="298"/>
      <c r="J12" s="298"/>
      <c r="K12" s="298"/>
      <c r="L12" s="355"/>
      <c r="M12" s="355"/>
    </row>
    <row r="13" spans="1:30" ht="75" customHeight="1" x14ac:dyDescent="0.25">
      <c r="A13" s="396"/>
      <c r="B13" s="349"/>
      <c r="C13" s="8">
        <v>0</v>
      </c>
      <c r="D13" s="5" t="s">
        <v>696</v>
      </c>
      <c r="E13" s="314"/>
      <c r="F13" s="303"/>
      <c r="G13" s="303"/>
      <c r="H13" s="299"/>
      <c r="I13" s="299"/>
      <c r="J13" s="299"/>
      <c r="K13" s="299"/>
      <c r="L13" s="355"/>
      <c r="M13" s="355"/>
    </row>
    <row r="14" spans="1:30" x14ac:dyDescent="0.25">
      <c r="A14" s="397"/>
      <c r="B14" s="350"/>
      <c r="C14" s="323" t="s">
        <v>7</v>
      </c>
      <c r="D14" s="324"/>
      <c r="E14" s="324"/>
      <c r="F14" s="325"/>
      <c r="G14" s="186"/>
      <c r="H14" s="11"/>
      <c r="I14" s="11"/>
      <c r="J14" s="11">
        <f t="shared" ref="J14" si="0">IF(OR(ISBLANK(J8),J8&lt;0,J8&gt;4),0,J8)</f>
        <v>0</v>
      </c>
      <c r="K14" s="11">
        <f>IF(OR(ISBLANK(K8),K8&lt;0,K8&gt;4),0,K8)</f>
        <v>3</v>
      </c>
      <c r="L14" s="356"/>
      <c r="M14" s="356"/>
    </row>
    <row r="15" spans="1:30" x14ac:dyDescent="0.25">
      <c r="M15"/>
    </row>
    <row r="16" spans="1:30" ht="60" customHeight="1" x14ac:dyDescent="0.25">
      <c r="A16" s="345">
        <v>2</v>
      </c>
      <c r="B16" s="348" t="s">
        <v>698</v>
      </c>
      <c r="C16" s="291" t="s">
        <v>579</v>
      </c>
      <c r="D16" s="291"/>
      <c r="E16" s="351" t="s">
        <v>1064</v>
      </c>
      <c r="F16" s="301" t="s">
        <v>993</v>
      </c>
      <c r="G16" s="301" t="s">
        <v>994</v>
      </c>
      <c r="H16" s="203" t="s">
        <v>920</v>
      </c>
      <c r="I16" s="203">
        <v>1</v>
      </c>
      <c r="J16" s="212" t="str">
        <f>IF((IF(OR((H16&amp;"."&amp;I16)=$R$8,(H16&amp;"."&amp;I16)=$S$8,(H16&amp;"."&amp;I16)=$T$8,(H16&amp;"."&amp;I16)=$U$8,(H16&amp;"."&amp;I16)=$V$8,(H16&amp;"."&amp;I16)=$W$8),1,0))=1,"EKSTREM",IF((IF(OR((H16&amp;"."&amp;I16)=$R$9,(H16&amp;"."&amp;I16)=$S$9,(H16&amp;"."&amp;I16)=$T$9,(H16&amp;"."&amp;I16)=$U$9,(H16&amp;"."&amp;I16)=$V$9,(H16&amp;"."&amp;I16)=$W$9,(H16&amp;"."&amp;I16)=$X$9),1,0))=1,"TINGGI",IF((IF(OR((H16&amp;"."&amp;I16)=$R$10,(H16&amp;"."&amp;I16)=$S$10,(H16&amp;"."&amp;I16)=$T$10,(H16&amp;"."&amp;I16)=$U$10,(H16&amp;"."&amp;I16)=$V$10,(H16&amp;"."&amp;I16)=$W$10),1,0))=1,"MODERAT",IF((IF(OR((H16&amp;"."&amp;I16)=$R$11,(H16&amp;"."&amp;I16)=$S$11,(H16&amp;"."&amp;I16)=$T$11,(H16&amp;"."&amp;I16)=$U$11,(H16&amp;"."&amp;I16)=$V$11,(H16&amp;"."&amp;I16)=$W$11),1,0))=1,"RENDAH","-"))))</f>
        <v>MODERAT</v>
      </c>
      <c r="K16" s="10">
        <v>0</v>
      </c>
      <c r="L16" s="354" t="s">
        <v>1078</v>
      </c>
      <c r="M16" s="354" t="s">
        <v>1079</v>
      </c>
    </row>
    <row r="17" spans="1:13" ht="150" x14ac:dyDescent="0.25">
      <c r="A17" s="346"/>
      <c r="B17" s="349"/>
      <c r="C17" s="13">
        <v>4</v>
      </c>
      <c r="D17" s="121" t="s">
        <v>580</v>
      </c>
      <c r="E17" s="352"/>
      <c r="F17" s="302"/>
      <c r="G17" s="302"/>
      <c r="H17" s="297"/>
      <c r="I17" s="297"/>
      <c r="J17" s="297"/>
      <c r="K17" s="297"/>
      <c r="L17" s="355"/>
      <c r="M17" s="355"/>
    </row>
    <row r="18" spans="1:13" ht="120" x14ac:dyDescent="0.25">
      <c r="A18" s="346"/>
      <c r="B18" s="349"/>
      <c r="C18" s="13">
        <v>3</v>
      </c>
      <c r="D18" s="121" t="s">
        <v>581</v>
      </c>
      <c r="E18" s="352"/>
      <c r="F18" s="302"/>
      <c r="G18" s="302"/>
      <c r="H18" s="298"/>
      <c r="I18" s="298"/>
      <c r="J18" s="298"/>
      <c r="K18" s="298"/>
      <c r="L18" s="355"/>
      <c r="M18" s="355"/>
    </row>
    <row r="19" spans="1:13" ht="90" x14ac:dyDescent="0.25">
      <c r="A19" s="346"/>
      <c r="B19" s="349"/>
      <c r="C19" s="13">
        <v>2</v>
      </c>
      <c r="D19" s="121" t="s">
        <v>582</v>
      </c>
      <c r="E19" s="352"/>
      <c r="F19" s="302"/>
      <c r="G19" s="302"/>
      <c r="H19" s="298"/>
      <c r="I19" s="298"/>
      <c r="J19" s="298"/>
      <c r="K19" s="298"/>
      <c r="L19" s="355"/>
      <c r="M19" s="355"/>
    </row>
    <row r="20" spans="1:13" ht="90" x14ac:dyDescent="0.25">
      <c r="A20" s="346"/>
      <c r="B20" s="349"/>
      <c r="C20" s="13">
        <v>1</v>
      </c>
      <c r="D20" s="121" t="s">
        <v>583</v>
      </c>
      <c r="E20" s="352"/>
      <c r="F20" s="302"/>
      <c r="G20" s="302"/>
      <c r="H20" s="298"/>
      <c r="I20" s="298"/>
      <c r="J20" s="298"/>
      <c r="K20" s="298"/>
      <c r="L20" s="355"/>
      <c r="M20" s="355"/>
    </row>
    <row r="21" spans="1:13" ht="45" x14ac:dyDescent="0.25">
      <c r="A21" s="346"/>
      <c r="B21" s="349"/>
      <c r="C21" s="13">
        <v>0</v>
      </c>
      <c r="D21" s="121" t="s">
        <v>584</v>
      </c>
      <c r="E21" s="353"/>
      <c r="F21" s="303"/>
      <c r="G21" s="303"/>
      <c r="H21" s="299"/>
      <c r="I21" s="299"/>
      <c r="J21" s="299"/>
      <c r="K21" s="299"/>
      <c r="L21" s="355"/>
      <c r="M21" s="355"/>
    </row>
    <row r="22" spans="1:13" x14ac:dyDescent="0.25">
      <c r="A22" s="347"/>
      <c r="B22" s="350"/>
      <c r="C22" s="357" t="s">
        <v>7</v>
      </c>
      <c r="D22" s="358"/>
      <c r="E22" s="359"/>
      <c r="F22" s="123"/>
      <c r="G22" s="189"/>
      <c r="H22" s="189"/>
      <c r="I22" s="189"/>
      <c r="J22" s="189"/>
      <c r="K22" s="11">
        <f>IF(OR(ISBLANK(K16),K16&lt;0,K16&gt;4),0,K16)</f>
        <v>0</v>
      </c>
      <c r="L22" s="356"/>
      <c r="M22" s="356"/>
    </row>
    <row r="23" spans="1:13" x14ac:dyDescent="0.25">
      <c r="M23"/>
    </row>
    <row r="24" spans="1:13" ht="45" customHeight="1" x14ac:dyDescent="0.25">
      <c r="A24" s="345">
        <v>3</v>
      </c>
      <c r="B24" s="392" t="s">
        <v>699</v>
      </c>
      <c r="C24" s="291" t="s">
        <v>700</v>
      </c>
      <c r="D24" s="291"/>
      <c r="E24" s="310" t="s">
        <v>1065</v>
      </c>
      <c r="F24" s="301" t="s">
        <v>993</v>
      </c>
      <c r="G24" s="301" t="s">
        <v>994</v>
      </c>
      <c r="H24" s="203" t="s">
        <v>920</v>
      </c>
      <c r="I24" s="203">
        <v>4</v>
      </c>
      <c r="J24" s="212" t="str">
        <f>IF((IF(OR((H24&amp;"."&amp;I24)=$R$8,(H24&amp;"."&amp;I24)=$S$8,(H24&amp;"."&amp;I24)=$T$8,(H24&amp;"."&amp;I24)=$U$8,(H24&amp;"."&amp;I24)=$V$8,(H24&amp;"."&amp;I24)=$W$8),1,0))=1,"EKSTREM",IF((IF(OR((H24&amp;"."&amp;I24)=$R$9,(H24&amp;"."&amp;I24)=$S$9,(H24&amp;"."&amp;I24)=$T$9,(H24&amp;"."&amp;I24)=$U$9,(H24&amp;"."&amp;I24)=$V$9,(H24&amp;"."&amp;I24)=$W$9,(H24&amp;"."&amp;I24)=$X$9),1,0))=1,"TINGGI",IF((IF(OR((H24&amp;"."&amp;I24)=$R$10,(H24&amp;"."&amp;I24)=$S$10,(H24&amp;"."&amp;I24)=$T$10,(H24&amp;"."&amp;I24)=$U$10,(H24&amp;"."&amp;I24)=$V$10,(H24&amp;"."&amp;I24)=$W$10),1,0))=1,"MODERAT",IF((IF(OR((H24&amp;"."&amp;I24)=$R$11,(H24&amp;"."&amp;I24)=$S$11,(H24&amp;"."&amp;I24)=$T$11,(H24&amp;"."&amp;I24)=$U$11,(H24&amp;"."&amp;I24)=$V$11,(H24&amp;"."&amp;I24)=$W$11),1,0))=1,"RENDAH","-"))))</f>
        <v>EKSTREM</v>
      </c>
      <c r="K24" s="10">
        <v>0</v>
      </c>
      <c r="L24" s="354" t="s">
        <v>1078</v>
      </c>
      <c r="M24" s="354" t="s">
        <v>1079</v>
      </c>
    </row>
    <row r="25" spans="1:13" ht="120" x14ac:dyDescent="0.25">
      <c r="A25" s="346"/>
      <c r="B25" s="333"/>
      <c r="C25" s="13">
        <v>4</v>
      </c>
      <c r="D25" s="6" t="s">
        <v>701</v>
      </c>
      <c r="E25" s="313"/>
      <c r="F25" s="302"/>
      <c r="G25" s="302"/>
      <c r="H25" s="297"/>
      <c r="I25" s="297"/>
      <c r="J25" s="297"/>
      <c r="K25" s="297"/>
      <c r="L25" s="355"/>
      <c r="M25" s="355"/>
    </row>
    <row r="26" spans="1:13" ht="90" x14ac:dyDescent="0.25">
      <c r="A26" s="346"/>
      <c r="B26" s="333"/>
      <c r="C26" s="13">
        <v>3</v>
      </c>
      <c r="D26" s="6" t="s">
        <v>702</v>
      </c>
      <c r="E26" s="313"/>
      <c r="F26" s="302"/>
      <c r="G26" s="302"/>
      <c r="H26" s="298"/>
      <c r="I26" s="298"/>
      <c r="J26" s="298"/>
      <c r="K26" s="298"/>
      <c r="L26" s="355"/>
      <c r="M26" s="355"/>
    </row>
    <row r="27" spans="1:13" ht="90" x14ac:dyDescent="0.25">
      <c r="A27" s="346"/>
      <c r="B27" s="333"/>
      <c r="C27" s="13">
        <v>2</v>
      </c>
      <c r="D27" s="6" t="s">
        <v>703</v>
      </c>
      <c r="E27" s="313"/>
      <c r="F27" s="302"/>
      <c r="G27" s="302"/>
      <c r="H27" s="298"/>
      <c r="I27" s="298"/>
      <c r="J27" s="298"/>
      <c r="K27" s="298"/>
      <c r="L27" s="355"/>
      <c r="M27" s="355"/>
    </row>
    <row r="28" spans="1:13" ht="90" x14ac:dyDescent="0.25">
      <c r="A28" s="346"/>
      <c r="B28" s="333"/>
      <c r="C28" s="13">
        <v>1</v>
      </c>
      <c r="D28" s="6" t="s">
        <v>704</v>
      </c>
      <c r="E28" s="313"/>
      <c r="F28" s="302"/>
      <c r="G28" s="302"/>
      <c r="H28" s="298"/>
      <c r="I28" s="298"/>
      <c r="J28" s="298"/>
      <c r="K28" s="298"/>
      <c r="L28" s="355"/>
      <c r="M28" s="355"/>
    </row>
    <row r="29" spans="1:13" ht="45" x14ac:dyDescent="0.25">
      <c r="A29" s="346"/>
      <c r="B29" s="333"/>
      <c r="C29" s="13">
        <v>0</v>
      </c>
      <c r="D29" s="6" t="s">
        <v>705</v>
      </c>
      <c r="E29" s="314"/>
      <c r="F29" s="303"/>
      <c r="G29" s="303"/>
      <c r="H29" s="299"/>
      <c r="I29" s="299"/>
      <c r="J29" s="299"/>
      <c r="K29" s="299"/>
      <c r="L29" s="355"/>
      <c r="M29" s="355"/>
    </row>
    <row r="30" spans="1:13" x14ac:dyDescent="0.25">
      <c r="A30" s="347"/>
      <c r="B30" s="393"/>
      <c r="C30" s="357" t="s">
        <v>7</v>
      </c>
      <c r="D30" s="358"/>
      <c r="E30" s="359"/>
      <c r="F30" s="66"/>
      <c r="G30" s="189"/>
      <c r="H30" s="189"/>
      <c r="I30" s="189"/>
      <c r="J30" s="189"/>
      <c r="K30" s="11">
        <f>IF(OR(ISBLANK(K24),K24&lt;0,K24&gt;4),0,K24)</f>
        <v>0</v>
      </c>
      <c r="L30" s="356"/>
      <c r="M30" s="356"/>
    </row>
    <row r="31" spans="1:13" x14ac:dyDescent="0.25">
      <c r="B31" s="9"/>
      <c r="L31" s="98"/>
      <c r="M31" s="98"/>
    </row>
    <row r="32" spans="1:13" ht="30" customHeight="1" x14ac:dyDescent="0.25">
      <c r="A32" s="345">
        <v>4</v>
      </c>
      <c r="B32" s="348"/>
      <c r="C32" s="291" t="s">
        <v>31</v>
      </c>
      <c r="D32" s="291"/>
      <c r="E32" s="310" t="s">
        <v>1066</v>
      </c>
      <c r="F32" s="301" t="s">
        <v>993</v>
      </c>
      <c r="G32" s="301" t="s">
        <v>994</v>
      </c>
      <c r="H32" s="203" t="s">
        <v>920</v>
      </c>
      <c r="I32" s="203">
        <v>1</v>
      </c>
      <c r="J32" s="212" t="str">
        <f>IF((IF(OR((H32&amp;"."&amp;I32)=$R$8,(H32&amp;"."&amp;I32)=$S$8,(H32&amp;"."&amp;I32)=$T$8,(H32&amp;"."&amp;I32)=$U$8,(H32&amp;"."&amp;I32)=$V$8,(H32&amp;"."&amp;I32)=$W$8),1,0))=1,"EKSTREM",IF((IF(OR((H32&amp;"."&amp;I32)=$R$9,(H32&amp;"."&amp;I32)=$S$9,(H32&amp;"."&amp;I32)=$T$9,(H32&amp;"."&amp;I32)=$U$9,(H32&amp;"."&amp;I32)=$V$9,(H32&amp;"."&amp;I32)=$W$9,(H32&amp;"."&amp;I32)=$X$9),1,0))=1,"TINGGI",IF((IF(OR((H32&amp;"."&amp;I32)=$R$10,(H32&amp;"."&amp;I32)=$S$10,(H32&amp;"."&amp;I32)=$T$10,(H32&amp;"."&amp;I32)=$U$10,(H32&amp;"."&amp;I32)=$V$10,(H32&amp;"."&amp;I32)=$W$10),1,0))=1,"MODERAT",IF((IF(OR((H32&amp;"."&amp;I32)=$R$11,(H32&amp;"."&amp;I32)=$S$11,(H32&amp;"."&amp;I32)=$T$11,(H32&amp;"."&amp;I32)=$U$11,(H32&amp;"."&amp;I32)=$V$11,(H32&amp;"."&amp;I32)=$W$11),1,0))=1,"RENDAH","-"))))</f>
        <v>MODERAT</v>
      </c>
      <c r="K32" s="10">
        <v>0</v>
      </c>
      <c r="L32" s="354" t="s">
        <v>1078</v>
      </c>
      <c r="M32" s="354" t="s">
        <v>1079</v>
      </c>
    </row>
    <row r="33" spans="1:13" ht="75" x14ac:dyDescent="0.25">
      <c r="A33" s="346"/>
      <c r="B33" s="349"/>
      <c r="C33" s="13">
        <v>4</v>
      </c>
      <c r="D33" s="6" t="s">
        <v>3</v>
      </c>
      <c r="E33" s="313"/>
      <c r="F33" s="302"/>
      <c r="G33" s="302"/>
      <c r="H33" s="190"/>
      <c r="I33" s="190"/>
      <c r="J33" s="190"/>
      <c r="K33" s="7"/>
      <c r="L33" s="355"/>
      <c r="M33" s="355"/>
    </row>
    <row r="34" spans="1:13" ht="75" x14ac:dyDescent="0.25">
      <c r="A34" s="346"/>
      <c r="B34" s="349"/>
      <c r="C34" s="13">
        <v>3</v>
      </c>
      <c r="D34" s="6" t="s">
        <v>706</v>
      </c>
      <c r="E34" s="313"/>
      <c r="F34" s="302"/>
      <c r="G34" s="302"/>
      <c r="H34" s="190"/>
      <c r="I34" s="190"/>
      <c r="J34" s="190"/>
      <c r="K34" s="7"/>
      <c r="L34" s="355"/>
      <c r="M34" s="355"/>
    </row>
    <row r="35" spans="1:13" ht="60" x14ac:dyDescent="0.25">
      <c r="A35" s="346"/>
      <c r="B35" s="349"/>
      <c r="C35" s="13">
        <v>2</v>
      </c>
      <c r="D35" s="6" t="s">
        <v>707</v>
      </c>
      <c r="E35" s="313"/>
      <c r="F35" s="302"/>
      <c r="G35" s="302"/>
      <c r="H35" s="190"/>
      <c r="I35" s="190"/>
      <c r="J35" s="190"/>
      <c r="K35" s="7"/>
      <c r="L35" s="355"/>
      <c r="M35" s="355"/>
    </row>
    <row r="36" spans="1:13" ht="45" x14ac:dyDescent="0.25">
      <c r="A36" s="346"/>
      <c r="B36" s="349"/>
      <c r="C36" s="13">
        <v>1</v>
      </c>
      <c r="D36" s="6" t="s">
        <v>4</v>
      </c>
      <c r="E36" s="313"/>
      <c r="F36" s="302"/>
      <c r="G36" s="302"/>
      <c r="H36" s="190"/>
      <c r="I36" s="190"/>
      <c r="J36" s="190"/>
      <c r="K36" s="7"/>
      <c r="L36" s="355"/>
      <c r="M36" s="355"/>
    </row>
    <row r="37" spans="1:13" ht="30" x14ac:dyDescent="0.25">
      <c r="A37" s="346"/>
      <c r="B37" s="349"/>
      <c r="C37" s="13">
        <v>0</v>
      </c>
      <c r="D37" s="6" t="s">
        <v>5</v>
      </c>
      <c r="E37" s="314"/>
      <c r="F37" s="303"/>
      <c r="G37" s="303"/>
      <c r="H37" s="191"/>
      <c r="I37" s="191"/>
      <c r="J37" s="191"/>
      <c r="K37" s="7"/>
      <c r="L37" s="355"/>
      <c r="M37" s="355"/>
    </row>
    <row r="38" spans="1:13" x14ac:dyDescent="0.25">
      <c r="A38" s="347"/>
      <c r="B38" s="350"/>
      <c r="C38" s="357" t="s">
        <v>7</v>
      </c>
      <c r="D38" s="358"/>
      <c r="E38" s="359"/>
      <c r="F38" s="64"/>
      <c r="G38" s="188"/>
      <c r="H38" s="188"/>
      <c r="I38" s="188"/>
      <c r="J38" s="188"/>
      <c r="K38" s="11">
        <f>IF(OR(ISBLANK(K32),K32&lt;0,K32&gt;4),0,K32)</f>
        <v>0</v>
      </c>
      <c r="L38" s="356"/>
      <c r="M38" s="356"/>
    </row>
    <row r="39" spans="1:13" x14ac:dyDescent="0.25">
      <c r="L39" s="98"/>
      <c r="M39" s="98"/>
    </row>
    <row r="40" spans="1:13" ht="60" customHeight="1" x14ac:dyDescent="0.25">
      <c r="A40" s="345">
        <v>5</v>
      </c>
      <c r="B40" s="348"/>
      <c r="C40" s="291" t="s">
        <v>32</v>
      </c>
      <c r="D40" s="291"/>
      <c r="E40" s="310" t="s">
        <v>1067</v>
      </c>
      <c r="F40" s="301" t="s">
        <v>993</v>
      </c>
      <c r="G40" s="301" t="s">
        <v>994</v>
      </c>
      <c r="H40" s="203" t="s">
        <v>920</v>
      </c>
      <c r="I40" s="203">
        <v>1</v>
      </c>
      <c r="J40" s="212" t="str">
        <f>IF((IF(OR((H40&amp;"."&amp;I40)=$R$8,(H40&amp;"."&amp;I40)=$S$8,(H40&amp;"."&amp;I40)=$T$8,(H40&amp;"."&amp;I40)=$U$8,(H40&amp;"."&amp;I40)=$V$8,(H40&amp;"."&amp;I40)=$W$8),1,0))=1,"EKSTREM",IF((IF(OR((H40&amp;"."&amp;I40)=$R$9,(H40&amp;"."&amp;I40)=$S$9,(H40&amp;"."&amp;I40)=$T$9,(H40&amp;"."&amp;I40)=$U$9,(H40&amp;"."&amp;I40)=$V$9,(H40&amp;"."&amp;I40)=$W$9,(H40&amp;"."&amp;I40)=$X$9),1,0))=1,"TINGGI",IF((IF(OR((H40&amp;"."&amp;I40)=$R$10,(H40&amp;"."&amp;I40)=$S$10,(H40&amp;"."&amp;I40)=$T$10,(H40&amp;"."&amp;I40)=$U$10,(H40&amp;"."&amp;I40)=$V$10,(H40&amp;"."&amp;I40)=$W$10),1,0))=1,"MODERAT",IF((IF(OR((H40&amp;"."&amp;I40)=$R$11,(H40&amp;"."&amp;I40)=$S$11,(H40&amp;"."&amp;I40)=$T$11,(H40&amp;"."&amp;I40)=$U$11,(H40&amp;"."&amp;I40)=$V$11,(H40&amp;"."&amp;I40)=$W$11),1,0))=1,"RENDAH","-"))))</f>
        <v>MODERAT</v>
      </c>
      <c r="K40" s="10">
        <v>0</v>
      </c>
      <c r="L40" s="354" t="s">
        <v>1078</v>
      </c>
      <c r="M40" s="354" t="s">
        <v>1079</v>
      </c>
    </row>
    <row r="41" spans="1:13" ht="60" customHeight="1" x14ac:dyDescent="0.25">
      <c r="A41" s="346"/>
      <c r="B41" s="349"/>
      <c r="C41" s="13">
        <v>4</v>
      </c>
      <c r="D41" s="6" t="s">
        <v>708</v>
      </c>
      <c r="E41" s="398"/>
      <c r="F41" s="302"/>
      <c r="G41" s="302"/>
      <c r="H41" s="297"/>
      <c r="I41" s="297"/>
      <c r="J41" s="297"/>
      <c r="K41" s="297"/>
      <c r="L41" s="355"/>
      <c r="M41" s="355"/>
    </row>
    <row r="42" spans="1:13" ht="60" x14ac:dyDescent="0.25">
      <c r="A42" s="346"/>
      <c r="B42" s="349"/>
      <c r="C42" s="13">
        <v>3</v>
      </c>
      <c r="D42" s="6" t="s">
        <v>709</v>
      </c>
      <c r="E42" s="398"/>
      <c r="F42" s="302"/>
      <c r="G42" s="302"/>
      <c r="H42" s="298"/>
      <c r="I42" s="298"/>
      <c r="J42" s="298"/>
      <c r="K42" s="298"/>
      <c r="L42" s="355"/>
      <c r="M42" s="355"/>
    </row>
    <row r="43" spans="1:13" ht="60" x14ac:dyDescent="0.25">
      <c r="A43" s="346"/>
      <c r="B43" s="349"/>
      <c r="C43" s="13">
        <v>2</v>
      </c>
      <c r="D43" s="6" t="s">
        <v>710</v>
      </c>
      <c r="E43" s="398"/>
      <c r="F43" s="302"/>
      <c r="G43" s="302"/>
      <c r="H43" s="298"/>
      <c r="I43" s="298"/>
      <c r="J43" s="298"/>
      <c r="K43" s="298"/>
      <c r="L43" s="355"/>
      <c r="M43" s="355"/>
    </row>
    <row r="44" spans="1:13" ht="45" x14ac:dyDescent="0.25">
      <c r="A44" s="346"/>
      <c r="B44" s="349"/>
      <c r="C44" s="13">
        <v>1</v>
      </c>
      <c r="D44" s="6" t="s">
        <v>711</v>
      </c>
      <c r="E44" s="398"/>
      <c r="F44" s="302"/>
      <c r="G44" s="302"/>
      <c r="H44" s="298"/>
      <c r="I44" s="298"/>
      <c r="J44" s="298"/>
      <c r="K44" s="298"/>
      <c r="L44" s="355"/>
      <c r="M44" s="355"/>
    </row>
    <row r="45" spans="1:13" x14ac:dyDescent="0.25">
      <c r="A45" s="346"/>
      <c r="B45" s="349"/>
      <c r="C45" s="13">
        <v>0</v>
      </c>
      <c r="D45" s="6" t="s">
        <v>712</v>
      </c>
      <c r="E45" s="399"/>
      <c r="F45" s="303"/>
      <c r="G45" s="303"/>
      <c r="H45" s="299"/>
      <c r="I45" s="299"/>
      <c r="J45" s="299"/>
      <c r="K45" s="299"/>
      <c r="L45" s="355"/>
      <c r="M45" s="355"/>
    </row>
    <row r="46" spans="1:13" x14ac:dyDescent="0.25">
      <c r="A46" s="347"/>
      <c r="B46" s="350"/>
      <c r="C46" s="357" t="s">
        <v>7</v>
      </c>
      <c r="D46" s="358"/>
      <c r="E46" s="359"/>
      <c r="F46" s="64"/>
      <c r="G46" s="188"/>
      <c r="H46" s="188"/>
      <c r="I46" s="188"/>
      <c r="J46" s="188"/>
      <c r="K46" s="11">
        <f>IF(OR(ISBLANK(K40),K40&lt;0,K40&gt;4),0,K40)</f>
        <v>0</v>
      </c>
      <c r="L46" s="356"/>
      <c r="M46" s="356"/>
    </row>
    <row r="47" spans="1:13" x14ac:dyDescent="0.25">
      <c r="L47" s="98"/>
      <c r="M47" s="98"/>
    </row>
    <row r="48" spans="1:13" ht="45" customHeight="1" x14ac:dyDescent="0.25">
      <c r="A48" s="340">
        <v>6</v>
      </c>
      <c r="B48" s="315"/>
      <c r="C48" s="291" t="s">
        <v>713</v>
      </c>
      <c r="D48" s="291"/>
      <c r="E48" s="294" t="s">
        <v>1068</v>
      </c>
      <c r="F48" s="301" t="s">
        <v>993</v>
      </c>
      <c r="G48" s="301" t="s">
        <v>994</v>
      </c>
      <c r="H48" s="203" t="s">
        <v>920</v>
      </c>
      <c r="I48" s="203">
        <v>1</v>
      </c>
      <c r="J48" s="212" t="str">
        <f>IF((IF(OR((H48&amp;"."&amp;I48)=$R$8,(H48&amp;"."&amp;I48)=$S$8,(H48&amp;"."&amp;I48)=$T$8,(H48&amp;"."&amp;I48)=$U$8,(H48&amp;"."&amp;I48)=$V$8,(H48&amp;"."&amp;I48)=$W$8),1,0))=1,"EKSTREM",IF((IF(OR((H48&amp;"."&amp;I48)=$R$9,(H48&amp;"."&amp;I48)=$S$9,(H48&amp;"."&amp;I48)=$T$9,(H48&amp;"."&amp;I48)=$U$9,(H48&amp;"."&amp;I48)=$V$9,(H48&amp;"."&amp;I48)=$W$9,(H48&amp;"."&amp;I48)=$X$9),1,0))=1,"TINGGI",IF((IF(OR((H48&amp;"."&amp;I48)=$R$10,(H48&amp;"."&amp;I48)=$S$10,(H48&amp;"."&amp;I48)=$T$10,(H48&amp;"."&amp;I48)=$U$10,(H48&amp;"."&amp;I48)=$V$10,(H48&amp;"."&amp;I48)=$W$10),1,0))=1,"MODERAT",IF((IF(OR((H48&amp;"."&amp;I48)=$R$11,(H48&amp;"."&amp;I48)=$S$11,(H48&amp;"."&amp;I48)=$T$11,(H48&amp;"."&amp;I48)=$U$11,(H48&amp;"."&amp;I48)=$V$11,(H48&amp;"."&amp;I48)=$W$11),1,0))=1,"RENDAH","-"))))</f>
        <v>MODERAT</v>
      </c>
      <c r="K48" s="10">
        <v>0</v>
      </c>
      <c r="L48" s="354" t="s">
        <v>1078</v>
      </c>
      <c r="M48" s="354" t="s">
        <v>1079</v>
      </c>
    </row>
    <row r="49" spans="1:13" ht="60" x14ac:dyDescent="0.25">
      <c r="A49" s="340"/>
      <c r="B49" s="315"/>
      <c r="C49" s="13">
        <v>4</v>
      </c>
      <c r="D49" s="6" t="s">
        <v>714</v>
      </c>
      <c r="E49" s="308"/>
      <c r="F49" s="302"/>
      <c r="G49" s="302"/>
      <c r="H49" s="297"/>
      <c r="I49" s="297"/>
      <c r="J49" s="297"/>
      <c r="K49" s="297"/>
      <c r="L49" s="355"/>
      <c r="M49" s="355"/>
    </row>
    <row r="50" spans="1:13" ht="45" x14ac:dyDescent="0.25">
      <c r="A50" s="340"/>
      <c r="B50" s="315"/>
      <c r="C50" s="13">
        <v>3</v>
      </c>
      <c r="D50" s="6" t="s">
        <v>715</v>
      </c>
      <c r="E50" s="308"/>
      <c r="F50" s="302"/>
      <c r="G50" s="302"/>
      <c r="H50" s="298"/>
      <c r="I50" s="298"/>
      <c r="J50" s="298"/>
      <c r="K50" s="298"/>
      <c r="L50" s="355"/>
      <c r="M50" s="355"/>
    </row>
    <row r="51" spans="1:13" ht="45" x14ac:dyDescent="0.25">
      <c r="A51" s="340"/>
      <c r="B51" s="315"/>
      <c r="C51" s="13">
        <v>2</v>
      </c>
      <c r="D51" s="6" t="s">
        <v>716</v>
      </c>
      <c r="E51" s="308"/>
      <c r="F51" s="302"/>
      <c r="G51" s="302"/>
      <c r="H51" s="298"/>
      <c r="I51" s="298"/>
      <c r="J51" s="298"/>
      <c r="K51" s="298"/>
      <c r="L51" s="355"/>
      <c r="M51" s="355"/>
    </row>
    <row r="52" spans="1:13" ht="30" x14ac:dyDescent="0.25">
      <c r="A52" s="340"/>
      <c r="B52" s="315"/>
      <c r="C52" s="13">
        <v>1</v>
      </c>
      <c r="D52" s="6" t="s">
        <v>717</v>
      </c>
      <c r="E52" s="308"/>
      <c r="F52" s="302"/>
      <c r="G52" s="302"/>
      <c r="H52" s="298"/>
      <c r="I52" s="298"/>
      <c r="J52" s="298"/>
      <c r="K52" s="298"/>
      <c r="L52" s="355"/>
      <c r="M52" s="355"/>
    </row>
    <row r="53" spans="1:13" x14ac:dyDescent="0.25">
      <c r="A53" s="340"/>
      <c r="B53" s="315"/>
      <c r="C53" s="13">
        <v>0</v>
      </c>
      <c r="D53" s="6" t="s">
        <v>718</v>
      </c>
      <c r="E53" s="308"/>
      <c r="F53" s="302"/>
      <c r="G53" s="302"/>
      <c r="H53" s="298"/>
      <c r="I53" s="298"/>
      <c r="J53" s="298"/>
      <c r="K53" s="299"/>
      <c r="L53" s="355"/>
      <c r="M53" s="355"/>
    </row>
    <row r="54" spans="1:13" ht="105" customHeight="1" x14ac:dyDescent="0.25">
      <c r="A54" s="340"/>
      <c r="B54" s="315"/>
      <c r="C54" s="291" t="s">
        <v>1069</v>
      </c>
      <c r="D54" s="291"/>
      <c r="E54" s="294" t="s">
        <v>1073</v>
      </c>
      <c r="F54" s="302"/>
      <c r="G54" s="302"/>
      <c r="H54" s="298"/>
      <c r="I54" s="298"/>
      <c r="J54" s="298"/>
      <c r="K54" s="10">
        <v>0</v>
      </c>
      <c r="L54" s="355"/>
      <c r="M54" s="355"/>
    </row>
    <row r="55" spans="1:13" ht="60" customHeight="1" x14ac:dyDescent="0.25">
      <c r="A55" s="340"/>
      <c r="B55" s="315"/>
      <c r="C55" s="13">
        <v>4</v>
      </c>
      <c r="D55" s="14" t="s">
        <v>719</v>
      </c>
      <c r="E55" s="294"/>
      <c r="F55" s="302"/>
      <c r="G55" s="302"/>
      <c r="H55" s="298"/>
      <c r="I55" s="298"/>
      <c r="J55" s="298"/>
      <c r="K55" s="297"/>
      <c r="L55" s="355"/>
      <c r="M55" s="355"/>
    </row>
    <row r="56" spans="1:13" ht="60" customHeight="1" x14ac:dyDescent="0.25">
      <c r="A56" s="340"/>
      <c r="B56" s="315"/>
      <c r="C56" s="13">
        <v>3</v>
      </c>
      <c r="D56" s="14" t="s">
        <v>720</v>
      </c>
      <c r="E56" s="294"/>
      <c r="F56" s="302"/>
      <c r="G56" s="302"/>
      <c r="H56" s="298"/>
      <c r="I56" s="298"/>
      <c r="J56" s="298"/>
      <c r="K56" s="298"/>
      <c r="L56" s="355"/>
      <c r="M56" s="355"/>
    </row>
    <row r="57" spans="1:13" ht="60" customHeight="1" x14ac:dyDescent="0.25">
      <c r="A57" s="340"/>
      <c r="B57" s="315"/>
      <c r="C57" s="13">
        <v>2</v>
      </c>
      <c r="D57" s="14" t="s">
        <v>721</v>
      </c>
      <c r="E57" s="294"/>
      <c r="F57" s="302"/>
      <c r="G57" s="302"/>
      <c r="H57" s="298"/>
      <c r="I57" s="298"/>
      <c r="J57" s="298"/>
      <c r="K57" s="298"/>
      <c r="L57" s="355"/>
      <c r="M57" s="355"/>
    </row>
    <row r="58" spans="1:13" ht="60" customHeight="1" x14ac:dyDescent="0.25">
      <c r="A58" s="340"/>
      <c r="B58" s="315"/>
      <c r="C58" s="13">
        <v>1</v>
      </c>
      <c r="D58" s="14" t="s">
        <v>722</v>
      </c>
      <c r="E58" s="294"/>
      <c r="F58" s="302"/>
      <c r="G58" s="302"/>
      <c r="H58" s="298"/>
      <c r="I58" s="298"/>
      <c r="J58" s="298"/>
      <c r="K58" s="298"/>
      <c r="L58" s="355"/>
      <c r="M58" s="355"/>
    </row>
    <row r="59" spans="1:13" ht="60" customHeight="1" x14ac:dyDescent="0.25">
      <c r="A59" s="340"/>
      <c r="B59" s="315"/>
      <c r="C59" s="13">
        <v>0</v>
      </c>
      <c r="D59" s="251" t="s">
        <v>8</v>
      </c>
      <c r="E59" s="294"/>
      <c r="F59" s="303"/>
      <c r="G59" s="303"/>
      <c r="H59" s="299"/>
      <c r="I59" s="299"/>
      <c r="J59" s="299"/>
      <c r="K59" s="299"/>
      <c r="L59" s="355"/>
      <c r="M59" s="355"/>
    </row>
    <row r="60" spans="1:13" x14ac:dyDescent="0.25">
      <c r="A60" s="340"/>
      <c r="B60" s="315"/>
      <c r="C60" s="357" t="s">
        <v>9</v>
      </c>
      <c r="D60" s="358"/>
      <c r="E60" s="359"/>
      <c r="F60" s="64"/>
      <c r="G60" s="188"/>
      <c r="H60" s="188"/>
      <c r="I60" s="188"/>
      <c r="J60" s="188"/>
      <c r="K60" s="11">
        <f>IF(OR(ISBLANK(K48),K48&lt;0,K48&gt;4,ISBLANK(K54),K54&lt;0,K54&gt;4),0,(K48+2*K54)/3)</f>
        <v>0</v>
      </c>
      <c r="L60" s="356"/>
      <c r="M60" s="356"/>
    </row>
    <row r="61" spans="1:13" x14ac:dyDescent="0.25">
      <c r="L61" s="98"/>
      <c r="M61" s="98"/>
    </row>
    <row r="62" spans="1:13" ht="30" customHeight="1" x14ac:dyDescent="0.25">
      <c r="A62" s="340">
        <v>7</v>
      </c>
      <c r="B62" s="315"/>
      <c r="C62" s="291" t="s">
        <v>723</v>
      </c>
      <c r="D62" s="291"/>
      <c r="E62" s="310" t="s">
        <v>1070</v>
      </c>
      <c r="F62" s="301" t="s">
        <v>993</v>
      </c>
      <c r="G62" s="301" t="s">
        <v>994</v>
      </c>
      <c r="H62" s="203" t="s">
        <v>920</v>
      </c>
      <c r="I62" s="203">
        <v>1</v>
      </c>
      <c r="J62" s="212" t="str">
        <f>IF((IF(OR((H62&amp;"."&amp;I62)=$R$8,(H62&amp;"."&amp;I62)=$S$8,(H62&amp;"."&amp;I62)=$T$8,(H62&amp;"."&amp;I62)=$U$8,(H62&amp;"."&amp;I62)=$V$8,(H62&amp;"."&amp;I62)=$W$8),1,0))=1,"EKSTREM",IF((IF(OR((H62&amp;"."&amp;I62)=$R$9,(H62&amp;"."&amp;I62)=$S$9,(H62&amp;"."&amp;I62)=$T$9,(H62&amp;"."&amp;I62)=$U$9,(H62&amp;"."&amp;I62)=$V$9,(H62&amp;"."&amp;I62)=$W$9,(H62&amp;"."&amp;I62)=$X$9),1,0))=1,"TINGGI",IF((IF(OR((H62&amp;"."&amp;I62)=$R$10,(H62&amp;"."&amp;I62)=$S$10,(H62&amp;"."&amp;I62)=$T$10,(H62&amp;"."&amp;I62)=$U$10,(H62&amp;"."&amp;I62)=$V$10,(H62&amp;"."&amp;I62)=$W$10),1,0))=1,"MODERAT",IF((IF(OR((H62&amp;"."&amp;I62)=$R$11,(H62&amp;"."&amp;I62)=$S$11,(H62&amp;"."&amp;I62)=$T$11,(H62&amp;"."&amp;I62)=$U$11,(H62&amp;"."&amp;I62)=$V$11,(H62&amp;"."&amp;I62)=$W$11),1,0))=1,"RENDAH","-"))))</f>
        <v>MODERAT</v>
      </c>
      <c r="K62" s="10">
        <v>0</v>
      </c>
      <c r="L62" s="354" t="s">
        <v>1078</v>
      </c>
      <c r="M62" s="354" t="s">
        <v>1079</v>
      </c>
    </row>
    <row r="63" spans="1:13" ht="45" x14ac:dyDescent="0.25">
      <c r="A63" s="340"/>
      <c r="B63" s="315"/>
      <c r="C63" s="13">
        <v>4</v>
      </c>
      <c r="D63" s="14" t="s">
        <v>724</v>
      </c>
      <c r="E63" s="311"/>
      <c r="F63" s="302"/>
      <c r="G63" s="302"/>
      <c r="H63" s="297"/>
      <c r="I63" s="297"/>
      <c r="J63" s="297"/>
      <c r="K63" s="297"/>
      <c r="L63" s="355"/>
      <c r="M63" s="355"/>
    </row>
    <row r="64" spans="1:13" ht="45" x14ac:dyDescent="0.25">
      <c r="A64" s="340"/>
      <c r="B64" s="315"/>
      <c r="C64" s="13">
        <v>3</v>
      </c>
      <c r="D64" s="14" t="s">
        <v>725</v>
      </c>
      <c r="E64" s="311"/>
      <c r="F64" s="302"/>
      <c r="G64" s="302"/>
      <c r="H64" s="298"/>
      <c r="I64" s="298"/>
      <c r="J64" s="298"/>
      <c r="K64" s="298"/>
      <c r="L64" s="355"/>
      <c r="M64" s="355"/>
    </row>
    <row r="65" spans="1:13" ht="45" x14ac:dyDescent="0.25">
      <c r="A65" s="340"/>
      <c r="B65" s="315"/>
      <c r="C65" s="13">
        <v>2</v>
      </c>
      <c r="D65" s="14" t="s">
        <v>726</v>
      </c>
      <c r="E65" s="311"/>
      <c r="F65" s="302"/>
      <c r="G65" s="302"/>
      <c r="H65" s="298"/>
      <c r="I65" s="298"/>
      <c r="J65" s="298"/>
      <c r="K65" s="298"/>
      <c r="L65" s="355"/>
      <c r="M65" s="355"/>
    </row>
    <row r="66" spans="1:13" x14ac:dyDescent="0.25">
      <c r="A66" s="340"/>
      <c r="B66" s="315"/>
      <c r="C66" s="13">
        <v>1</v>
      </c>
      <c r="D66" s="375" t="s">
        <v>10</v>
      </c>
      <c r="E66" s="311"/>
      <c r="F66" s="302"/>
      <c r="G66" s="302"/>
      <c r="H66" s="298"/>
      <c r="I66" s="298"/>
      <c r="J66" s="298"/>
      <c r="K66" s="298"/>
      <c r="L66" s="355"/>
      <c r="M66" s="355"/>
    </row>
    <row r="67" spans="1:13" x14ac:dyDescent="0.25">
      <c r="A67" s="340"/>
      <c r="B67" s="315"/>
      <c r="C67" s="13">
        <v>0</v>
      </c>
      <c r="D67" s="375"/>
      <c r="E67" s="312"/>
      <c r="F67" s="302"/>
      <c r="G67" s="302"/>
      <c r="H67" s="298"/>
      <c r="I67" s="298"/>
      <c r="J67" s="298"/>
      <c r="K67" s="299"/>
      <c r="L67" s="355"/>
      <c r="M67" s="355"/>
    </row>
    <row r="68" spans="1:13" ht="105" customHeight="1" x14ac:dyDescent="0.25">
      <c r="A68" s="340"/>
      <c r="B68" s="315"/>
      <c r="C68" s="291" t="s">
        <v>1072</v>
      </c>
      <c r="D68" s="291"/>
      <c r="E68" s="294" t="s">
        <v>1071</v>
      </c>
      <c r="F68" s="302"/>
      <c r="G68" s="302"/>
      <c r="H68" s="298"/>
      <c r="I68" s="298"/>
      <c r="J68" s="298"/>
      <c r="K68" s="10">
        <v>0</v>
      </c>
      <c r="L68" s="355"/>
      <c r="M68" s="355"/>
    </row>
    <row r="69" spans="1:13" ht="75" customHeight="1" x14ac:dyDescent="0.25">
      <c r="A69" s="340"/>
      <c r="B69" s="315"/>
      <c r="C69" s="13">
        <v>4</v>
      </c>
      <c r="D69" s="6" t="s">
        <v>727</v>
      </c>
      <c r="E69" s="294"/>
      <c r="F69" s="302"/>
      <c r="G69" s="302"/>
      <c r="H69" s="298"/>
      <c r="I69" s="298"/>
      <c r="J69" s="298"/>
      <c r="K69" s="297"/>
      <c r="L69" s="355"/>
      <c r="M69" s="355"/>
    </row>
    <row r="70" spans="1:13" ht="60" customHeight="1" x14ac:dyDescent="0.25">
      <c r="A70" s="340"/>
      <c r="B70" s="315"/>
      <c r="C70" s="13">
        <v>3</v>
      </c>
      <c r="D70" s="6" t="s">
        <v>728</v>
      </c>
      <c r="E70" s="294"/>
      <c r="F70" s="302"/>
      <c r="G70" s="302"/>
      <c r="H70" s="298"/>
      <c r="I70" s="298"/>
      <c r="J70" s="298"/>
      <c r="K70" s="298"/>
      <c r="L70" s="355"/>
      <c r="M70" s="355"/>
    </row>
    <row r="71" spans="1:13" ht="45" customHeight="1" x14ac:dyDescent="0.25">
      <c r="A71" s="340"/>
      <c r="B71" s="315"/>
      <c r="C71" s="13">
        <v>2</v>
      </c>
      <c r="D71" s="6" t="s">
        <v>729</v>
      </c>
      <c r="E71" s="294"/>
      <c r="F71" s="302"/>
      <c r="G71" s="302"/>
      <c r="H71" s="298"/>
      <c r="I71" s="298"/>
      <c r="J71" s="298"/>
      <c r="K71" s="298"/>
      <c r="L71" s="355"/>
      <c r="M71" s="355"/>
    </row>
    <row r="72" spans="1:13" ht="45" customHeight="1" x14ac:dyDescent="0.25">
      <c r="A72" s="340"/>
      <c r="B72" s="315"/>
      <c r="C72" s="13">
        <v>1</v>
      </c>
      <c r="D72" s="6" t="s">
        <v>730</v>
      </c>
      <c r="E72" s="294"/>
      <c r="F72" s="302"/>
      <c r="G72" s="302"/>
      <c r="H72" s="298"/>
      <c r="I72" s="298"/>
      <c r="J72" s="298"/>
      <c r="K72" s="298"/>
      <c r="L72" s="355"/>
      <c r="M72" s="355"/>
    </row>
    <row r="73" spans="1:13" ht="45" customHeight="1" x14ac:dyDescent="0.25">
      <c r="A73" s="340"/>
      <c r="B73" s="315"/>
      <c r="C73" s="13">
        <v>0</v>
      </c>
      <c r="D73" s="250" t="s">
        <v>8</v>
      </c>
      <c r="E73" s="294"/>
      <c r="F73" s="303"/>
      <c r="G73" s="303"/>
      <c r="H73" s="299"/>
      <c r="I73" s="299"/>
      <c r="J73" s="299"/>
      <c r="K73" s="299"/>
      <c r="L73" s="355"/>
      <c r="M73" s="355"/>
    </row>
    <row r="74" spans="1:13" x14ac:dyDescent="0.25">
      <c r="A74" s="340"/>
      <c r="B74" s="315"/>
      <c r="C74" s="357" t="s">
        <v>9</v>
      </c>
      <c r="D74" s="358"/>
      <c r="E74" s="358"/>
      <c r="F74" s="359"/>
      <c r="G74" s="189"/>
      <c r="H74" s="189"/>
      <c r="I74" s="189"/>
      <c r="J74" s="189"/>
      <c r="K74" s="11">
        <f>IF(OR(ISBLANK(K62),K62&lt;0,K62&gt;4,ISBLANK(K68),K68&lt;0,K68&gt;4),0,(K62+2*K68)/3)</f>
        <v>0</v>
      </c>
      <c r="L74" s="356"/>
      <c r="M74" s="356"/>
    </row>
    <row r="75" spans="1:13" x14ac:dyDescent="0.25">
      <c r="L75" s="98"/>
      <c r="M75" s="98"/>
    </row>
    <row r="76" spans="1:13" ht="120" customHeight="1" x14ac:dyDescent="0.25">
      <c r="A76" s="340">
        <v>8</v>
      </c>
      <c r="B76" s="315"/>
      <c r="C76" s="291" t="s">
        <v>731</v>
      </c>
      <c r="D76" s="291"/>
      <c r="E76" s="310" t="s">
        <v>998</v>
      </c>
      <c r="F76" s="301" t="s">
        <v>993</v>
      </c>
      <c r="G76" s="301" t="s">
        <v>994</v>
      </c>
      <c r="H76" s="203" t="s">
        <v>920</v>
      </c>
      <c r="I76" s="203">
        <v>1</v>
      </c>
      <c r="J76" s="212" t="str">
        <f>IF((IF(OR((H76&amp;"."&amp;I76)=$R$8,(H76&amp;"."&amp;I76)=$S$8,(H76&amp;"."&amp;I76)=$T$8,(H76&amp;"."&amp;I76)=$U$8,(H76&amp;"."&amp;I76)=$V$8,(H76&amp;"."&amp;I76)=$W$8),1,0))=1,"EKSTREM",IF((IF(OR((H76&amp;"."&amp;I76)=$R$9,(H76&amp;"."&amp;I76)=$S$9,(H76&amp;"."&amp;I76)=$T$9,(H76&amp;"."&amp;I76)=$U$9,(H76&amp;"."&amp;I76)=$V$9,(H76&amp;"."&amp;I76)=$W$9,(H76&amp;"."&amp;I76)=$X$9),1,0))=1,"TINGGI",IF((IF(OR((H76&amp;"."&amp;I76)=$R$10,(H76&amp;"."&amp;I76)=$S$10,(H76&amp;"."&amp;I76)=$T$10,(H76&amp;"."&amp;I76)=$U$10,(H76&amp;"."&amp;I76)=$V$10,(H76&amp;"."&amp;I76)=$W$10),1,0))=1,"MODERAT",IF((IF(OR((H76&amp;"."&amp;I76)=$R$11,(H76&amp;"."&amp;I76)=$S$11,(H76&amp;"."&amp;I76)=$T$11,(H76&amp;"."&amp;I76)=$U$11,(H76&amp;"."&amp;I76)=$V$11,(H76&amp;"."&amp;I76)=$W$11),1,0))=1,"RENDAH","-"))))</f>
        <v>MODERAT</v>
      </c>
      <c r="K76" s="10">
        <v>0</v>
      </c>
      <c r="L76" s="326" t="s">
        <v>1078</v>
      </c>
      <c r="M76" s="326" t="s">
        <v>1079</v>
      </c>
    </row>
    <row r="77" spans="1:13" ht="30" x14ac:dyDescent="0.25">
      <c r="A77" s="340"/>
      <c r="B77" s="315"/>
      <c r="C77" s="13">
        <v>4</v>
      </c>
      <c r="D77" s="14" t="s">
        <v>732</v>
      </c>
      <c r="E77" s="313"/>
      <c r="F77" s="302"/>
      <c r="G77" s="302"/>
      <c r="H77" s="190"/>
      <c r="I77" s="190"/>
      <c r="J77" s="190"/>
      <c r="K77" s="7"/>
      <c r="L77" s="326"/>
      <c r="M77" s="326"/>
    </row>
    <row r="78" spans="1:13" ht="30" x14ac:dyDescent="0.25">
      <c r="A78" s="340"/>
      <c r="B78" s="315"/>
      <c r="C78" s="13">
        <v>3</v>
      </c>
      <c r="D78" s="14" t="s">
        <v>733</v>
      </c>
      <c r="E78" s="313"/>
      <c r="F78" s="302"/>
      <c r="G78" s="302"/>
      <c r="H78" s="190"/>
      <c r="I78" s="190"/>
      <c r="J78" s="190"/>
      <c r="K78" s="7"/>
      <c r="L78" s="326"/>
      <c r="M78" s="326"/>
    </row>
    <row r="79" spans="1:13" ht="30" x14ac:dyDescent="0.25">
      <c r="A79" s="340"/>
      <c r="B79" s="315"/>
      <c r="C79" s="13">
        <v>2</v>
      </c>
      <c r="D79" s="14" t="s">
        <v>734</v>
      </c>
      <c r="E79" s="313"/>
      <c r="F79" s="302"/>
      <c r="G79" s="302"/>
      <c r="H79" s="190"/>
      <c r="I79" s="190"/>
      <c r="J79" s="190"/>
      <c r="K79" s="7"/>
      <c r="L79" s="326"/>
      <c r="M79" s="326"/>
    </row>
    <row r="80" spans="1:13" x14ac:dyDescent="0.25">
      <c r="A80" s="340"/>
      <c r="B80" s="315"/>
      <c r="C80" s="13">
        <v>1</v>
      </c>
      <c r="D80" s="14" t="s">
        <v>735</v>
      </c>
      <c r="E80" s="313"/>
      <c r="F80" s="302"/>
      <c r="G80" s="302"/>
      <c r="H80" s="190"/>
      <c r="I80" s="190"/>
      <c r="J80" s="190"/>
      <c r="K80" s="7"/>
      <c r="L80" s="326"/>
      <c r="M80" s="326"/>
    </row>
    <row r="81" spans="1:13" x14ac:dyDescent="0.25">
      <c r="A81" s="340"/>
      <c r="B81" s="315"/>
      <c r="C81" s="13">
        <v>0</v>
      </c>
      <c r="D81" s="14" t="s">
        <v>8</v>
      </c>
      <c r="E81" s="314"/>
      <c r="F81" s="303"/>
      <c r="G81" s="303"/>
      <c r="H81" s="191"/>
      <c r="I81" s="191"/>
      <c r="J81" s="191"/>
      <c r="K81" s="7"/>
      <c r="L81" s="326"/>
      <c r="M81" s="326"/>
    </row>
    <row r="82" spans="1:13" x14ac:dyDescent="0.25">
      <c r="A82" s="340"/>
      <c r="B82" s="315"/>
      <c r="C82" s="391" t="s">
        <v>7</v>
      </c>
      <c r="D82" s="391"/>
      <c r="E82" s="391"/>
      <c r="F82" s="64"/>
      <c r="G82" s="188"/>
      <c r="H82" s="188"/>
      <c r="I82" s="188"/>
      <c r="J82" s="188"/>
      <c r="K82" s="11">
        <f>IF(OR(ISBLANK(K76),K76&lt;0,K76&gt;4),0,K76)</f>
        <v>0</v>
      </c>
      <c r="L82" s="326"/>
      <c r="M82" s="326"/>
    </row>
    <row r="83" spans="1:13" x14ac:dyDescent="0.25">
      <c r="L83" s="98"/>
      <c r="M83" s="98"/>
    </row>
    <row r="84" spans="1:13" ht="30" customHeight="1" x14ac:dyDescent="0.25">
      <c r="A84" s="340">
        <v>9</v>
      </c>
      <c r="B84" s="315"/>
      <c r="C84" s="309" t="s">
        <v>121</v>
      </c>
      <c r="D84" s="309"/>
      <c r="E84" s="294" t="s">
        <v>999</v>
      </c>
      <c r="F84" s="301" t="s">
        <v>993</v>
      </c>
      <c r="G84" s="301" t="s">
        <v>994</v>
      </c>
      <c r="H84" s="203" t="s">
        <v>920</v>
      </c>
      <c r="I84" s="203">
        <v>1</v>
      </c>
      <c r="J84" s="212" t="str">
        <f>IF((IF(OR((H84&amp;"."&amp;I84)=$R$8,(H84&amp;"."&amp;I84)=$S$8,(H84&amp;"."&amp;I84)=$T$8,(H84&amp;"."&amp;I84)=$U$8,(H84&amp;"."&amp;I84)=$V$8,(H84&amp;"."&amp;I84)=$W$8),1,0))=1,"EKSTREM",IF((IF(OR((H84&amp;"."&amp;I84)=$R$9,(H84&amp;"."&amp;I84)=$S$9,(H84&amp;"."&amp;I84)=$T$9,(H84&amp;"."&amp;I84)=$U$9,(H84&amp;"."&amp;I84)=$V$9,(H84&amp;"."&amp;I84)=$W$9,(H84&amp;"."&amp;I84)=$X$9),1,0))=1,"TINGGI",IF((IF(OR((H84&amp;"."&amp;I84)=$R$10,(H84&amp;"."&amp;I84)=$S$10,(H84&amp;"."&amp;I84)=$T$10,(H84&amp;"."&amp;I84)=$U$10,(H84&amp;"."&amp;I84)=$V$10,(H84&amp;"."&amp;I84)=$W$10),1,0))=1,"MODERAT",IF((IF(OR((H84&amp;"."&amp;I84)=$R$11,(H84&amp;"."&amp;I84)=$S$11,(H84&amp;"."&amp;I84)=$T$11,(H84&amp;"."&amp;I84)=$U$11,(H84&amp;"."&amp;I84)=$V$11,(H84&amp;"."&amp;I84)=$W$11),1,0))=1,"RENDAH","-"))))</f>
        <v>MODERAT</v>
      </c>
      <c r="K84" s="7"/>
      <c r="L84" s="354" t="s">
        <v>1078</v>
      </c>
      <c r="M84" s="354" t="s">
        <v>1079</v>
      </c>
    </row>
    <row r="85" spans="1:13" ht="18" x14ac:dyDescent="0.35">
      <c r="A85" s="340"/>
      <c r="B85" s="315"/>
      <c r="C85" s="390" t="s">
        <v>101</v>
      </c>
      <c r="D85" s="390"/>
      <c r="E85" s="294"/>
      <c r="F85" s="302"/>
      <c r="G85" s="302"/>
      <c r="H85" s="297"/>
      <c r="I85" s="297"/>
      <c r="J85" s="297"/>
      <c r="K85" s="60">
        <f>'Isian Prodi'!D688+'Isian Prodi'!G686+'Isian Prodi'!C24</f>
        <v>0</v>
      </c>
      <c r="L85" s="355"/>
      <c r="M85" s="355"/>
    </row>
    <row r="86" spans="1:13" ht="18" x14ac:dyDescent="0.35">
      <c r="A86" s="340"/>
      <c r="B86" s="315"/>
      <c r="C86" s="390" t="s">
        <v>102</v>
      </c>
      <c r="D86" s="390"/>
      <c r="E86" s="294"/>
      <c r="F86" s="302"/>
      <c r="G86" s="302"/>
      <c r="H86" s="298"/>
      <c r="I86" s="298"/>
      <c r="J86" s="298"/>
      <c r="K86" s="60">
        <f>'Isian Prodi'!D16+'Isian Prodi'!D20+'Isian Prodi'!D24</f>
        <v>0</v>
      </c>
      <c r="L86" s="355"/>
      <c r="M86" s="355"/>
    </row>
    <row r="87" spans="1:13" ht="18" x14ac:dyDescent="0.35">
      <c r="A87" s="340"/>
      <c r="B87" s="315"/>
      <c r="C87" s="390" t="s">
        <v>103</v>
      </c>
      <c r="D87" s="390"/>
      <c r="E87" s="294"/>
      <c r="F87" s="302"/>
      <c r="G87" s="302"/>
      <c r="H87" s="298"/>
      <c r="I87" s="298"/>
      <c r="J87" s="298"/>
      <c r="K87" s="60">
        <f>'Isian Prodi'!E16+'Isian Prodi'!E20+'Isian Prodi'!E24</f>
        <v>0</v>
      </c>
      <c r="L87" s="355"/>
      <c r="M87" s="355"/>
    </row>
    <row r="88" spans="1:13" ht="48" customHeight="1" x14ac:dyDescent="0.25">
      <c r="A88" s="340"/>
      <c r="B88" s="315"/>
      <c r="C88" s="305" t="s">
        <v>104</v>
      </c>
      <c r="D88" s="306"/>
      <c r="E88" s="294"/>
      <c r="F88" s="302"/>
      <c r="G88" s="302"/>
      <c r="H88" s="298"/>
      <c r="I88" s="298"/>
      <c r="J88" s="298"/>
      <c r="K88" s="60">
        <f>'Isian Prodi'!C59</f>
        <v>0</v>
      </c>
      <c r="L88" s="355"/>
      <c r="M88" s="355"/>
    </row>
    <row r="89" spans="1:13" x14ac:dyDescent="0.25">
      <c r="A89" s="340"/>
      <c r="B89" s="315"/>
      <c r="C89" s="307" t="s">
        <v>105</v>
      </c>
      <c r="D89" s="307"/>
      <c r="E89" s="294"/>
      <c r="F89" s="302"/>
      <c r="G89" s="302"/>
      <c r="H89" s="298"/>
      <c r="I89" s="298"/>
      <c r="J89" s="298"/>
      <c r="K89" s="60">
        <f>IF(K88&gt;0,(D90*K85+D91*K86+D92*K87)/K88,0)</f>
        <v>0</v>
      </c>
      <c r="L89" s="355"/>
      <c r="M89" s="355"/>
    </row>
    <row r="90" spans="1:13" ht="15" hidden="1" customHeight="1" x14ac:dyDescent="0.25">
      <c r="A90" s="340"/>
      <c r="B90" s="315"/>
      <c r="C90" s="58" t="s">
        <v>106</v>
      </c>
      <c r="D90" s="58">
        <v>3</v>
      </c>
      <c r="E90" s="294"/>
      <c r="F90" s="302"/>
      <c r="G90" s="302"/>
      <c r="H90" s="298"/>
      <c r="I90" s="298"/>
      <c r="J90" s="298"/>
      <c r="K90" s="61"/>
      <c r="L90" s="355"/>
      <c r="M90" s="355"/>
    </row>
    <row r="91" spans="1:13" ht="15" hidden="1" customHeight="1" x14ac:dyDescent="0.25">
      <c r="A91" s="340"/>
      <c r="B91" s="315"/>
      <c r="C91" s="58" t="s">
        <v>107</v>
      </c>
      <c r="D91" s="58">
        <v>2</v>
      </c>
      <c r="E91" s="294"/>
      <c r="F91" s="302"/>
      <c r="G91" s="302"/>
      <c r="H91" s="298"/>
      <c r="I91" s="298"/>
      <c r="J91" s="298"/>
      <c r="K91" s="61"/>
      <c r="L91" s="355"/>
      <c r="M91" s="355"/>
    </row>
    <row r="92" spans="1:13" ht="15" hidden="1" customHeight="1" x14ac:dyDescent="0.25">
      <c r="A92" s="340"/>
      <c r="B92" s="315"/>
      <c r="C92" s="58" t="s">
        <v>108</v>
      </c>
      <c r="D92" s="58">
        <v>1</v>
      </c>
      <c r="E92" s="294"/>
      <c r="F92" s="302"/>
      <c r="G92" s="302"/>
      <c r="H92" s="298"/>
      <c r="I92" s="298"/>
      <c r="J92" s="298"/>
      <c r="K92" s="61"/>
      <c r="L92" s="355"/>
      <c r="M92" s="355"/>
    </row>
    <row r="93" spans="1:13" ht="30" hidden="1" customHeight="1" x14ac:dyDescent="0.25">
      <c r="A93" s="340"/>
      <c r="B93" s="315"/>
      <c r="C93" s="58" t="s">
        <v>109</v>
      </c>
      <c r="D93" s="58">
        <v>4</v>
      </c>
      <c r="E93" s="294"/>
      <c r="F93" s="302"/>
      <c r="G93" s="302"/>
      <c r="H93" s="298"/>
      <c r="I93" s="298"/>
      <c r="J93" s="298"/>
      <c r="K93" s="61"/>
      <c r="L93" s="355"/>
      <c r="M93" s="355"/>
    </row>
    <row r="94" spans="1:13" x14ac:dyDescent="0.25">
      <c r="A94" s="340"/>
      <c r="B94" s="315"/>
      <c r="C94" s="307" t="s">
        <v>110</v>
      </c>
      <c r="D94" s="307"/>
      <c r="E94" s="294"/>
      <c r="F94" s="302"/>
      <c r="G94" s="302"/>
      <c r="H94" s="298"/>
      <c r="I94" s="298"/>
      <c r="J94" s="298"/>
      <c r="K94" s="62">
        <f>IF(K89&gt;=D93,4,K89)</f>
        <v>0</v>
      </c>
      <c r="L94" s="355"/>
      <c r="M94" s="355"/>
    </row>
    <row r="95" spans="1:13" ht="30" customHeight="1" x14ac:dyDescent="0.25">
      <c r="A95" s="340"/>
      <c r="B95" s="315"/>
      <c r="C95" s="309" t="s">
        <v>122</v>
      </c>
      <c r="D95" s="309"/>
      <c r="E95" s="294"/>
      <c r="F95" s="302"/>
      <c r="G95" s="302"/>
      <c r="H95" s="298"/>
      <c r="I95" s="298"/>
      <c r="J95" s="298"/>
      <c r="K95" s="7"/>
      <c r="L95" s="355"/>
      <c r="M95" s="355"/>
    </row>
    <row r="96" spans="1:13" ht="18" x14ac:dyDescent="0.35">
      <c r="A96" s="340"/>
      <c r="B96" s="315"/>
      <c r="C96" s="390" t="s">
        <v>111</v>
      </c>
      <c r="D96" s="390"/>
      <c r="E96" s="294"/>
      <c r="F96" s="302"/>
      <c r="G96" s="302"/>
      <c r="H96" s="298"/>
      <c r="I96" s="298"/>
      <c r="J96" s="298"/>
      <c r="K96" s="60">
        <f>'Isian Prodi'!D688+'Isian Prodi'!D16+'Isian Prodi'!E16</f>
        <v>0</v>
      </c>
      <c r="L96" s="355"/>
      <c r="M96" s="355"/>
    </row>
    <row r="97" spans="1:13" ht="18" x14ac:dyDescent="0.35">
      <c r="A97" s="340"/>
      <c r="B97" s="315"/>
      <c r="C97" s="390" t="s">
        <v>112</v>
      </c>
      <c r="D97" s="390"/>
      <c r="E97" s="294"/>
      <c r="F97" s="302"/>
      <c r="G97" s="302"/>
      <c r="H97" s="298"/>
      <c r="I97" s="298"/>
      <c r="J97" s="298"/>
      <c r="K97" s="60">
        <f>'Isian Prodi'!G686+'Isian Prodi'!D20+'Isian Prodi'!E20</f>
        <v>0</v>
      </c>
      <c r="L97" s="355"/>
      <c r="M97" s="355"/>
    </row>
    <row r="98" spans="1:13" ht="18" x14ac:dyDescent="0.35">
      <c r="A98" s="340"/>
      <c r="B98" s="315"/>
      <c r="C98" s="390" t="s">
        <v>113</v>
      </c>
      <c r="D98" s="390"/>
      <c r="E98" s="294"/>
      <c r="F98" s="302"/>
      <c r="G98" s="302"/>
      <c r="H98" s="298"/>
      <c r="I98" s="298"/>
      <c r="J98" s="298"/>
      <c r="K98" s="60">
        <f>'Isian Prodi'!C24+'Isian Prodi'!D24+'Isian Prodi'!E24</f>
        <v>0</v>
      </c>
      <c r="L98" s="355"/>
      <c r="M98" s="355"/>
    </row>
    <row r="99" spans="1:13" ht="15" hidden="1" customHeight="1" x14ac:dyDescent="0.25">
      <c r="A99" s="340"/>
      <c r="B99" s="315"/>
      <c r="C99" s="58" t="s">
        <v>106</v>
      </c>
      <c r="D99" s="59">
        <v>2</v>
      </c>
      <c r="E99" s="294"/>
      <c r="F99" s="302"/>
      <c r="G99" s="302"/>
      <c r="H99" s="298"/>
      <c r="I99" s="298"/>
      <c r="J99" s="298"/>
      <c r="K99" s="12"/>
      <c r="L99" s="355"/>
      <c r="M99" s="355"/>
    </row>
    <row r="100" spans="1:13" ht="15" hidden="1" customHeight="1" x14ac:dyDescent="0.25">
      <c r="A100" s="340"/>
      <c r="B100" s="315"/>
      <c r="C100" s="58" t="s">
        <v>107</v>
      </c>
      <c r="D100" s="59">
        <v>6</v>
      </c>
      <c r="E100" s="294"/>
      <c r="F100" s="302"/>
      <c r="G100" s="302"/>
      <c r="H100" s="298"/>
      <c r="I100" s="298"/>
      <c r="J100" s="298"/>
      <c r="K100" s="12"/>
      <c r="L100" s="355"/>
      <c r="M100" s="355"/>
    </row>
    <row r="101" spans="1:13" ht="15" hidden="1" customHeight="1" x14ac:dyDescent="0.25">
      <c r="A101" s="340"/>
      <c r="B101" s="315"/>
      <c r="C101" s="58" t="s">
        <v>108</v>
      </c>
      <c r="D101" s="59">
        <v>9</v>
      </c>
      <c r="E101" s="294"/>
      <c r="F101" s="302"/>
      <c r="G101" s="302"/>
      <c r="H101" s="298"/>
      <c r="I101" s="298"/>
      <c r="J101" s="298"/>
      <c r="K101" s="12"/>
      <c r="L101" s="355"/>
      <c r="M101" s="355"/>
    </row>
    <row r="102" spans="1:13" ht="15" hidden="1" customHeight="1" x14ac:dyDescent="0.25">
      <c r="A102" s="340"/>
      <c r="B102" s="315"/>
      <c r="C102" s="58"/>
      <c r="D102" s="58" t="s">
        <v>114</v>
      </c>
      <c r="E102" s="294"/>
      <c r="F102" s="302"/>
      <c r="G102" s="302"/>
      <c r="H102" s="298"/>
      <c r="I102" s="298"/>
      <c r="J102" s="298"/>
      <c r="K102" s="12"/>
      <c r="L102" s="355"/>
      <c r="M102" s="355"/>
    </row>
    <row r="103" spans="1:13" ht="15" hidden="1" customHeight="1" x14ac:dyDescent="0.25">
      <c r="A103" s="340"/>
      <c r="B103" s="315"/>
      <c r="C103" s="58"/>
      <c r="D103" s="58" t="s">
        <v>115</v>
      </c>
      <c r="E103" s="294"/>
      <c r="F103" s="302"/>
      <c r="G103" s="302"/>
      <c r="H103" s="298"/>
      <c r="I103" s="298"/>
      <c r="J103" s="298"/>
      <c r="K103" s="12"/>
      <c r="L103" s="355"/>
      <c r="M103" s="355"/>
    </row>
    <row r="104" spans="1:13" ht="15" hidden="1" customHeight="1" x14ac:dyDescent="0.25">
      <c r="A104" s="340"/>
      <c r="B104" s="315"/>
      <c r="C104" s="58"/>
      <c r="D104" s="58" t="s">
        <v>116</v>
      </c>
      <c r="E104" s="294"/>
      <c r="F104" s="302"/>
      <c r="G104" s="302"/>
      <c r="H104" s="298"/>
      <c r="I104" s="298"/>
      <c r="J104" s="298"/>
      <c r="K104" s="12"/>
      <c r="L104" s="355"/>
      <c r="M104" s="355"/>
    </row>
    <row r="105" spans="1:13" ht="15" hidden="1" customHeight="1" x14ac:dyDescent="0.25">
      <c r="A105" s="340"/>
      <c r="B105" s="315"/>
      <c r="C105" s="58"/>
      <c r="D105" s="58" t="s">
        <v>117</v>
      </c>
      <c r="E105" s="294"/>
      <c r="F105" s="302"/>
      <c r="G105" s="302"/>
      <c r="H105" s="298"/>
      <c r="I105" s="298"/>
      <c r="J105" s="298"/>
      <c r="K105" s="12"/>
      <c r="L105" s="355"/>
      <c r="M105" s="355"/>
    </row>
    <row r="106" spans="1:13" ht="15" hidden="1" customHeight="1" x14ac:dyDescent="0.25">
      <c r="A106" s="340"/>
      <c r="B106" s="315"/>
      <c r="C106" s="58"/>
      <c r="D106" s="58" t="s">
        <v>118</v>
      </c>
      <c r="E106" s="294"/>
      <c r="F106" s="302"/>
      <c r="G106" s="302"/>
      <c r="H106" s="298"/>
      <c r="I106" s="298"/>
      <c r="J106" s="298"/>
      <c r="K106" s="12"/>
      <c r="L106" s="355"/>
      <c r="M106" s="355"/>
    </row>
    <row r="107" spans="1:13" ht="15" hidden="1" customHeight="1" x14ac:dyDescent="0.25">
      <c r="A107" s="340"/>
      <c r="B107" s="315"/>
      <c r="C107" s="400"/>
      <c r="D107" s="400"/>
      <c r="E107" s="294"/>
      <c r="F107" s="302"/>
      <c r="G107" s="302"/>
      <c r="H107" s="298"/>
      <c r="I107" s="298"/>
      <c r="J107" s="298"/>
      <c r="K107" s="12"/>
      <c r="L107" s="355"/>
      <c r="M107" s="355"/>
    </row>
    <row r="108" spans="1:13" x14ac:dyDescent="0.25">
      <c r="A108" s="340"/>
      <c r="B108" s="315"/>
      <c r="C108" s="307" t="s">
        <v>119</v>
      </c>
      <c r="D108" s="307"/>
      <c r="E108" s="294"/>
      <c r="F108" s="303"/>
      <c r="G108" s="303"/>
      <c r="H108" s="299"/>
      <c r="I108" s="299"/>
      <c r="J108" s="299"/>
      <c r="K108" s="62">
        <f>IF(K96&gt;=D99,4,IF(AND(K96&lt;D99,K97&gt;=D100),3+K96/D99,IF(OR(AND(K96&gt;0,K96&lt;D99,K97=0),AND(K97&gt;0,K97&lt;D100,K96=0),AND(K96&gt;0,K96&lt;D99,K97&gt;0,K97&lt;D100)),2+2*K96/D99+K97/D100-(K96*K97)/(D99*D100),IF(AND(K96=0,K97=0,K98&gt;=D101),2,2*K98/D101))))</f>
        <v>0</v>
      </c>
      <c r="L108" s="355"/>
      <c r="M108" s="355"/>
    </row>
    <row r="109" spans="1:13" ht="15.75" customHeight="1" x14ac:dyDescent="0.25">
      <c r="A109" s="340"/>
      <c r="B109" s="315"/>
      <c r="C109" s="305" t="s">
        <v>120</v>
      </c>
      <c r="D109" s="360"/>
      <c r="E109" s="360"/>
      <c r="F109" s="306"/>
      <c r="G109" s="193"/>
      <c r="H109" s="193"/>
      <c r="I109" s="193"/>
      <c r="J109" s="193"/>
      <c r="K109" s="62">
        <f>(2*K94+K108)/3</f>
        <v>0</v>
      </c>
      <c r="L109" s="356"/>
      <c r="M109" s="356"/>
    </row>
    <row r="110" spans="1:13" x14ac:dyDescent="0.25">
      <c r="L110" s="98"/>
      <c r="M110" s="98"/>
    </row>
    <row r="111" spans="1:13" ht="30.75" customHeight="1" x14ac:dyDescent="0.25">
      <c r="A111" s="340">
        <v>10</v>
      </c>
      <c r="B111" s="362"/>
      <c r="C111" s="291" t="s">
        <v>651</v>
      </c>
      <c r="D111" s="291"/>
      <c r="E111" s="294" t="s">
        <v>1000</v>
      </c>
      <c r="F111" s="301" t="s">
        <v>993</v>
      </c>
      <c r="G111" s="301" t="s">
        <v>994</v>
      </c>
      <c r="H111" s="203" t="s">
        <v>920</v>
      </c>
      <c r="I111" s="203">
        <v>1</v>
      </c>
      <c r="J111" s="212" t="str">
        <f>IF((IF(OR((H111&amp;"."&amp;I111)=$R$8,(H111&amp;"."&amp;I111)=$S$8,(H111&amp;"."&amp;I111)=$T$8,(H111&amp;"."&amp;I111)=$U$8,(H111&amp;"."&amp;I111)=$V$8,(H111&amp;"."&amp;I111)=$W$8),1,0))=1,"EKSTREM",IF((IF(OR((H111&amp;"."&amp;I111)=$R$9,(H111&amp;"."&amp;I111)=$S$9,(H111&amp;"."&amp;I111)=$T$9,(H111&amp;"."&amp;I111)=$U$9,(H111&amp;"."&amp;I111)=$V$9,(H111&amp;"."&amp;I111)=$W$9,(H111&amp;"."&amp;I111)=$X$9),1,0))=1,"TINGGI",IF((IF(OR((H111&amp;"."&amp;I111)=$R$10,(H111&amp;"."&amp;I111)=$S$10,(H111&amp;"."&amp;I111)=$T$10,(H111&amp;"."&amp;I111)=$U$10,(H111&amp;"."&amp;I111)=$V$10,(H111&amp;"."&amp;I111)=$W$10),1,0))=1,"MODERAT",IF((IF(OR((H111&amp;"."&amp;I111)=$R$11,(H111&amp;"."&amp;I111)=$S$11,(H111&amp;"."&amp;I111)=$T$11,(H111&amp;"."&amp;I111)=$U$11,(H111&amp;"."&amp;I111)=$V$11,(H111&amp;"."&amp;I111)=$W$11),1,0))=1,"RENDAH","-"))))</f>
        <v>MODERAT</v>
      </c>
      <c r="K111" s="10">
        <v>0</v>
      </c>
      <c r="L111" s="326" t="s">
        <v>1078</v>
      </c>
      <c r="M111" s="326" t="s">
        <v>1079</v>
      </c>
    </row>
    <row r="112" spans="1:13" ht="90" customHeight="1" x14ac:dyDescent="0.25">
      <c r="A112" s="340"/>
      <c r="B112" s="362"/>
      <c r="C112" s="13">
        <v>4</v>
      </c>
      <c r="D112" s="150" t="s">
        <v>652</v>
      </c>
      <c r="E112" s="294"/>
      <c r="F112" s="302"/>
      <c r="G112" s="302"/>
      <c r="H112" s="297"/>
      <c r="I112" s="297"/>
      <c r="J112" s="297"/>
      <c r="K112" s="297"/>
      <c r="L112" s="326"/>
      <c r="M112" s="326"/>
    </row>
    <row r="113" spans="1:13" ht="90" customHeight="1" x14ac:dyDescent="0.25">
      <c r="A113" s="340"/>
      <c r="B113" s="362"/>
      <c r="C113" s="13">
        <v>3</v>
      </c>
      <c r="D113" s="150" t="s">
        <v>653</v>
      </c>
      <c r="E113" s="294"/>
      <c r="F113" s="302"/>
      <c r="G113" s="302"/>
      <c r="H113" s="298"/>
      <c r="I113" s="298"/>
      <c r="J113" s="298"/>
      <c r="K113" s="298"/>
      <c r="L113" s="326"/>
      <c r="M113" s="326"/>
    </row>
    <row r="114" spans="1:13" x14ac:dyDescent="0.25">
      <c r="A114" s="340"/>
      <c r="B114" s="362"/>
      <c r="C114" s="13">
        <v>2</v>
      </c>
      <c r="D114" s="150" t="s">
        <v>654</v>
      </c>
      <c r="E114" s="294"/>
      <c r="F114" s="302"/>
      <c r="G114" s="302"/>
      <c r="H114" s="298"/>
      <c r="I114" s="298"/>
      <c r="J114" s="298"/>
      <c r="K114" s="298"/>
      <c r="L114" s="326"/>
      <c r="M114" s="326"/>
    </row>
    <row r="115" spans="1:13" x14ac:dyDescent="0.25">
      <c r="A115" s="340"/>
      <c r="B115" s="362"/>
      <c r="C115" s="13">
        <v>1</v>
      </c>
      <c r="D115" s="394" t="s">
        <v>655</v>
      </c>
      <c r="E115" s="294"/>
      <c r="F115" s="302"/>
      <c r="G115" s="302"/>
      <c r="H115" s="298"/>
      <c r="I115" s="298"/>
      <c r="J115" s="298"/>
      <c r="K115" s="298"/>
      <c r="L115" s="326"/>
      <c r="M115" s="326"/>
    </row>
    <row r="116" spans="1:13" x14ac:dyDescent="0.25">
      <c r="A116" s="340"/>
      <c r="B116" s="362"/>
      <c r="C116" s="13">
        <v>0</v>
      </c>
      <c r="D116" s="394"/>
      <c r="E116" s="294"/>
      <c r="F116" s="303"/>
      <c r="G116" s="303"/>
      <c r="H116" s="299"/>
      <c r="I116" s="299"/>
      <c r="J116" s="299"/>
      <c r="K116" s="299"/>
      <c r="L116" s="326"/>
      <c r="M116" s="326"/>
    </row>
    <row r="117" spans="1:13" x14ac:dyDescent="0.25">
      <c r="A117" s="340"/>
      <c r="B117" s="362"/>
      <c r="C117" s="391" t="s">
        <v>7</v>
      </c>
      <c r="D117" s="391"/>
      <c r="E117" s="391"/>
      <c r="F117" s="64"/>
      <c r="G117" s="188"/>
      <c r="H117" s="188"/>
      <c r="I117" s="188"/>
      <c r="J117" s="188"/>
      <c r="K117" s="11">
        <f>IF(OR(ISBLANK(K111),K111&lt;0,K111&gt;4),0,K111)</f>
        <v>0</v>
      </c>
      <c r="L117" s="326"/>
      <c r="M117" s="326"/>
    </row>
    <row r="118" spans="1:13" x14ac:dyDescent="0.25">
      <c r="L118" s="98"/>
      <c r="M118" s="98"/>
    </row>
    <row r="119" spans="1:13" ht="122.25" customHeight="1" x14ac:dyDescent="0.25">
      <c r="A119" s="340">
        <v>11</v>
      </c>
      <c r="B119" s="362"/>
      <c r="C119" s="291" t="s">
        <v>656</v>
      </c>
      <c r="D119" s="291"/>
      <c r="E119" s="310" t="s">
        <v>1001</v>
      </c>
      <c r="F119" s="301" t="s">
        <v>993</v>
      </c>
      <c r="G119" s="301" t="s">
        <v>994</v>
      </c>
      <c r="H119" s="203" t="s">
        <v>920</v>
      </c>
      <c r="I119" s="203">
        <v>1</v>
      </c>
      <c r="J119" s="212" t="str">
        <f>IF((IF(OR((H119&amp;"."&amp;I119)=$R$8,(H119&amp;"."&amp;I119)=$S$8,(H119&amp;"."&amp;I119)=$T$8,(H119&amp;"."&amp;I119)=$U$8,(H119&amp;"."&amp;I119)=$V$8,(H119&amp;"."&amp;I119)=$W$8),1,0))=1,"EKSTREM",IF((IF(OR((H119&amp;"."&amp;I119)=$R$9,(H119&amp;"."&amp;I119)=$S$9,(H119&amp;"."&amp;I119)=$T$9,(H119&amp;"."&amp;I119)=$U$9,(H119&amp;"."&amp;I119)=$V$9,(H119&amp;"."&amp;I119)=$W$9,(H119&amp;"."&amp;I119)=$X$9),1,0))=1,"TINGGI",IF((IF(OR((H119&amp;"."&amp;I119)=$R$10,(H119&amp;"."&amp;I119)=$S$10,(H119&amp;"."&amp;I119)=$T$10,(H119&amp;"."&amp;I119)=$U$10,(H119&amp;"."&amp;I119)=$V$10,(H119&amp;"."&amp;I119)=$W$10),1,0))=1,"MODERAT",IF((IF(OR((H119&amp;"."&amp;I119)=$R$11,(H119&amp;"."&amp;I119)=$S$11,(H119&amp;"."&amp;I119)=$T$11,(H119&amp;"."&amp;I119)=$U$11,(H119&amp;"."&amp;I119)=$V$11,(H119&amp;"."&amp;I119)=$W$11),1,0))=1,"RENDAH","-"))))</f>
        <v>MODERAT</v>
      </c>
      <c r="K119" s="10">
        <v>0</v>
      </c>
      <c r="L119" s="326" t="s">
        <v>1078</v>
      </c>
      <c r="M119" s="326" t="s">
        <v>1079</v>
      </c>
    </row>
    <row r="120" spans="1:13" ht="45" x14ac:dyDescent="0.25">
      <c r="A120" s="340"/>
      <c r="B120" s="362"/>
      <c r="C120" s="13">
        <v>4</v>
      </c>
      <c r="D120" s="150" t="s">
        <v>657</v>
      </c>
      <c r="E120" s="313"/>
      <c r="F120" s="302"/>
      <c r="G120" s="302"/>
      <c r="H120" s="297"/>
      <c r="I120" s="297"/>
      <c r="J120" s="297"/>
      <c r="K120" s="297"/>
      <c r="L120" s="326"/>
      <c r="M120" s="326"/>
    </row>
    <row r="121" spans="1:13" ht="30" x14ac:dyDescent="0.25">
      <c r="A121" s="340"/>
      <c r="B121" s="362"/>
      <c r="C121" s="13">
        <v>3</v>
      </c>
      <c r="D121" s="150" t="s">
        <v>658</v>
      </c>
      <c r="E121" s="313"/>
      <c r="F121" s="302"/>
      <c r="G121" s="302"/>
      <c r="H121" s="298"/>
      <c r="I121" s="298"/>
      <c r="J121" s="298"/>
      <c r="K121" s="298"/>
      <c r="L121" s="326"/>
      <c r="M121" s="326"/>
    </row>
    <row r="122" spans="1:13" ht="30" x14ac:dyDescent="0.25">
      <c r="A122" s="340"/>
      <c r="B122" s="362"/>
      <c r="C122" s="13">
        <v>2</v>
      </c>
      <c r="D122" s="150" t="s">
        <v>659</v>
      </c>
      <c r="E122" s="313"/>
      <c r="F122" s="302"/>
      <c r="G122" s="302"/>
      <c r="H122" s="298"/>
      <c r="I122" s="298"/>
      <c r="J122" s="298"/>
      <c r="K122" s="298"/>
      <c r="L122" s="326"/>
      <c r="M122" s="326"/>
    </row>
    <row r="123" spans="1:13" ht="30" x14ac:dyDescent="0.25">
      <c r="A123" s="340"/>
      <c r="B123" s="362"/>
      <c r="C123" s="13">
        <v>1</v>
      </c>
      <c r="D123" s="150" t="s">
        <v>660</v>
      </c>
      <c r="E123" s="313"/>
      <c r="F123" s="302"/>
      <c r="G123" s="302"/>
      <c r="H123" s="298"/>
      <c r="I123" s="298"/>
      <c r="J123" s="298"/>
      <c r="K123" s="298"/>
      <c r="L123" s="326"/>
      <c r="M123" s="326"/>
    </row>
    <row r="124" spans="1:13" x14ac:dyDescent="0.25">
      <c r="A124" s="340"/>
      <c r="B124" s="362"/>
      <c r="C124" s="13">
        <v>0</v>
      </c>
      <c r="D124" s="150" t="s">
        <v>661</v>
      </c>
      <c r="E124" s="314"/>
      <c r="F124" s="303"/>
      <c r="G124" s="303"/>
      <c r="H124" s="299"/>
      <c r="I124" s="299"/>
      <c r="J124" s="299"/>
      <c r="K124" s="299"/>
      <c r="L124" s="326"/>
      <c r="M124" s="326"/>
    </row>
    <row r="125" spans="1:13" x14ac:dyDescent="0.25">
      <c r="A125" s="340"/>
      <c r="B125" s="362"/>
      <c r="C125" s="391" t="s">
        <v>7</v>
      </c>
      <c r="D125" s="391"/>
      <c r="E125" s="391"/>
      <c r="F125" s="64"/>
      <c r="G125" s="188"/>
      <c r="H125" s="188"/>
      <c r="I125" s="188"/>
      <c r="J125" s="188"/>
      <c r="K125" s="11">
        <f>IF(OR(ISBLANK(K119),K119&lt;0,K119&gt;4),0,K119)</f>
        <v>0</v>
      </c>
      <c r="L125" s="326"/>
      <c r="M125" s="326"/>
    </row>
    <row r="126" spans="1:13" x14ac:dyDescent="0.25">
      <c r="L126" s="98"/>
      <c r="M126" s="98"/>
    </row>
    <row r="127" spans="1:13" ht="120" customHeight="1" x14ac:dyDescent="0.25">
      <c r="A127" s="340">
        <v>12</v>
      </c>
      <c r="B127" s="387" t="s">
        <v>742</v>
      </c>
      <c r="C127" s="291" t="s">
        <v>736</v>
      </c>
      <c r="D127" s="291"/>
      <c r="E127" s="294" t="s">
        <v>1002</v>
      </c>
      <c r="F127" s="301" t="s">
        <v>993</v>
      </c>
      <c r="G127" s="301" t="s">
        <v>994</v>
      </c>
      <c r="H127" s="203" t="s">
        <v>920</v>
      </c>
      <c r="I127" s="203">
        <v>1</v>
      </c>
      <c r="J127" s="212" t="str">
        <f>IF((IF(OR((H127&amp;"."&amp;I127)=$R$8,(H127&amp;"."&amp;I127)=$S$8,(H127&amp;"."&amp;I127)=$T$8,(H127&amp;"."&amp;I127)=$U$8,(H127&amp;"."&amp;I127)=$V$8,(H127&amp;"."&amp;I127)=$W$8),1,0))=1,"EKSTREM",IF((IF(OR((H127&amp;"."&amp;I127)=$R$9,(H127&amp;"."&amp;I127)=$S$9,(H127&amp;"."&amp;I127)=$T$9,(H127&amp;"."&amp;I127)=$U$9,(H127&amp;"."&amp;I127)=$V$9,(H127&amp;"."&amp;I127)=$W$9,(H127&amp;"."&amp;I127)=$X$9),1,0))=1,"TINGGI",IF((IF(OR((H127&amp;"."&amp;I127)=$R$10,(H127&amp;"."&amp;I127)=$S$10,(H127&amp;"."&amp;I127)=$T$10,(H127&amp;"."&amp;I127)=$U$10,(H127&amp;"."&amp;I127)=$V$10,(H127&amp;"."&amp;I127)=$W$10),1,0))=1,"MODERAT",IF((IF(OR((H127&amp;"."&amp;I127)=$R$11,(H127&amp;"."&amp;I127)=$S$11,(H127&amp;"."&amp;I127)=$T$11,(H127&amp;"."&amp;I127)=$U$11,(H127&amp;"."&amp;I127)=$V$11,(H127&amp;"."&amp;I127)=$W$11),1,0))=1,"RENDAH","-"))))</f>
        <v>MODERAT</v>
      </c>
      <c r="K127" s="10">
        <v>0</v>
      </c>
      <c r="L127" s="326" t="s">
        <v>1078</v>
      </c>
      <c r="M127" s="326" t="s">
        <v>1079</v>
      </c>
    </row>
    <row r="128" spans="1:13" x14ac:dyDescent="0.25">
      <c r="A128" s="340"/>
      <c r="B128" s="387"/>
      <c r="C128" s="13">
        <v>4</v>
      </c>
      <c r="D128" s="155" t="s">
        <v>737</v>
      </c>
      <c r="E128" s="294"/>
      <c r="F128" s="302"/>
      <c r="G128" s="302"/>
      <c r="H128" s="297"/>
      <c r="I128" s="297"/>
      <c r="J128" s="297"/>
      <c r="K128" s="7"/>
      <c r="L128" s="326"/>
      <c r="M128" s="326"/>
    </row>
    <row r="129" spans="1:13" ht="30" x14ac:dyDescent="0.25">
      <c r="A129" s="340"/>
      <c r="B129" s="387"/>
      <c r="C129" s="13">
        <v>3</v>
      </c>
      <c r="D129" s="155" t="s">
        <v>738</v>
      </c>
      <c r="E129" s="294"/>
      <c r="F129" s="302"/>
      <c r="G129" s="302"/>
      <c r="H129" s="298"/>
      <c r="I129" s="298"/>
      <c r="J129" s="298"/>
      <c r="K129" s="7"/>
      <c r="L129" s="326"/>
      <c r="M129" s="326"/>
    </row>
    <row r="130" spans="1:13" ht="30" x14ac:dyDescent="0.25">
      <c r="A130" s="340"/>
      <c r="B130" s="387"/>
      <c r="C130" s="13">
        <v>2</v>
      </c>
      <c r="D130" s="155" t="s">
        <v>739</v>
      </c>
      <c r="E130" s="294"/>
      <c r="F130" s="302"/>
      <c r="G130" s="302"/>
      <c r="H130" s="298"/>
      <c r="I130" s="298"/>
      <c r="J130" s="298"/>
      <c r="K130" s="7"/>
      <c r="L130" s="326"/>
      <c r="M130" s="326"/>
    </row>
    <row r="131" spans="1:13" ht="45" customHeight="1" x14ac:dyDescent="0.25">
      <c r="A131" s="340"/>
      <c r="B131" s="387"/>
      <c r="C131" s="13">
        <v>1</v>
      </c>
      <c r="D131" s="155" t="s">
        <v>740</v>
      </c>
      <c r="E131" s="294"/>
      <c r="F131" s="302"/>
      <c r="G131" s="302"/>
      <c r="H131" s="298"/>
      <c r="I131" s="298"/>
      <c r="J131" s="298"/>
      <c r="K131" s="7"/>
      <c r="L131" s="326"/>
      <c r="M131" s="326"/>
    </row>
    <row r="132" spans="1:13" ht="30" x14ac:dyDescent="0.25">
      <c r="A132" s="340"/>
      <c r="B132" s="387"/>
      <c r="C132" s="13">
        <v>0</v>
      </c>
      <c r="D132" s="155" t="s">
        <v>741</v>
      </c>
      <c r="E132" s="294"/>
      <c r="F132" s="303"/>
      <c r="G132" s="303"/>
      <c r="H132" s="299"/>
      <c r="I132" s="299"/>
      <c r="J132" s="299"/>
      <c r="K132" s="7"/>
      <c r="L132" s="326"/>
      <c r="M132" s="326"/>
    </row>
    <row r="133" spans="1:13" x14ac:dyDescent="0.25">
      <c r="A133" s="340"/>
      <c r="B133" s="387"/>
      <c r="C133" s="391" t="s">
        <v>7</v>
      </c>
      <c r="D133" s="391"/>
      <c r="E133" s="391"/>
      <c r="F133" s="154"/>
      <c r="G133" s="188"/>
      <c r="H133" s="188"/>
      <c r="I133" s="188"/>
      <c r="J133" s="188"/>
      <c r="K133" s="11">
        <f>IF(OR(ISBLANK(K127),K127&lt;0,K127&gt;4),0,K127)</f>
        <v>0</v>
      </c>
      <c r="L133" s="326"/>
      <c r="M133" s="326"/>
    </row>
    <row r="134" spans="1:13" x14ac:dyDescent="0.25">
      <c r="L134" s="98"/>
      <c r="M134" s="98"/>
    </row>
    <row r="135" spans="1:13" ht="234.95" customHeight="1" x14ac:dyDescent="0.25">
      <c r="A135" s="340">
        <v>13</v>
      </c>
      <c r="B135" s="387" t="s">
        <v>743</v>
      </c>
      <c r="C135" s="291" t="s">
        <v>744</v>
      </c>
      <c r="D135" s="291"/>
      <c r="E135" s="294" t="s">
        <v>1003</v>
      </c>
      <c r="F135" s="301" t="s">
        <v>993</v>
      </c>
      <c r="G135" s="301" t="s">
        <v>994</v>
      </c>
      <c r="H135" s="203" t="s">
        <v>920</v>
      </c>
      <c r="I135" s="203">
        <v>1</v>
      </c>
      <c r="J135" s="212" t="str">
        <f>IF((IF(OR((H135&amp;"."&amp;I135)=$R$8,(H135&amp;"."&amp;I135)=$S$8,(H135&amp;"."&amp;I135)=$T$8,(H135&amp;"."&amp;I135)=$U$8,(H135&amp;"."&amp;I135)=$V$8,(H135&amp;"."&amp;I135)=$W$8),1,0))=1,"EKSTREM",IF((IF(OR((H135&amp;"."&amp;I135)=$R$9,(H135&amp;"."&amp;I135)=$S$9,(H135&amp;"."&amp;I135)=$T$9,(H135&amp;"."&amp;I135)=$U$9,(H135&amp;"."&amp;I135)=$V$9,(H135&amp;"."&amp;I135)=$W$9,(H135&amp;"."&amp;I135)=$X$9),1,0))=1,"TINGGI",IF((IF(OR((H135&amp;"."&amp;I135)=$R$10,(H135&amp;"."&amp;I135)=$S$10,(H135&amp;"."&amp;I135)=$T$10,(H135&amp;"."&amp;I135)=$U$10,(H135&amp;"."&amp;I135)=$V$10,(H135&amp;"."&amp;I135)=$W$10),1,0))=1,"MODERAT",IF((IF(OR((H135&amp;"."&amp;I135)=$R$11,(H135&amp;"."&amp;I135)=$S$11,(H135&amp;"."&amp;I135)=$T$11,(H135&amp;"."&amp;I135)=$U$11,(H135&amp;"."&amp;I135)=$V$11,(H135&amp;"."&amp;I135)=$W$11),1,0))=1,"RENDAH","-"))))</f>
        <v>MODERAT</v>
      </c>
      <c r="K135" s="10">
        <v>0</v>
      </c>
      <c r="L135" s="326" t="s">
        <v>1078</v>
      </c>
      <c r="M135" s="326" t="s">
        <v>1079</v>
      </c>
    </row>
    <row r="136" spans="1:13" ht="45" x14ac:dyDescent="0.25">
      <c r="A136" s="340"/>
      <c r="B136" s="387"/>
      <c r="C136" s="13">
        <v>4</v>
      </c>
      <c r="D136" s="14" t="s">
        <v>745</v>
      </c>
      <c r="E136" s="294"/>
      <c r="F136" s="302"/>
      <c r="G136" s="302"/>
      <c r="H136" s="297"/>
      <c r="I136" s="297"/>
      <c r="J136" s="297"/>
      <c r="K136" s="297"/>
      <c r="L136" s="326"/>
      <c r="M136" s="326"/>
    </row>
    <row r="137" spans="1:13" ht="45" customHeight="1" x14ac:dyDescent="0.25">
      <c r="A137" s="340"/>
      <c r="B137" s="387"/>
      <c r="C137" s="13">
        <v>3</v>
      </c>
      <c r="D137" s="14" t="s">
        <v>746</v>
      </c>
      <c r="E137" s="294"/>
      <c r="F137" s="302"/>
      <c r="G137" s="302"/>
      <c r="H137" s="298"/>
      <c r="I137" s="298"/>
      <c r="J137" s="298"/>
      <c r="K137" s="298"/>
      <c r="L137" s="326"/>
      <c r="M137" s="326"/>
    </row>
    <row r="138" spans="1:13" ht="45" x14ac:dyDescent="0.25">
      <c r="A138" s="340"/>
      <c r="B138" s="387"/>
      <c r="C138" s="13">
        <v>2</v>
      </c>
      <c r="D138" s="14" t="s">
        <v>747</v>
      </c>
      <c r="E138" s="294"/>
      <c r="F138" s="302"/>
      <c r="G138" s="302"/>
      <c r="H138" s="298"/>
      <c r="I138" s="298"/>
      <c r="J138" s="298"/>
      <c r="K138" s="298"/>
      <c r="L138" s="326"/>
      <c r="M138" s="326"/>
    </row>
    <row r="139" spans="1:13" ht="45" x14ac:dyDescent="0.25">
      <c r="A139" s="340"/>
      <c r="B139" s="387"/>
      <c r="C139" s="13">
        <v>1</v>
      </c>
      <c r="D139" s="14" t="s">
        <v>748</v>
      </c>
      <c r="E139" s="294"/>
      <c r="F139" s="302"/>
      <c r="G139" s="302"/>
      <c r="H139" s="298"/>
      <c r="I139" s="298"/>
      <c r="J139" s="298"/>
      <c r="K139" s="298"/>
      <c r="L139" s="326"/>
      <c r="M139" s="326"/>
    </row>
    <row r="140" spans="1:13" ht="30" x14ac:dyDescent="0.25">
      <c r="A140" s="340"/>
      <c r="B140" s="387"/>
      <c r="C140" s="13">
        <v>0</v>
      </c>
      <c r="D140" s="14" t="s">
        <v>749</v>
      </c>
      <c r="E140" s="294"/>
      <c r="F140" s="303"/>
      <c r="G140" s="303"/>
      <c r="H140" s="299"/>
      <c r="I140" s="299"/>
      <c r="J140" s="299"/>
      <c r="K140" s="299"/>
      <c r="L140" s="326"/>
      <c r="M140" s="326"/>
    </row>
    <row r="141" spans="1:13" x14ac:dyDescent="0.25">
      <c r="A141" s="340"/>
      <c r="B141" s="387"/>
      <c r="C141" s="391" t="s">
        <v>7</v>
      </c>
      <c r="D141" s="391"/>
      <c r="E141" s="391"/>
      <c r="F141" s="64"/>
      <c r="G141" s="188"/>
      <c r="H141" s="188"/>
      <c r="I141" s="188"/>
      <c r="J141" s="188"/>
      <c r="K141" s="11">
        <f>IF(OR(ISBLANK(K135),K135&lt;0,K135&gt;4),0,K135)</f>
        <v>0</v>
      </c>
      <c r="L141" s="326"/>
      <c r="M141" s="326"/>
    </row>
    <row r="142" spans="1:13" x14ac:dyDescent="0.25">
      <c r="L142" s="98"/>
      <c r="M142" s="98"/>
    </row>
    <row r="143" spans="1:13" ht="15" customHeight="1" x14ac:dyDescent="0.25">
      <c r="A143" s="340">
        <v>14</v>
      </c>
      <c r="B143" s="387" t="s">
        <v>750</v>
      </c>
      <c r="C143" s="309" t="s">
        <v>596</v>
      </c>
      <c r="D143" s="309"/>
      <c r="E143" s="294" t="s">
        <v>1119</v>
      </c>
      <c r="F143" s="388" t="s">
        <v>993</v>
      </c>
      <c r="G143" s="301" t="s">
        <v>994</v>
      </c>
      <c r="H143" s="203" t="s">
        <v>920</v>
      </c>
      <c r="I143" s="203">
        <v>1</v>
      </c>
      <c r="J143" s="212" t="str">
        <f>IF((IF(OR((H143&amp;"."&amp;I143)=$R$8,(H143&amp;"."&amp;I143)=$S$8,(H143&amp;"."&amp;I143)=$T$8,(H143&amp;"."&amp;I143)=$U$8,(H143&amp;"."&amp;I143)=$V$8,(H143&amp;"."&amp;I143)=$W$8),1,0))=1,"EKSTREM",IF((IF(OR((H143&amp;"."&amp;I143)=$R$9,(H143&amp;"."&amp;I143)=$S$9,(H143&amp;"."&amp;I143)=$T$9,(H143&amp;"."&amp;I143)=$U$9,(H143&amp;"."&amp;I143)=$V$9,(H143&amp;"."&amp;I143)=$W$9,(H143&amp;"."&amp;I143)=$X$9),1,0))=1,"TINGGI",IF((IF(OR((H143&amp;"."&amp;I143)=$R$10,(H143&amp;"."&amp;I143)=$S$10,(H143&amp;"."&amp;I143)=$T$10,(H143&amp;"."&amp;I143)=$U$10,(H143&amp;"."&amp;I143)=$V$10,(H143&amp;"."&amp;I143)=$W$10),1,0))=1,"MODERAT",IF((IF(OR((H143&amp;"."&amp;I143)=$R$11,(H143&amp;"."&amp;I143)=$S$11,(H143&amp;"."&amp;I143)=$T$11,(H143&amp;"."&amp;I143)=$U$11,(H143&amp;"."&amp;I143)=$V$11,(H143&amp;"."&amp;I143)=$W$11),1,0))=1,"RENDAH","-"))))</f>
        <v>MODERAT</v>
      </c>
      <c r="K143" s="7"/>
      <c r="L143" s="326" t="s">
        <v>1078</v>
      </c>
      <c r="M143" s="326" t="s">
        <v>1079</v>
      </c>
    </row>
    <row r="144" spans="1:13" ht="30" customHeight="1" x14ac:dyDescent="0.25">
      <c r="A144" s="340"/>
      <c r="B144" s="308"/>
      <c r="C144" s="305" t="s">
        <v>597</v>
      </c>
      <c r="D144" s="306"/>
      <c r="E144" s="308"/>
      <c r="F144" s="389"/>
      <c r="G144" s="302"/>
      <c r="H144" s="297"/>
      <c r="I144" s="297"/>
      <c r="J144" s="297"/>
      <c r="K144" s="151">
        <f>'Isian Prodi'!C8</f>
        <v>0</v>
      </c>
      <c r="L144" s="328"/>
      <c r="M144" s="328"/>
    </row>
    <row r="145" spans="1:13" ht="30" customHeight="1" x14ac:dyDescent="0.25">
      <c r="A145" s="340"/>
      <c r="B145" s="308"/>
      <c r="C145" s="361" t="s">
        <v>585</v>
      </c>
      <c r="D145" s="308"/>
      <c r="E145" s="308"/>
      <c r="F145" s="389"/>
      <c r="G145" s="302"/>
      <c r="H145" s="298"/>
      <c r="I145" s="298"/>
      <c r="J145" s="298"/>
      <c r="K145" s="7"/>
      <c r="L145" s="328"/>
      <c r="M145" s="328"/>
    </row>
    <row r="146" spans="1:13" ht="15" customHeight="1" x14ac:dyDescent="0.25">
      <c r="A146" s="340"/>
      <c r="B146" s="308"/>
      <c r="C146" s="307" t="s">
        <v>586</v>
      </c>
      <c r="D146" s="308"/>
      <c r="E146" s="308"/>
      <c r="F146" s="389"/>
      <c r="G146" s="302"/>
      <c r="H146" s="298"/>
      <c r="I146" s="298"/>
      <c r="J146" s="298"/>
      <c r="K146" s="117">
        <f>'Isian Prodi'!C35</f>
        <v>0</v>
      </c>
      <c r="L146" s="328"/>
      <c r="M146" s="328"/>
    </row>
    <row r="147" spans="1:13" ht="15" customHeight="1" x14ac:dyDescent="0.25">
      <c r="A147" s="340"/>
      <c r="B147" s="308"/>
      <c r="C147" s="307" t="s">
        <v>587</v>
      </c>
      <c r="D147" s="308"/>
      <c r="E147" s="308"/>
      <c r="F147" s="389"/>
      <c r="G147" s="302"/>
      <c r="H147" s="298"/>
      <c r="I147" s="298"/>
      <c r="J147" s="298"/>
      <c r="K147" s="117">
        <f>'Isian Prodi'!D35</f>
        <v>0</v>
      </c>
      <c r="L147" s="328"/>
      <c r="M147" s="328"/>
    </row>
    <row r="148" spans="1:13" ht="15" customHeight="1" x14ac:dyDescent="0.25">
      <c r="A148" s="340"/>
      <c r="B148" s="308"/>
      <c r="C148" s="307" t="s">
        <v>588</v>
      </c>
      <c r="D148" s="308"/>
      <c r="E148" s="308"/>
      <c r="F148" s="389"/>
      <c r="G148" s="302"/>
      <c r="H148" s="298"/>
      <c r="I148" s="298"/>
      <c r="J148" s="298"/>
      <c r="K148" s="60">
        <f>IF(K147&gt;0,K146/K147,0)</f>
        <v>0</v>
      </c>
      <c r="L148" s="328"/>
      <c r="M148" s="328"/>
    </row>
    <row r="149" spans="1:13" ht="15" hidden="1" customHeight="1" x14ac:dyDescent="0.25">
      <c r="A149" s="340"/>
      <c r="B149" s="308"/>
      <c r="C149" s="58" t="s">
        <v>475</v>
      </c>
      <c r="D149" s="58">
        <v>5</v>
      </c>
      <c r="E149" s="308"/>
      <c r="F149" s="389"/>
      <c r="G149" s="302"/>
      <c r="H149" s="298"/>
      <c r="I149" s="298"/>
      <c r="J149" s="298"/>
      <c r="K149" s="61"/>
      <c r="L149" s="328"/>
      <c r="M149" s="328"/>
    </row>
    <row r="150" spans="1:13" x14ac:dyDescent="0.25">
      <c r="A150" s="340"/>
      <c r="B150" s="308"/>
      <c r="C150" s="307" t="s">
        <v>7</v>
      </c>
      <c r="D150" s="308"/>
      <c r="E150" s="308"/>
      <c r="F150" s="389"/>
      <c r="G150" s="302"/>
      <c r="H150" s="298"/>
      <c r="I150" s="298"/>
      <c r="J150" s="298"/>
      <c r="K150" s="62">
        <f>IF(K148&gt;=D149,4,4/D149*K148)</f>
        <v>0</v>
      </c>
      <c r="L150" s="328"/>
      <c r="M150" s="328"/>
    </row>
    <row r="151" spans="1:13" ht="30" customHeight="1" x14ac:dyDescent="0.25">
      <c r="A151" s="340"/>
      <c r="B151" s="308"/>
      <c r="C151" s="309" t="s">
        <v>589</v>
      </c>
      <c r="D151" s="308"/>
      <c r="E151" s="308"/>
      <c r="F151" s="389"/>
      <c r="G151" s="302"/>
      <c r="H151" s="298"/>
      <c r="I151" s="298"/>
      <c r="J151" s="298"/>
      <c r="K151" s="62">
        <f>IF(AND('Isian Prodi'!E30&gt;0,'Isian Prodi'!E31&gt;0,'Isian Prodi'!E32&gt;0,'Isian Prodi'!E33&gt;0,'Isian Prodi'!E34&gt;0),4,IF(OR('Isian Prodi'!E30&gt;0,'Isian Prodi'!E31&gt;0,'Isian Prodi'!E32&gt;0,'Isian Prodi'!E33&gt;0,'Isian Prodi'!E34&gt;0),2,0))</f>
        <v>0</v>
      </c>
      <c r="L151" s="328"/>
      <c r="M151" s="328"/>
    </row>
    <row r="152" spans="1:13" x14ac:dyDescent="0.25">
      <c r="A152" s="340"/>
      <c r="B152" s="308"/>
      <c r="C152" s="149">
        <v>4</v>
      </c>
      <c r="D152" s="150" t="s">
        <v>590</v>
      </c>
      <c r="E152" s="308"/>
      <c r="F152" s="389"/>
      <c r="G152" s="302"/>
      <c r="H152" s="298"/>
      <c r="I152" s="298"/>
      <c r="J152" s="298"/>
      <c r="K152" s="297"/>
      <c r="L152" s="328"/>
      <c r="M152" s="328"/>
    </row>
    <row r="153" spans="1:13" x14ac:dyDescent="0.25">
      <c r="A153" s="340"/>
      <c r="B153" s="308"/>
      <c r="C153" s="149">
        <v>3</v>
      </c>
      <c r="D153" s="150" t="s">
        <v>591</v>
      </c>
      <c r="E153" s="308"/>
      <c r="F153" s="389"/>
      <c r="G153" s="302"/>
      <c r="H153" s="298"/>
      <c r="I153" s="298"/>
      <c r="J153" s="298"/>
      <c r="K153" s="298"/>
      <c r="L153" s="328"/>
      <c r="M153" s="328"/>
    </row>
    <row r="154" spans="1:13" x14ac:dyDescent="0.25">
      <c r="A154" s="340"/>
      <c r="B154" s="308"/>
      <c r="C154" s="149">
        <v>2</v>
      </c>
      <c r="D154" s="150" t="s">
        <v>592</v>
      </c>
      <c r="E154" s="308"/>
      <c r="F154" s="389"/>
      <c r="G154" s="302"/>
      <c r="H154" s="298"/>
      <c r="I154" s="298"/>
      <c r="J154" s="298"/>
      <c r="K154" s="298"/>
      <c r="L154" s="328"/>
      <c r="M154" s="328"/>
    </row>
    <row r="155" spans="1:13" x14ac:dyDescent="0.25">
      <c r="A155" s="340"/>
      <c r="B155" s="308"/>
      <c r="C155" s="149">
        <v>1</v>
      </c>
      <c r="D155" s="150" t="s">
        <v>593</v>
      </c>
      <c r="E155" s="308"/>
      <c r="F155" s="389"/>
      <c r="G155" s="302"/>
      <c r="H155" s="298"/>
      <c r="I155" s="298"/>
      <c r="J155" s="298"/>
      <c r="K155" s="298"/>
      <c r="L155" s="328"/>
      <c r="M155" s="328"/>
    </row>
    <row r="156" spans="1:13" x14ac:dyDescent="0.25">
      <c r="A156" s="340"/>
      <c r="B156" s="308"/>
      <c r="C156" s="149">
        <v>0</v>
      </c>
      <c r="D156" s="150" t="s">
        <v>594</v>
      </c>
      <c r="E156" s="308"/>
      <c r="F156" s="389"/>
      <c r="G156" s="303"/>
      <c r="H156" s="299"/>
      <c r="I156" s="299"/>
      <c r="J156" s="299"/>
      <c r="K156" s="299"/>
      <c r="L156" s="328"/>
      <c r="M156" s="328"/>
    </row>
    <row r="157" spans="1:13" x14ac:dyDescent="0.25">
      <c r="A157" s="340"/>
      <c r="B157" s="308"/>
      <c r="C157" s="391" t="s">
        <v>7</v>
      </c>
      <c r="D157" s="308"/>
      <c r="E157" s="308"/>
      <c r="F157" s="308"/>
      <c r="G157" s="185"/>
      <c r="H157" s="185"/>
      <c r="I157" s="185"/>
      <c r="J157" s="185"/>
      <c r="K157" s="62">
        <f>IF(K144=1,K150,IF(AND(K144=2,OR(ISBLANK(K144),K144&lt;0,K151&gt;4)),0,K151))</f>
        <v>0</v>
      </c>
      <c r="L157" s="328"/>
      <c r="M157" s="328"/>
    </row>
    <row r="158" spans="1:13" x14ac:dyDescent="0.25">
      <c r="L158" s="98"/>
      <c r="M158" s="98"/>
    </row>
    <row r="159" spans="1:13" ht="30" customHeight="1" x14ac:dyDescent="0.25">
      <c r="A159" s="340">
        <v>15</v>
      </c>
      <c r="B159" s="317" t="s">
        <v>751</v>
      </c>
      <c r="C159" s="291" t="s">
        <v>386</v>
      </c>
      <c r="D159" s="291"/>
      <c r="E159" s="310" t="s">
        <v>1004</v>
      </c>
      <c r="F159" s="301" t="s">
        <v>993</v>
      </c>
      <c r="G159" s="301" t="s">
        <v>994</v>
      </c>
      <c r="H159" s="203" t="s">
        <v>920</v>
      </c>
      <c r="I159" s="203">
        <v>1</v>
      </c>
      <c r="J159" s="212" t="str">
        <f>IF((IF(OR((H159&amp;"."&amp;I159)=$R$8,(H159&amp;"."&amp;I159)=$S$8,(H159&amp;"."&amp;I159)=$T$8,(H159&amp;"."&amp;I159)=$U$8,(H159&amp;"."&amp;I159)=$V$8,(H159&amp;"."&amp;I159)=$W$8),1,0))=1,"EKSTREM",IF((IF(OR((H159&amp;"."&amp;I159)=$R$9,(H159&amp;"."&amp;I159)=$S$9,(H159&amp;"."&amp;I159)=$T$9,(H159&amp;"."&amp;I159)=$U$9,(H159&amp;"."&amp;I159)=$V$9,(H159&amp;"."&amp;I159)=$W$9,(H159&amp;"."&amp;I159)=$X$9),1,0))=1,"TINGGI",IF((IF(OR((H159&amp;"."&amp;I159)=$R$10,(H159&amp;"."&amp;I159)=$S$10,(H159&amp;"."&amp;I159)=$T$10,(H159&amp;"."&amp;I159)=$U$10,(H159&amp;"."&amp;I159)=$V$10,(H159&amp;"."&amp;I159)=$W$10),1,0))=1,"MODERAT",IF((IF(OR((H159&amp;"."&amp;I159)=$R$11,(H159&amp;"."&amp;I159)=$S$11,(H159&amp;"."&amp;I159)=$T$11,(H159&amp;"."&amp;I159)=$U$11,(H159&amp;"."&amp;I159)=$V$11,(H159&amp;"."&amp;I159)=$W$11),1,0))=1,"RENDAH","-"))))</f>
        <v>MODERAT</v>
      </c>
      <c r="K159" s="7"/>
      <c r="L159" s="354" t="s">
        <v>1078</v>
      </c>
      <c r="M159" s="354" t="s">
        <v>1079</v>
      </c>
    </row>
    <row r="160" spans="1:13" x14ac:dyDescent="0.25">
      <c r="A160" s="340"/>
      <c r="B160" s="318"/>
      <c r="C160" s="304" t="s">
        <v>141</v>
      </c>
      <c r="D160" s="304"/>
      <c r="E160" s="313"/>
      <c r="F160" s="302"/>
      <c r="G160" s="302"/>
      <c r="H160" s="297"/>
      <c r="I160" s="297"/>
      <c r="J160" s="297"/>
      <c r="K160" s="11">
        <f>'Isian Prodi'!D34</f>
        <v>0</v>
      </c>
      <c r="L160" s="355"/>
      <c r="M160" s="355"/>
    </row>
    <row r="161" spans="1:13" x14ac:dyDescent="0.25">
      <c r="A161" s="340"/>
      <c r="B161" s="318"/>
      <c r="C161" s="304" t="s">
        <v>142</v>
      </c>
      <c r="D161" s="304"/>
      <c r="E161" s="313"/>
      <c r="F161" s="302"/>
      <c r="G161" s="302"/>
      <c r="H161" s="298"/>
      <c r="I161" s="298"/>
      <c r="J161" s="298"/>
      <c r="K161" s="11">
        <f>'Isian Prodi'!D33</f>
        <v>0</v>
      </c>
      <c r="L161" s="355"/>
      <c r="M161" s="355"/>
    </row>
    <row r="162" spans="1:13" x14ac:dyDescent="0.25">
      <c r="A162" s="340"/>
      <c r="B162" s="318"/>
      <c r="C162" s="304" t="s">
        <v>143</v>
      </c>
      <c r="D162" s="304"/>
      <c r="E162" s="313"/>
      <c r="F162" s="302"/>
      <c r="G162" s="302"/>
      <c r="H162" s="298"/>
      <c r="I162" s="298"/>
      <c r="J162" s="298"/>
      <c r="K162" s="11">
        <f>'Isian Prodi'!D32</f>
        <v>0</v>
      </c>
      <c r="L162" s="355"/>
      <c r="M162" s="355"/>
    </row>
    <row r="163" spans="1:13" x14ac:dyDescent="0.25">
      <c r="A163" s="340"/>
      <c r="B163" s="318"/>
      <c r="C163" s="304" t="s">
        <v>144</v>
      </c>
      <c r="D163" s="304"/>
      <c r="E163" s="313"/>
      <c r="F163" s="302"/>
      <c r="G163" s="302"/>
      <c r="H163" s="298"/>
      <c r="I163" s="298"/>
      <c r="J163" s="298"/>
      <c r="K163" s="11">
        <f>'Isian Prodi'!D31</f>
        <v>0</v>
      </c>
      <c r="L163" s="355"/>
      <c r="M163" s="355"/>
    </row>
    <row r="164" spans="1:13" x14ac:dyDescent="0.25">
      <c r="A164" s="340"/>
      <c r="B164" s="318"/>
      <c r="C164" s="308" t="s">
        <v>145</v>
      </c>
      <c r="D164" s="308"/>
      <c r="E164" s="313"/>
      <c r="F164" s="302"/>
      <c r="G164" s="302"/>
      <c r="H164" s="298"/>
      <c r="I164" s="298"/>
      <c r="J164" s="298"/>
      <c r="K164" s="79">
        <f>IF(K163&gt;0,(K162-K163)/K163,0)</f>
        <v>0</v>
      </c>
      <c r="L164" s="355"/>
      <c r="M164" s="355"/>
    </row>
    <row r="165" spans="1:13" x14ac:dyDescent="0.25">
      <c r="A165" s="340"/>
      <c r="B165" s="318"/>
      <c r="C165" s="308" t="s">
        <v>146</v>
      </c>
      <c r="D165" s="308"/>
      <c r="E165" s="313"/>
      <c r="F165" s="302"/>
      <c r="G165" s="302"/>
      <c r="H165" s="298"/>
      <c r="I165" s="298"/>
      <c r="J165" s="298"/>
      <c r="K165" s="79">
        <f>IF(K162&gt;0,(K161-K162)/K162,0)</f>
        <v>0</v>
      </c>
      <c r="L165" s="355"/>
      <c r="M165" s="355"/>
    </row>
    <row r="166" spans="1:13" x14ac:dyDescent="0.25">
      <c r="A166" s="340"/>
      <c r="B166" s="318"/>
      <c r="C166" s="308" t="s">
        <v>147</v>
      </c>
      <c r="D166" s="308"/>
      <c r="E166" s="313"/>
      <c r="F166" s="302"/>
      <c r="G166" s="302"/>
      <c r="H166" s="298"/>
      <c r="I166" s="298"/>
      <c r="J166" s="298"/>
      <c r="K166" s="79">
        <f>IF(K161&gt;0,(K160-K161)/K161,0)</f>
        <v>0</v>
      </c>
      <c r="L166" s="355"/>
      <c r="M166" s="355"/>
    </row>
    <row r="167" spans="1:13" x14ac:dyDescent="0.25">
      <c r="A167" s="340"/>
      <c r="B167" s="318"/>
      <c r="C167" s="308" t="s">
        <v>148</v>
      </c>
      <c r="D167" s="308"/>
      <c r="E167" s="314"/>
      <c r="F167" s="302"/>
      <c r="G167" s="302"/>
      <c r="H167" s="298"/>
      <c r="I167" s="298"/>
      <c r="J167" s="298"/>
      <c r="K167" s="79">
        <f>AVERAGE(K164:K166)</f>
        <v>0</v>
      </c>
      <c r="L167" s="355"/>
      <c r="M167" s="355"/>
    </row>
    <row r="168" spans="1:13" x14ac:dyDescent="0.25">
      <c r="A168" s="340"/>
      <c r="B168" s="318"/>
      <c r="C168" s="391" t="s">
        <v>110</v>
      </c>
      <c r="D168" s="391"/>
      <c r="E168" s="391"/>
      <c r="F168" s="302"/>
      <c r="G168" s="302"/>
      <c r="H168" s="298"/>
      <c r="I168" s="298"/>
      <c r="J168" s="298"/>
      <c r="K168" s="11">
        <f>IF(AND(K164&gt;10%,K165&gt;10%,K166&gt;10%),4,IF(AND(AND(K164&lt;K165,K165&lt;K166),K164&gt;0,K165&gt;0,K166&gt;0),3,IF(AND(AND(K164=K165,K165=K166),K164&gt;0,K165&gt;0,K166&gt;0),2,IF(AND(OR(K164&gt;K165,K165&gt;K166),K164&gt;0,K165&gt;0,K166&gt;0),1,0))))</f>
        <v>0</v>
      </c>
      <c r="L168" s="355"/>
      <c r="M168" s="355"/>
    </row>
    <row r="169" spans="1:13" ht="45" customHeight="1" x14ac:dyDescent="0.25">
      <c r="A169" s="340"/>
      <c r="B169" s="318"/>
      <c r="C169" s="291" t="s">
        <v>387</v>
      </c>
      <c r="D169" s="291"/>
      <c r="E169" s="310" t="s">
        <v>1005</v>
      </c>
      <c r="F169" s="302"/>
      <c r="G169" s="302"/>
      <c r="H169" s="298"/>
      <c r="I169" s="298"/>
      <c r="J169" s="298"/>
      <c r="K169" s="7"/>
      <c r="L169" s="355"/>
      <c r="M169" s="355"/>
    </row>
    <row r="170" spans="1:13" x14ac:dyDescent="0.25">
      <c r="A170" s="340"/>
      <c r="B170" s="318"/>
      <c r="C170" s="308" t="s">
        <v>139</v>
      </c>
      <c r="D170" s="308"/>
      <c r="E170" s="313"/>
      <c r="F170" s="302"/>
      <c r="G170" s="302"/>
      <c r="H170" s="298"/>
      <c r="I170" s="298"/>
      <c r="J170" s="298"/>
      <c r="K170" s="11">
        <f>'Isian Prodi'!C45</f>
        <v>0</v>
      </c>
      <c r="L170" s="355"/>
      <c r="M170" s="355"/>
    </row>
    <row r="171" spans="1:13" x14ac:dyDescent="0.25">
      <c r="A171" s="340"/>
      <c r="B171" s="318"/>
      <c r="C171" s="308" t="s">
        <v>140</v>
      </c>
      <c r="D171" s="308"/>
      <c r="E171" s="314"/>
      <c r="F171" s="302"/>
      <c r="G171" s="302"/>
      <c r="H171" s="298"/>
      <c r="I171" s="298"/>
      <c r="J171" s="298"/>
      <c r="K171" s="11">
        <f>'Isian Prodi'!B45</f>
        <v>0</v>
      </c>
      <c r="L171" s="355"/>
      <c r="M171" s="355"/>
    </row>
    <row r="172" spans="1:13" x14ac:dyDescent="0.25">
      <c r="A172" s="340"/>
      <c r="B172" s="318"/>
      <c r="C172" s="391" t="s">
        <v>119</v>
      </c>
      <c r="D172" s="391"/>
      <c r="E172" s="391"/>
      <c r="F172" s="303"/>
      <c r="G172" s="303"/>
      <c r="H172" s="299"/>
      <c r="I172" s="299"/>
      <c r="J172" s="299"/>
      <c r="K172" s="11">
        <f>IF(K171&gt;0,IF((2+(200*(K170/K171)))&lt;=4,2+(200*(K170/K171)),4),0)</f>
        <v>0</v>
      </c>
      <c r="L172" s="355"/>
      <c r="M172" s="355"/>
    </row>
    <row r="173" spans="1:13" x14ac:dyDescent="0.25">
      <c r="A173" s="340"/>
      <c r="B173" s="319"/>
      <c r="C173" s="390" t="s">
        <v>120</v>
      </c>
      <c r="D173" s="390"/>
      <c r="E173" s="390"/>
      <c r="F173" s="65"/>
      <c r="G173" s="192"/>
      <c r="H173" s="192"/>
      <c r="I173" s="192"/>
      <c r="J173" s="192"/>
      <c r="K173" s="11">
        <f>((2*K168)+K172)/3</f>
        <v>0</v>
      </c>
      <c r="L173" s="356"/>
      <c r="M173" s="356"/>
    </row>
    <row r="174" spans="1:13" x14ac:dyDescent="0.25">
      <c r="L174" s="98"/>
      <c r="M174" s="98"/>
    </row>
    <row r="175" spans="1:13" ht="75" customHeight="1" x14ac:dyDescent="0.25">
      <c r="A175" s="340">
        <v>16</v>
      </c>
      <c r="B175" s="317" t="s">
        <v>755</v>
      </c>
      <c r="C175" s="291" t="s">
        <v>752</v>
      </c>
      <c r="D175" s="291"/>
      <c r="E175" s="294" t="s">
        <v>1006</v>
      </c>
      <c r="F175" s="301" t="s">
        <v>993</v>
      </c>
      <c r="G175" s="301" t="s">
        <v>994</v>
      </c>
      <c r="H175" s="203" t="s">
        <v>920</v>
      </c>
      <c r="I175" s="203">
        <v>1</v>
      </c>
      <c r="J175" s="212" t="str">
        <f>IF((IF(OR((H175&amp;"."&amp;I175)=$R$8,(H175&amp;"."&amp;I175)=$S$8,(H175&amp;"."&amp;I175)=$T$8,(H175&amp;"."&amp;I175)=$U$8,(H175&amp;"."&amp;I175)=$V$8,(H175&amp;"."&amp;I175)=$W$8),1,0))=1,"EKSTREM",IF((IF(OR((H175&amp;"."&amp;I175)=$R$9,(H175&amp;"."&amp;I175)=$S$9,(H175&amp;"."&amp;I175)=$T$9,(H175&amp;"."&amp;I175)=$U$9,(H175&amp;"."&amp;I175)=$V$9,(H175&amp;"."&amp;I175)=$W$9,(H175&amp;"."&amp;I175)=$X$9),1,0))=1,"TINGGI",IF((IF(OR((H175&amp;"."&amp;I175)=$R$10,(H175&amp;"."&amp;I175)=$S$10,(H175&amp;"."&amp;I175)=$T$10,(H175&amp;"."&amp;I175)=$U$10,(H175&amp;"."&amp;I175)=$V$10,(H175&amp;"."&amp;I175)=$W$10),1,0))=1,"MODERAT",IF((IF(OR((H175&amp;"."&amp;I175)=$R$11,(H175&amp;"."&amp;I175)=$S$11,(H175&amp;"."&amp;I175)=$T$11,(H175&amp;"."&amp;I175)=$U$11,(H175&amp;"."&amp;I175)=$V$11,(H175&amp;"."&amp;I175)=$W$11),1,0))=1,"RENDAH","-"))))</f>
        <v>MODERAT</v>
      </c>
      <c r="K175" s="10">
        <v>0</v>
      </c>
      <c r="L175" s="354" t="s">
        <v>1078</v>
      </c>
      <c r="M175" s="354" t="s">
        <v>1079</v>
      </c>
    </row>
    <row r="176" spans="1:13" ht="45.75" customHeight="1" x14ac:dyDescent="0.25">
      <c r="A176" s="340"/>
      <c r="B176" s="349"/>
      <c r="C176" s="13">
        <v>4</v>
      </c>
      <c r="D176" s="63" t="s">
        <v>753</v>
      </c>
      <c r="E176" s="294"/>
      <c r="F176" s="302"/>
      <c r="G176" s="302"/>
      <c r="H176" s="297"/>
      <c r="I176" s="297"/>
      <c r="J176" s="297"/>
      <c r="K176" s="297"/>
      <c r="L176" s="355"/>
      <c r="M176" s="355"/>
    </row>
    <row r="177" spans="1:13" ht="45" x14ac:dyDescent="0.25">
      <c r="A177" s="340"/>
      <c r="B177" s="349"/>
      <c r="C177" s="13">
        <v>3</v>
      </c>
      <c r="D177" s="63" t="s">
        <v>149</v>
      </c>
      <c r="E177" s="294"/>
      <c r="F177" s="302"/>
      <c r="G177" s="302"/>
      <c r="H177" s="298"/>
      <c r="I177" s="298"/>
      <c r="J177" s="298"/>
      <c r="K177" s="298"/>
      <c r="L177" s="355"/>
      <c r="M177" s="355"/>
    </row>
    <row r="178" spans="1:13" ht="30" x14ac:dyDescent="0.25">
      <c r="A178" s="340"/>
      <c r="B178" s="349"/>
      <c r="C178" s="13">
        <v>2</v>
      </c>
      <c r="D178" s="63" t="s">
        <v>150</v>
      </c>
      <c r="E178" s="294"/>
      <c r="F178" s="302"/>
      <c r="G178" s="302"/>
      <c r="H178" s="298"/>
      <c r="I178" s="298"/>
      <c r="J178" s="298"/>
      <c r="K178" s="298"/>
      <c r="L178" s="355"/>
      <c r="M178" s="355"/>
    </row>
    <row r="179" spans="1:13" ht="30" x14ac:dyDescent="0.25">
      <c r="A179" s="340"/>
      <c r="B179" s="349"/>
      <c r="C179" s="13">
        <v>1</v>
      </c>
      <c r="D179" s="63" t="s">
        <v>151</v>
      </c>
      <c r="E179" s="294"/>
      <c r="F179" s="302"/>
      <c r="G179" s="302"/>
      <c r="H179" s="298"/>
      <c r="I179" s="298"/>
      <c r="J179" s="298"/>
      <c r="K179" s="298"/>
      <c r="L179" s="355"/>
      <c r="M179" s="355"/>
    </row>
    <row r="180" spans="1:13" x14ac:dyDescent="0.25">
      <c r="A180" s="340"/>
      <c r="B180" s="349"/>
      <c r="C180" s="13">
        <v>0</v>
      </c>
      <c r="D180" s="63" t="s">
        <v>152</v>
      </c>
      <c r="E180" s="294"/>
      <c r="F180" s="302"/>
      <c r="G180" s="302"/>
      <c r="H180" s="298"/>
      <c r="I180" s="298"/>
      <c r="J180" s="298"/>
      <c r="K180" s="298"/>
      <c r="L180" s="355"/>
      <c r="M180" s="355"/>
    </row>
    <row r="181" spans="1:13" ht="30" customHeight="1" x14ac:dyDescent="0.25">
      <c r="A181" s="340"/>
      <c r="B181" s="349"/>
      <c r="C181" s="291" t="s">
        <v>754</v>
      </c>
      <c r="D181" s="291"/>
      <c r="E181" s="294" t="s">
        <v>1007</v>
      </c>
      <c r="F181" s="302"/>
      <c r="G181" s="302"/>
      <c r="H181" s="298"/>
      <c r="I181" s="298"/>
      <c r="J181" s="298"/>
      <c r="K181" s="10">
        <v>0</v>
      </c>
      <c r="L181" s="355"/>
      <c r="M181" s="355"/>
    </row>
    <row r="182" spans="1:13" ht="45" x14ac:dyDescent="0.25">
      <c r="A182" s="340"/>
      <c r="B182" s="349"/>
      <c r="C182" s="13">
        <v>4</v>
      </c>
      <c r="D182" s="14" t="s">
        <v>153</v>
      </c>
      <c r="E182" s="294"/>
      <c r="F182" s="302"/>
      <c r="G182" s="302"/>
      <c r="H182" s="298"/>
      <c r="I182" s="298"/>
      <c r="J182" s="298"/>
      <c r="K182" s="297"/>
      <c r="L182" s="355"/>
      <c r="M182" s="355"/>
    </row>
    <row r="183" spans="1:13" ht="45" x14ac:dyDescent="0.25">
      <c r="A183" s="340"/>
      <c r="B183" s="349"/>
      <c r="C183" s="13">
        <v>3</v>
      </c>
      <c r="D183" s="14" t="s">
        <v>154</v>
      </c>
      <c r="E183" s="294"/>
      <c r="F183" s="302"/>
      <c r="G183" s="302"/>
      <c r="H183" s="298"/>
      <c r="I183" s="298"/>
      <c r="J183" s="298"/>
      <c r="K183" s="298"/>
      <c r="L183" s="355"/>
      <c r="M183" s="355"/>
    </row>
    <row r="184" spans="1:13" ht="30" x14ac:dyDescent="0.25">
      <c r="A184" s="340"/>
      <c r="B184" s="349"/>
      <c r="C184" s="13">
        <v>2</v>
      </c>
      <c r="D184" s="14" t="s">
        <v>155</v>
      </c>
      <c r="E184" s="294"/>
      <c r="F184" s="302"/>
      <c r="G184" s="302"/>
      <c r="H184" s="298"/>
      <c r="I184" s="298"/>
      <c r="J184" s="298"/>
      <c r="K184" s="298"/>
      <c r="L184" s="355"/>
      <c r="M184" s="355"/>
    </row>
    <row r="185" spans="1:13" ht="30" x14ac:dyDescent="0.25">
      <c r="A185" s="340"/>
      <c r="B185" s="349"/>
      <c r="C185" s="13">
        <v>1</v>
      </c>
      <c r="D185" s="14" t="s">
        <v>156</v>
      </c>
      <c r="E185" s="294"/>
      <c r="F185" s="302"/>
      <c r="G185" s="302"/>
      <c r="H185" s="298"/>
      <c r="I185" s="298"/>
      <c r="J185" s="298"/>
      <c r="K185" s="298"/>
      <c r="L185" s="355"/>
      <c r="M185" s="355"/>
    </row>
    <row r="186" spans="1:13" x14ac:dyDescent="0.25">
      <c r="A186" s="340"/>
      <c r="B186" s="349"/>
      <c r="C186" s="13">
        <v>0</v>
      </c>
      <c r="D186" s="14" t="s">
        <v>152</v>
      </c>
      <c r="E186" s="294"/>
      <c r="F186" s="303"/>
      <c r="G186" s="303"/>
      <c r="H186" s="299"/>
      <c r="I186" s="299"/>
      <c r="J186" s="299"/>
      <c r="K186" s="298"/>
      <c r="L186" s="355"/>
      <c r="M186" s="355"/>
    </row>
    <row r="187" spans="1:13" x14ac:dyDescent="0.25">
      <c r="A187" s="340"/>
      <c r="B187" s="350"/>
      <c r="C187" s="357" t="s">
        <v>9</v>
      </c>
      <c r="D187" s="358"/>
      <c r="E187" s="358"/>
      <c r="F187" s="359"/>
      <c r="G187" s="189"/>
      <c r="H187" s="189"/>
      <c r="I187" s="189"/>
      <c r="J187" s="189"/>
      <c r="K187" s="11">
        <f>IF(OR(ISBLANK(K175),K175&lt;0,K175&gt;4,ISBLANK(K181),K181&lt;0,K181&gt;4),0,(K175+2*K181)/3)</f>
        <v>0</v>
      </c>
      <c r="L187" s="356"/>
      <c r="M187" s="356"/>
    </row>
    <row r="188" spans="1:13" x14ac:dyDescent="0.25">
      <c r="L188" s="98"/>
      <c r="M188" s="98"/>
    </row>
    <row r="189" spans="1:13" ht="30" customHeight="1" x14ac:dyDescent="0.25">
      <c r="A189" s="340">
        <v>17</v>
      </c>
      <c r="B189" s="387" t="s">
        <v>756</v>
      </c>
      <c r="C189" s="291" t="s">
        <v>1121</v>
      </c>
      <c r="D189" s="291"/>
      <c r="E189" s="294" t="s">
        <v>1012</v>
      </c>
      <c r="F189" s="300" t="s">
        <v>993</v>
      </c>
      <c r="G189" s="300" t="s">
        <v>994</v>
      </c>
      <c r="H189" s="203" t="s">
        <v>964</v>
      </c>
      <c r="I189" s="203">
        <v>3</v>
      </c>
      <c r="J189" s="212" t="str">
        <f>IF((IF(OR((H189&amp;"."&amp;I189)=$R$8,(H189&amp;"."&amp;I189)=$S$8,(H189&amp;"."&amp;I189)=$T$8,(H189&amp;"."&amp;I189)=$U$8,(H189&amp;"."&amp;I189)=$V$8,(H189&amp;"."&amp;I189)=$W$8),1,0))=1,"EKSTREM",IF((IF(OR((H189&amp;"."&amp;I189)=$R$9,(H189&amp;"."&amp;I189)=$S$9,(H189&amp;"."&amp;I189)=$T$9,(H189&amp;"."&amp;I189)=$U$9,(H189&amp;"."&amp;I189)=$V$9,(H189&amp;"."&amp;I189)=$W$9,(H189&amp;"."&amp;I189)=$X$9),1,0))=1,"TINGGI",IF((IF(OR((H189&amp;"."&amp;I189)=$R$10,(H189&amp;"."&amp;I189)=$S$10,(H189&amp;"."&amp;I189)=$T$10,(H189&amp;"."&amp;I189)=$U$10,(H189&amp;"."&amp;I189)=$V$10,(H189&amp;"."&amp;I189)=$W$10),1,0))=1,"MODERAT",IF((IF(OR((H189&amp;"."&amp;I189)=$R$11,(H189&amp;"."&amp;I189)=$S$11,(H189&amp;"."&amp;I189)=$T$11,(H189&amp;"."&amp;I189)=$U$11,(H189&amp;"."&amp;I189)=$V$11,(H189&amp;"."&amp;I189)=$W$11),1,0))=1,"RENDAH","-"))))</f>
        <v>TINGGI</v>
      </c>
      <c r="K189" s="7"/>
      <c r="L189" s="326" t="s">
        <v>1078</v>
      </c>
      <c r="M189" s="326" t="s">
        <v>1079</v>
      </c>
    </row>
    <row r="190" spans="1:13" x14ac:dyDescent="0.25">
      <c r="A190" s="340"/>
      <c r="B190" s="315"/>
      <c r="C190" s="401" t="s">
        <v>1122</v>
      </c>
      <c r="D190" s="402"/>
      <c r="E190" s="294"/>
      <c r="F190" s="300"/>
      <c r="G190" s="300"/>
      <c r="H190" s="297"/>
      <c r="I190" s="297"/>
      <c r="J190" s="297"/>
      <c r="K190" s="407">
        <f>'Isian Prodi'!C59</f>
        <v>0</v>
      </c>
      <c r="L190" s="326"/>
      <c r="M190" s="326"/>
    </row>
    <row r="191" spans="1:13" x14ac:dyDescent="0.25">
      <c r="A191" s="340"/>
      <c r="B191" s="315"/>
      <c r="C191" s="403"/>
      <c r="D191" s="404"/>
      <c r="E191" s="294"/>
      <c r="F191" s="300"/>
      <c r="G191" s="300"/>
      <c r="H191" s="298"/>
      <c r="I191" s="298"/>
      <c r="J191" s="298"/>
      <c r="K191" s="408"/>
      <c r="L191" s="326"/>
      <c r="M191" s="326"/>
    </row>
    <row r="192" spans="1:13" x14ac:dyDescent="0.25">
      <c r="A192" s="340"/>
      <c r="B192" s="315"/>
      <c r="C192" s="403"/>
      <c r="D192" s="404"/>
      <c r="E192" s="294"/>
      <c r="F192" s="300"/>
      <c r="G192" s="300"/>
      <c r="H192" s="298"/>
      <c r="I192" s="298"/>
      <c r="J192" s="298"/>
      <c r="K192" s="408"/>
      <c r="L192" s="326"/>
      <c r="M192" s="326"/>
    </row>
    <row r="193" spans="1:13" x14ac:dyDescent="0.25">
      <c r="A193" s="340"/>
      <c r="B193" s="315"/>
      <c r="C193" s="403"/>
      <c r="D193" s="404"/>
      <c r="E193" s="294"/>
      <c r="F193" s="300"/>
      <c r="G193" s="300"/>
      <c r="H193" s="298"/>
      <c r="I193" s="298"/>
      <c r="J193" s="298"/>
      <c r="K193" s="408"/>
      <c r="L193" s="326"/>
      <c r="M193" s="326"/>
    </row>
    <row r="194" spans="1:13" x14ac:dyDescent="0.25">
      <c r="A194" s="340"/>
      <c r="B194" s="315"/>
      <c r="C194" s="403"/>
      <c r="D194" s="404"/>
      <c r="E194" s="294"/>
      <c r="F194" s="300"/>
      <c r="G194" s="300"/>
      <c r="H194" s="298"/>
      <c r="I194" s="298"/>
      <c r="J194" s="298"/>
      <c r="K194" s="408"/>
      <c r="L194" s="326"/>
      <c r="M194" s="326"/>
    </row>
    <row r="195" spans="1:13" x14ac:dyDescent="0.25">
      <c r="A195" s="340"/>
      <c r="B195" s="315"/>
      <c r="C195" s="403"/>
      <c r="D195" s="404"/>
      <c r="E195" s="294"/>
      <c r="F195" s="300"/>
      <c r="G195" s="300"/>
      <c r="H195" s="298"/>
      <c r="I195" s="298"/>
      <c r="J195" s="298"/>
      <c r="K195" s="408"/>
      <c r="L195" s="326"/>
      <c r="M195" s="326"/>
    </row>
    <row r="196" spans="1:13" x14ac:dyDescent="0.25">
      <c r="A196" s="340"/>
      <c r="B196" s="315"/>
      <c r="C196" s="405"/>
      <c r="D196" s="406"/>
      <c r="E196" s="294"/>
      <c r="F196" s="300"/>
      <c r="G196" s="300"/>
      <c r="H196" s="299"/>
      <c r="I196" s="299"/>
      <c r="J196" s="299"/>
      <c r="K196" s="409"/>
      <c r="L196" s="326"/>
      <c r="M196" s="326"/>
    </row>
    <row r="197" spans="1:13" x14ac:dyDescent="0.25">
      <c r="A197" s="340"/>
      <c r="B197" s="315"/>
      <c r="C197" s="304" t="s">
        <v>7</v>
      </c>
      <c r="D197" s="304"/>
      <c r="E197" s="304"/>
      <c r="F197" s="304"/>
      <c r="G197" s="183"/>
      <c r="H197" s="183"/>
      <c r="I197" s="183"/>
      <c r="J197" s="183"/>
      <c r="K197" s="11">
        <f>IF(K190&gt;=12,4,IF(K190&lt;3,0,((2*K190)+12)/9))</f>
        <v>0</v>
      </c>
      <c r="L197" s="326"/>
      <c r="M197" s="326"/>
    </row>
    <row r="198" spans="1:13" x14ac:dyDescent="0.25">
      <c r="L198" s="98"/>
      <c r="M198" s="98"/>
    </row>
    <row r="199" spans="1:13" ht="35.1" customHeight="1" x14ac:dyDescent="0.25">
      <c r="A199" s="340">
        <v>18</v>
      </c>
      <c r="B199" s="315"/>
      <c r="C199" s="291" t="s">
        <v>760</v>
      </c>
      <c r="D199" s="291"/>
      <c r="E199" s="294" t="s">
        <v>1008</v>
      </c>
      <c r="F199" s="300" t="s">
        <v>993</v>
      </c>
      <c r="G199" s="300" t="s">
        <v>994</v>
      </c>
      <c r="H199" s="203" t="s">
        <v>697</v>
      </c>
      <c r="I199" s="203">
        <v>1</v>
      </c>
      <c r="J199" s="212" t="str">
        <f>IF((IF(OR((H199&amp;"."&amp;I199)=$R$8,(H199&amp;"."&amp;I199)=$S$8,(H199&amp;"."&amp;I199)=$T$8,(H199&amp;"."&amp;I199)=$U$8,(H199&amp;"."&amp;I199)=$V$8,(H199&amp;"."&amp;I199)=$W$8),1,0))=1,"EKSTREM",IF((IF(OR((H199&amp;"."&amp;I199)=$R$9,(H199&amp;"."&amp;I199)=$S$9,(H199&amp;"."&amp;I199)=$T$9,(H199&amp;"."&amp;I199)=$U$9,(H199&amp;"."&amp;I199)=$V$9,(H199&amp;"."&amp;I199)=$W$9,(H199&amp;"."&amp;I199)=$X$9),1,0))=1,"TINGGI",IF((IF(OR((H199&amp;"."&amp;I199)=$R$10,(H199&amp;"."&amp;I199)=$S$10,(H199&amp;"."&amp;I199)=$T$10,(H199&amp;"."&amp;I199)=$U$10,(H199&amp;"."&amp;I199)=$V$10,(H199&amp;"."&amp;I199)=$W$10),1,0))=1,"MODERAT",IF((IF(OR((H199&amp;"."&amp;I199)=$R$11,(H199&amp;"."&amp;I199)=$S$11,(H199&amp;"."&amp;I199)=$T$11,(H199&amp;"."&amp;I199)=$U$11,(H199&amp;"."&amp;I199)=$V$11,(H199&amp;"."&amp;I199)=$W$11),1,0))=1,"RENDAH","-"))))</f>
        <v>RENDAH</v>
      </c>
      <c r="K199" s="7"/>
      <c r="L199" s="326" t="s">
        <v>1078</v>
      </c>
      <c r="M199" s="326" t="s">
        <v>1079</v>
      </c>
    </row>
    <row r="200" spans="1:13" ht="48" customHeight="1" x14ac:dyDescent="0.25">
      <c r="A200" s="340"/>
      <c r="B200" s="315"/>
      <c r="C200" s="305" t="s">
        <v>104</v>
      </c>
      <c r="D200" s="306"/>
      <c r="E200" s="294"/>
      <c r="F200" s="300"/>
      <c r="G200" s="300"/>
      <c r="H200" s="297"/>
      <c r="I200" s="297"/>
      <c r="J200" s="297"/>
      <c r="K200" s="96">
        <f>'Isian Prodi'!C59</f>
        <v>0</v>
      </c>
      <c r="L200" s="326"/>
      <c r="M200" s="326"/>
    </row>
    <row r="201" spans="1:13" ht="35.1" customHeight="1" x14ac:dyDescent="0.25">
      <c r="A201" s="340"/>
      <c r="B201" s="315"/>
      <c r="C201" s="305" t="s">
        <v>757</v>
      </c>
      <c r="D201" s="306"/>
      <c r="E201" s="294"/>
      <c r="F201" s="300"/>
      <c r="G201" s="300"/>
      <c r="H201" s="298"/>
      <c r="I201" s="298"/>
      <c r="J201" s="298"/>
      <c r="K201" s="96">
        <f>'Isian Prodi'!C60</f>
        <v>0</v>
      </c>
      <c r="L201" s="326"/>
      <c r="M201" s="326"/>
    </row>
    <row r="202" spans="1:13" ht="18.75" customHeight="1" x14ac:dyDescent="0.25">
      <c r="A202" s="340"/>
      <c r="B202" s="315"/>
      <c r="C202" s="305" t="s">
        <v>758</v>
      </c>
      <c r="D202" s="306"/>
      <c r="E202" s="294"/>
      <c r="F202" s="300"/>
      <c r="G202" s="300"/>
      <c r="H202" s="299"/>
      <c r="I202" s="299"/>
      <c r="J202" s="299"/>
      <c r="K202" s="97">
        <f>IF(K200&gt;0,K201/K200,0)</f>
        <v>0</v>
      </c>
      <c r="L202" s="326"/>
      <c r="M202" s="326"/>
    </row>
    <row r="203" spans="1:13" x14ac:dyDescent="0.25">
      <c r="A203" s="340"/>
      <c r="B203" s="315"/>
      <c r="C203" s="304" t="s">
        <v>7</v>
      </c>
      <c r="D203" s="304"/>
      <c r="E203" s="304"/>
      <c r="F203" s="304"/>
      <c r="G203" s="183"/>
      <c r="H203" s="183"/>
      <c r="I203" s="183"/>
      <c r="J203" s="183"/>
      <c r="K203" s="96">
        <f>IF(K202&lt;=50%,2+(4*K202),4)</f>
        <v>2</v>
      </c>
      <c r="L203" s="326"/>
      <c r="M203" s="326"/>
    </row>
    <row r="204" spans="1:13" x14ac:dyDescent="0.25">
      <c r="L204" s="98"/>
      <c r="M204" s="98"/>
    </row>
    <row r="205" spans="1:13" ht="30" customHeight="1" x14ac:dyDescent="0.25">
      <c r="A205" s="340">
        <v>19</v>
      </c>
      <c r="B205" s="315"/>
      <c r="C205" s="291" t="s">
        <v>759</v>
      </c>
      <c r="D205" s="291"/>
      <c r="E205" s="294" t="s">
        <v>1012</v>
      </c>
      <c r="F205" s="301" t="s">
        <v>993</v>
      </c>
      <c r="G205" s="301" t="s">
        <v>994</v>
      </c>
      <c r="H205" s="203" t="s">
        <v>697</v>
      </c>
      <c r="I205" s="203">
        <v>1</v>
      </c>
      <c r="J205" s="212" t="str">
        <f>IF((IF(OR((H205&amp;"."&amp;I205)=$R$8,(H205&amp;"."&amp;I205)=$S$8,(H205&amp;"."&amp;I205)=$T$8,(H205&amp;"."&amp;I205)=$U$8,(H205&amp;"."&amp;I205)=$V$8,(H205&amp;"."&amp;I205)=$W$8),1,0))=1,"EKSTREM",IF((IF(OR((H205&amp;"."&amp;I205)=$R$9,(H205&amp;"."&amp;I205)=$S$9,(H205&amp;"."&amp;I205)=$T$9,(H205&amp;"."&amp;I205)=$U$9,(H205&amp;"."&amp;I205)=$V$9,(H205&amp;"."&amp;I205)=$W$9,(H205&amp;"."&amp;I205)=$X$9),1,0))=1,"TINGGI",IF((IF(OR((H205&amp;"."&amp;I205)=$R$10,(H205&amp;"."&amp;I205)=$S$10,(H205&amp;"."&amp;I205)=$T$10,(H205&amp;"."&amp;I205)=$U$10,(H205&amp;"."&amp;I205)=$V$10,(H205&amp;"."&amp;I205)=$W$10),1,0))=1,"MODERAT",IF((IF(OR((H205&amp;"."&amp;I205)=$R$11,(H205&amp;"."&amp;I205)=$S$11,(H205&amp;"."&amp;I205)=$T$11,(H205&amp;"."&amp;I205)=$U$11,(H205&amp;"."&amp;I205)=$V$11,(H205&amp;"."&amp;I205)=$W$11),1,0))=1,"RENDAH","-"))))</f>
        <v>RENDAH</v>
      </c>
      <c r="K205" s="7"/>
      <c r="L205" s="326" t="s">
        <v>1078</v>
      </c>
      <c r="M205" s="326" t="s">
        <v>1079</v>
      </c>
    </row>
    <row r="206" spans="1:13" ht="47.25" customHeight="1" x14ac:dyDescent="0.25">
      <c r="A206" s="340"/>
      <c r="B206" s="315"/>
      <c r="C206" s="305" t="s">
        <v>104</v>
      </c>
      <c r="D206" s="306"/>
      <c r="E206" s="294"/>
      <c r="F206" s="302"/>
      <c r="G206" s="302"/>
      <c r="H206" s="297"/>
      <c r="I206" s="297"/>
      <c r="J206" s="297"/>
      <c r="K206" s="96">
        <f>'Isian Prodi'!C59</f>
        <v>0</v>
      </c>
      <c r="L206" s="326"/>
      <c r="M206" s="326"/>
    </row>
    <row r="207" spans="1:13" ht="22.5" customHeight="1" x14ac:dyDescent="0.25">
      <c r="A207" s="340"/>
      <c r="B207" s="315"/>
      <c r="C207" s="305" t="s">
        <v>761</v>
      </c>
      <c r="D207" s="306"/>
      <c r="E207" s="294"/>
      <c r="F207" s="302"/>
      <c r="G207" s="302"/>
      <c r="H207" s="298"/>
      <c r="I207" s="298"/>
      <c r="J207" s="298"/>
      <c r="K207" s="96">
        <f>'Isian Prodi'!C61</f>
        <v>0</v>
      </c>
      <c r="L207" s="326"/>
      <c r="M207" s="326"/>
    </row>
    <row r="208" spans="1:13" ht="22.5" customHeight="1" x14ac:dyDescent="0.25">
      <c r="A208" s="340"/>
      <c r="B208" s="315"/>
      <c r="C208" s="305" t="s">
        <v>762</v>
      </c>
      <c r="D208" s="306"/>
      <c r="E208" s="294"/>
      <c r="F208" s="302"/>
      <c r="G208" s="302"/>
      <c r="H208" s="298"/>
      <c r="I208" s="298"/>
      <c r="J208" s="298"/>
      <c r="K208" s="96">
        <f>'Isian Prodi'!C62</f>
        <v>0</v>
      </c>
      <c r="L208" s="326"/>
      <c r="M208" s="326"/>
    </row>
    <row r="209" spans="1:13" ht="22.5" customHeight="1" x14ac:dyDescent="0.25">
      <c r="A209" s="340"/>
      <c r="B209" s="315"/>
      <c r="C209" s="305" t="s">
        <v>763</v>
      </c>
      <c r="D209" s="306"/>
      <c r="E209" s="294"/>
      <c r="F209" s="302"/>
      <c r="G209" s="302"/>
      <c r="H209" s="298"/>
      <c r="I209" s="298"/>
      <c r="J209" s="298"/>
      <c r="K209" s="96">
        <f>'Isian Prodi'!C63</f>
        <v>0</v>
      </c>
      <c r="L209" s="326"/>
      <c r="M209" s="326"/>
    </row>
    <row r="210" spans="1:13" ht="22.5" customHeight="1" x14ac:dyDescent="0.25">
      <c r="A210" s="340"/>
      <c r="B210" s="315"/>
      <c r="C210" s="305" t="s">
        <v>764</v>
      </c>
      <c r="D210" s="306"/>
      <c r="E210" s="294"/>
      <c r="F210" s="303"/>
      <c r="G210" s="303"/>
      <c r="H210" s="299"/>
      <c r="I210" s="299"/>
      <c r="J210" s="299"/>
      <c r="K210" s="97">
        <f>IF(K206&gt;0,SUM(K207:K209)/K206,0)</f>
        <v>0</v>
      </c>
      <c r="L210" s="326"/>
      <c r="M210" s="326"/>
    </row>
    <row r="211" spans="1:13" x14ac:dyDescent="0.25">
      <c r="A211" s="340"/>
      <c r="B211" s="315"/>
      <c r="C211" s="304" t="s">
        <v>7</v>
      </c>
      <c r="D211" s="304"/>
      <c r="E211" s="304"/>
      <c r="F211" s="304"/>
      <c r="G211" s="183"/>
      <c r="H211" s="183"/>
      <c r="I211" s="183"/>
      <c r="J211" s="183"/>
      <c r="K211" s="96">
        <f>IF((2+((20*K210)/7))&lt;=4,2+((20*K210)/7),4)</f>
        <v>2</v>
      </c>
      <c r="L211" s="326"/>
      <c r="M211" s="326"/>
    </row>
    <row r="212" spans="1:13" x14ac:dyDescent="0.25">
      <c r="L212" s="98"/>
      <c r="M212" s="247"/>
    </row>
    <row r="213" spans="1:13" ht="30" hidden="1" customHeight="1" x14ac:dyDescent="0.25">
      <c r="A213" s="340"/>
      <c r="B213" s="374" t="s">
        <v>173</v>
      </c>
      <c r="C213" s="291" t="s">
        <v>174</v>
      </c>
      <c r="D213" s="291"/>
      <c r="E213" s="294" t="s">
        <v>171</v>
      </c>
      <c r="F213" s="322"/>
      <c r="G213" s="187"/>
      <c r="H213" s="187"/>
      <c r="I213" s="187"/>
      <c r="J213" s="187"/>
      <c r="K213" s="7"/>
      <c r="L213" s="373"/>
      <c r="M213" s="326"/>
    </row>
    <row r="214" spans="1:13" ht="37.5" hidden="1" customHeight="1" x14ac:dyDescent="0.25">
      <c r="A214" s="340"/>
      <c r="B214" s="374"/>
      <c r="C214" s="304" t="s">
        <v>172</v>
      </c>
      <c r="D214" s="304"/>
      <c r="E214" s="294"/>
      <c r="F214" s="322"/>
      <c r="G214" s="187"/>
      <c r="H214" s="187"/>
      <c r="I214" s="187"/>
      <c r="J214" s="187"/>
      <c r="K214" s="96">
        <f>'Isian Prodi'!C59</f>
        <v>0</v>
      </c>
      <c r="L214" s="373"/>
      <c r="M214" s="326"/>
    </row>
    <row r="215" spans="1:13" ht="37.5" hidden="1" customHeight="1" x14ac:dyDescent="0.25">
      <c r="A215" s="340"/>
      <c r="B215" s="374"/>
      <c r="C215" s="304" t="s">
        <v>175</v>
      </c>
      <c r="D215" s="304"/>
      <c r="E215" s="294"/>
      <c r="F215" s="322"/>
      <c r="G215" s="187"/>
      <c r="H215" s="187"/>
      <c r="I215" s="187"/>
      <c r="J215" s="187"/>
      <c r="K215" s="96">
        <f>'Isian Prodi'!C64</f>
        <v>0</v>
      </c>
      <c r="L215" s="373"/>
      <c r="M215" s="326"/>
    </row>
    <row r="216" spans="1:13" ht="37.5" hidden="1" customHeight="1" x14ac:dyDescent="0.25">
      <c r="A216" s="340"/>
      <c r="B216" s="374"/>
      <c r="C216" s="304" t="s">
        <v>176</v>
      </c>
      <c r="D216" s="304"/>
      <c r="E216" s="294"/>
      <c r="F216" s="322"/>
      <c r="G216" s="187"/>
      <c r="H216" s="187"/>
      <c r="I216" s="187"/>
      <c r="J216" s="187"/>
      <c r="K216" s="97">
        <f>IF(K214&gt;0,K215/K214,0)</f>
        <v>0</v>
      </c>
      <c r="L216" s="373"/>
      <c r="M216" s="326"/>
    </row>
    <row r="217" spans="1:13" hidden="1" x14ac:dyDescent="0.25">
      <c r="A217" s="340"/>
      <c r="B217" s="374"/>
      <c r="C217" s="304" t="s">
        <v>7</v>
      </c>
      <c r="D217" s="304"/>
      <c r="E217" s="304"/>
      <c r="F217" s="304"/>
      <c r="G217" s="183"/>
      <c r="H217" s="183"/>
      <c r="I217" s="183"/>
      <c r="J217" s="183"/>
      <c r="K217" s="96">
        <f>IF((1+((15*D692)/4))&lt;=4,1+((15*D692)/4),4)</f>
        <v>1.075</v>
      </c>
      <c r="L217" s="373"/>
      <c r="M217" s="326"/>
    </row>
    <row r="218" spans="1:13" hidden="1" x14ac:dyDescent="0.25">
      <c r="L218" s="98"/>
      <c r="M218" s="247"/>
    </row>
    <row r="219" spans="1:13" ht="15" customHeight="1" x14ac:dyDescent="0.25">
      <c r="A219" s="340">
        <v>20</v>
      </c>
      <c r="B219" s="315"/>
      <c r="C219" s="291" t="s">
        <v>765</v>
      </c>
      <c r="D219" s="291"/>
      <c r="E219" s="310" t="s">
        <v>1009</v>
      </c>
      <c r="F219" s="301" t="s">
        <v>993</v>
      </c>
      <c r="G219" s="301" t="s">
        <v>994</v>
      </c>
      <c r="H219" s="203" t="s">
        <v>697</v>
      </c>
      <c r="I219" s="203">
        <v>1</v>
      </c>
      <c r="J219" s="212" t="str">
        <f>IF((IF(OR((H219&amp;"."&amp;I219)=$R$8,(H219&amp;"."&amp;I219)=$S$8,(H219&amp;"."&amp;I219)=$T$8,(H219&amp;"."&amp;I219)=$U$8,(H219&amp;"."&amp;I219)=$V$8,(H219&amp;"."&amp;I219)=$W$8),1,0))=1,"EKSTREM",IF((IF(OR((H219&amp;"."&amp;I219)=$R$9,(H219&amp;"."&amp;I219)=$S$9,(H219&amp;"."&amp;I219)=$T$9,(H219&amp;"."&amp;I219)=$U$9,(H219&amp;"."&amp;I219)=$V$9,(H219&amp;"."&amp;I219)=$W$9,(H219&amp;"."&amp;I219)=$X$9),1,0))=1,"TINGGI",IF((IF(OR((H219&amp;"."&amp;I219)=$R$10,(H219&amp;"."&amp;I219)=$S$10,(H219&amp;"."&amp;I219)=$T$10,(H219&amp;"."&amp;I219)=$U$10,(H219&amp;"."&amp;I219)=$V$10,(H219&amp;"."&amp;I219)=$W$10),1,0))=1,"MODERAT",IF((IF(OR((H219&amp;"."&amp;I219)=$R$11,(H219&amp;"."&amp;I219)=$S$11,(H219&amp;"."&amp;I219)=$T$11,(H219&amp;"."&amp;I219)=$U$11,(H219&amp;"."&amp;I219)=$V$11,(H219&amp;"."&amp;I219)=$W$11),1,0))=1,"RENDAH","-"))))</f>
        <v>RENDAH</v>
      </c>
      <c r="K219" s="7"/>
      <c r="L219" s="326" t="s">
        <v>1078</v>
      </c>
      <c r="M219" s="326" t="s">
        <v>1079</v>
      </c>
    </row>
    <row r="220" spans="1:13" ht="48" customHeight="1" x14ac:dyDescent="0.25">
      <c r="A220" s="340"/>
      <c r="B220" s="315"/>
      <c r="C220" s="305" t="s">
        <v>104</v>
      </c>
      <c r="D220" s="306"/>
      <c r="E220" s="313"/>
      <c r="F220" s="302"/>
      <c r="G220" s="302"/>
      <c r="H220" s="297"/>
      <c r="I220" s="297"/>
      <c r="J220" s="297"/>
      <c r="K220" s="96">
        <f>'Isian Prodi'!C59</f>
        <v>0</v>
      </c>
      <c r="L220" s="326"/>
      <c r="M220" s="326"/>
    </row>
    <row r="221" spans="1:13" ht="15" customHeight="1" x14ac:dyDescent="0.25">
      <c r="A221" s="340"/>
      <c r="B221" s="315"/>
      <c r="C221" s="385" t="s">
        <v>766</v>
      </c>
      <c r="D221" s="386"/>
      <c r="E221" s="313"/>
      <c r="F221" s="302"/>
      <c r="G221" s="302"/>
      <c r="H221" s="298"/>
      <c r="I221" s="298"/>
      <c r="J221" s="298"/>
      <c r="K221" s="96">
        <f>'Isian Prodi'!B45</f>
        <v>0</v>
      </c>
      <c r="L221" s="326"/>
      <c r="M221" s="326"/>
    </row>
    <row r="222" spans="1:13" ht="30" customHeight="1" x14ac:dyDescent="0.25">
      <c r="A222" s="340"/>
      <c r="B222" s="315"/>
      <c r="C222" s="292" t="s">
        <v>177</v>
      </c>
      <c r="D222" s="293"/>
      <c r="E222" s="313"/>
      <c r="F222" s="302"/>
      <c r="G222" s="302"/>
      <c r="H222" s="298"/>
      <c r="I222" s="298"/>
      <c r="J222" s="298"/>
      <c r="K222" s="96">
        <f>'Isian Prodi'!C7</f>
        <v>0</v>
      </c>
      <c r="L222" s="326"/>
      <c r="M222" s="326"/>
    </row>
    <row r="223" spans="1:13" ht="15" customHeight="1" x14ac:dyDescent="0.25">
      <c r="A223" s="340"/>
      <c r="B223" s="315"/>
      <c r="C223" s="305" t="s">
        <v>767</v>
      </c>
      <c r="D223" s="306"/>
      <c r="E223" s="313"/>
      <c r="F223" s="302"/>
      <c r="G223" s="302"/>
      <c r="H223" s="298"/>
      <c r="I223" s="298"/>
      <c r="J223" s="298"/>
      <c r="K223" s="96">
        <f>IF(K220&gt;0,K221/K220,0)</f>
        <v>0</v>
      </c>
      <c r="L223" s="326"/>
      <c r="M223" s="326"/>
    </row>
    <row r="224" spans="1:13" ht="30.75" customHeight="1" x14ac:dyDescent="0.25">
      <c r="A224" s="340"/>
      <c r="B224" s="315"/>
      <c r="C224" s="305" t="s">
        <v>597</v>
      </c>
      <c r="D224" s="306"/>
      <c r="E224" s="313"/>
      <c r="F224" s="302"/>
      <c r="G224" s="302"/>
      <c r="H224" s="298"/>
      <c r="I224" s="298"/>
      <c r="J224" s="298"/>
      <c r="K224" s="96">
        <f>'Isian Prodi'!C8</f>
        <v>0</v>
      </c>
      <c r="L224" s="326"/>
      <c r="M224" s="326"/>
    </row>
    <row r="225" spans="1:13" ht="30" customHeight="1" x14ac:dyDescent="0.25">
      <c r="A225" s="340"/>
      <c r="B225" s="315"/>
      <c r="C225" s="383" t="s">
        <v>768</v>
      </c>
      <c r="D225" s="384"/>
      <c r="E225" s="314"/>
      <c r="F225" s="303"/>
      <c r="G225" s="303"/>
      <c r="H225" s="299"/>
      <c r="I225" s="299"/>
      <c r="J225" s="299"/>
      <c r="K225" s="7"/>
      <c r="L225" s="326"/>
      <c r="M225" s="326"/>
    </row>
    <row r="226" spans="1:13" x14ac:dyDescent="0.25">
      <c r="A226" s="340"/>
      <c r="B226" s="315"/>
      <c r="C226" s="304" t="s">
        <v>7</v>
      </c>
      <c r="D226" s="304"/>
      <c r="E226" s="304"/>
      <c r="F226" s="304"/>
      <c r="G226" s="183"/>
      <c r="H226" s="183"/>
      <c r="I226" s="183"/>
      <c r="J226" s="183"/>
      <c r="K226" s="96">
        <f>IF(OR(ISBLANK(K223),K223&lt;=0,K223&gt;4),0,IF(K224=1,IF(K222=1,IF(AND(K223&gt;=15,K223&lt;=25),4,IF(K223&lt;15,(4*K223)/15,IF(AND(K223&gt;25,K223&lt;=35),(70-(2*K223))/5,0))),IF(AND(K223&gt;=25,K223&lt;=35),4,IF(K223&lt;25,(4*K223)/25,IF(AND(K223&gt;35,K223&lt;=50),(200-(4*K223))/15,0)))),K157))</f>
        <v>0</v>
      </c>
      <c r="L226" s="326"/>
      <c r="M226" s="326"/>
    </row>
    <row r="228" spans="1:13" ht="30" customHeight="1" x14ac:dyDescent="0.25">
      <c r="A228" s="340">
        <v>21</v>
      </c>
      <c r="B228" s="315"/>
      <c r="C228" s="291" t="s">
        <v>769</v>
      </c>
      <c r="D228" s="291"/>
      <c r="E228" s="294" t="s">
        <v>1010</v>
      </c>
      <c r="F228" s="300" t="s">
        <v>993</v>
      </c>
      <c r="G228" s="300" t="s">
        <v>994</v>
      </c>
      <c r="H228" s="203" t="s">
        <v>697</v>
      </c>
      <c r="I228" s="203">
        <v>1</v>
      </c>
      <c r="J228" s="212" t="str">
        <f>IF((IF(OR((H228&amp;"."&amp;I228)=$R$8,(H228&amp;"."&amp;I228)=$S$8,(H228&amp;"."&amp;I228)=$T$8,(H228&amp;"."&amp;I228)=$U$8,(H228&amp;"."&amp;I228)=$V$8,(H228&amp;"."&amp;I228)=$W$8),1,0))=1,"EKSTREM",IF((IF(OR((H228&amp;"."&amp;I228)=$R$9,(H228&amp;"."&amp;I228)=$S$9,(H228&amp;"."&amp;I228)=$T$9,(H228&amp;"."&amp;I228)=$U$9,(H228&amp;"."&amp;I228)=$V$9,(H228&amp;"."&amp;I228)=$W$9,(H228&amp;"."&amp;I228)=$X$9),1,0))=1,"TINGGI",IF((IF(OR((H228&amp;"."&amp;I228)=$R$10,(H228&amp;"."&amp;I228)=$S$10,(H228&amp;"."&amp;I228)=$T$10,(H228&amp;"."&amp;I228)=$U$10,(H228&amp;"."&amp;I228)=$V$10,(H228&amp;"."&amp;I228)=$W$10),1,0))=1,"MODERAT",IF((IF(OR((H228&amp;"."&amp;I228)=$R$11,(H228&amp;"."&amp;I228)=$S$11,(H228&amp;"."&amp;I228)=$T$11,(H228&amp;"."&amp;I228)=$U$11,(H228&amp;"."&amp;I228)=$V$11,(H228&amp;"."&amp;I228)=$W$11),1,0))=1,"RENDAH","-"))))</f>
        <v>RENDAH</v>
      </c>
      <c r="K228" s="7"/>
      <c r="L228" s="326" t="s">
        <v>1078</v>
      </c>
      <c r="M228" s="326" t="s">
        <v>1079</v>
      </c>
    </row>
    <row r="229" spans="1:13" x14ac:dyDescent="0.25">
      <c r="A229" s="340"/>
      <c r="B229" s="315"/>
      <c r="C229" s="304" t="s">
        <v>178</v>
      </c>
      <c r="D229" s="304"/>
      <c r="E229" s="294"/>
      <c r="F229" s="300"/>
      <c r="G229" s="300"/>
      <c r="H229" s="297"/>
      <c r="I229" s="297"/>
      <c r="J229" s="297"/>
      <c r="K229" s="96">
        <f>'Isian Prodi'!B76</f>
        <v>0</v>
      </c>
      <c r="L229" s="326"/>
      <c r="M229" s="326"/>
    </row>
    <row r="230" spans="1:13" x14ac:dyDescent="0.25">
      <c r="A230" s="340"/>
      <c r="B230" s="315"/>
      <c r="C230" s="304" t="s">
        <v>179</v>
      </c>
      <c r="D230" s="304"/>
      <c r="E230" s="294"/>
      <c r="F230" s="300"/>
      <c r="G230" s="300"/>
      <c r="H230" s="298"/>
      <c r="I230" s="298"/>
      <c r="J230" s="298"/>
      <c r="K230" s="96">
        <f>'Isian Prodi'!B77</f>
        <v>0</v>
      </c>
      <c r="L230" s="326"/>
      <c r="M230" s="326"/>
    </row>
    <row r="231" spans="1:13" x14ac:dyDescent="0.25">
      <c r="A231" s="340"/>
      <c r="B231" s="315"/>
      <c r="C231" s="304" t="s">
        <v>180</v>
      </c>
      <c r="D231" s="304"/>
      <c r="E231" s="294"/>
      <c r="F231" s="300"/>
      <c r="G231" s="300"/>
      <c r="H231" s="299"/>
      <c r="I231" s="299"/>
      <c r="J231" s="299"/>
      <c r="K231" s="96">
        <f>IF(K229&gt;0,K230/K229,0)</f>
        <v>0</v>
      </c>
      <c r="L231" s="326"/>
      <c r="M231" s="326"/>
    </row>
    <row r="232" spans="1:13" x14ac:dyDescent="0.25">
      <c r="A232" s="340"/>
      <c r="B232" s="315"/>
      <c r="C232" s="304" t="s">
        <v>7</v>
      </c>
      <c r="D232" s="304"/>
      <c r="E232" s="304"/>
      <c r="F232" s="304"/>
      <c r="G232" s="183"/>
      <c r="H232" s="183"/>
      <c r="I232" s="183"/>
      <c r="J232" s="183"/>
      <c r="K232" s="96">
        <f>IF((7-(K231/2))&lt;=4,7-(K231/2),4)</f>
        <v>4</v>
      </c>
      <c r="L232" s="326"/>
      <c r="M232" s="326"/>
    </row>
    <row r="234" spans="1:13" ht="45" customHeight="1" x14ac:dyDescent="0.25">
      <c r="A234" s="340">
        <v>22</v>
      </c>
      <c r="B234" s="315"/>
      <c r="C234" s="291" t="s">
        <v>181</v>
      </c>
      <c r="D234" s="291"/>
      <c r="E234" s="304" t="s">
        <v>1011</v>
      </c>
      <c r="F234" s="301" t="s">
        <v>993</v>
      </c>
      <c r="G234" s="301" t="s">
        <v>994</v>
      </c>
      <c r="H234" s="203" t="s">
        <v>697</v>
      </c>
      <c r="I234" s="203">
        <v>1</v>
      </c>
      <c r="J234" s="212" t="str">
        <f>IF((IF(OR((H234&amp;"."&amp;I234)=$R$8,(H234&amp;"."&amp;I234)=$S$8,(H234&amp;"."&amp;I234)=$T$8,(H234&amp;"."&amp;I234)=$U$8,(H234&amp;"."&amp;I234)=$V$8,(H234&amp;"."&amp;I234)=$W$8),1,0))=1,"EKSTREM",IF((IF(OR((H234&amp;"."&amp;I234)=$R$9,(H234&amp;"."&amp;I234)=$S$9,(H234&amp;"."&amp;I234)=$T$9,(H234&amp;"."&amp;I234)=$U$9,(H234&amp;"."&amp;I234)=$V$9,(H234&amp;"."&amp;I234)=$W$9,(H234&amp;"."&amp;I234)=$X$9),1,0))=1,"TINGGI",IF((IF(OR((H234&amp;"."&amp;I234)=$R$10,(H234&amp;"."&amp;I234)=$S$10,(H234&amp;"."&amp;I234)=$T$10,(H234&amp;"."&amp;I234)=$U$10,(H234&amp;"."&amp;I234)=$V$10,(H234&amp;"."&amp;I234)=$W$10),1,0))=1,"MODERAT",IF((IF(OR((H234&amp;"."&amp;I234)=$R$11,(H234&amp;"."&amp;I234)=$S$11,(H234&amp;"."&amp;I234)=$T$11,(H234&amp;"."&amp;I234)=$U$11,(H234&amp;"."&amp;I234)=$V$11,(H234&amp;"."&amp;I234)=$W$11),1,0))=1,"RENDAH","-"))))</f>
        <v>RENDAH</v>
      </c>
      <c r="K234" s="7"/>
      <c r="L234" s="326" t="s">
        <v>1078</v>
      </c>
      <c r="M234" s="326" t="s">
        <v>1079</v>
      </c>
    </row>
    <row r="235" spans="1:13" ht="30" customHeight="1" x14ac:dyDescent="0.25">
      <c r="A235" s="340"/>
      <c r="B235" s="315"/>
      <c r="C235" s="307" t="s">
        <v>284</v>
      </c>
      <c r="D235" s="307"/>
      <c r="E235" s="304"/>
      <c r="F235" s="303"/>
      <c r="G235" s="303"/>
      <c r="H235" s="7"/>
      <c r="I235" s="7"/>
      <c r="J235" s="7"/>
      <c r="K235" s="96">
        <f>'Isian Prodi'!C66</f>
        <v>0</v>
      </c>
      <c r="L235" s="326"/>
      <c r="M235" s="326"/>
    </row>
    <row r="236" spans="1:13" x14ac:dyDescent="0.25">
      <c r="A236" s="340"/>
      <c r="B236" s="315"/>
      <c r="C236" s="304" t="s">
        <v>7</v>
      </c>
      <c r="D236" s="304"/>
      <c r="E236" s="304"/>
      <c r="F236" s="304"/>
      <c r="G236" s="183"/>
      <c r="H236" s="183"/>
      <c r="I236" s="183"/>
      <c r="J236" s="183"/>
      <c r="K236" s="96">
        <f>IF(AND(12&lt;=K235,K235&lt;=16),4,IF(AND(6&lt;=K235,K235&lt;12),((2*K235)-12)/3,IF(AND(16&lt;K235,K235&lt;=18),36-(2*K235),0)))</f>
        <v>0</v>
      </c>
      <c r="L236" s="326"/>
      <c r="M236" s="326"/>
    </row>
    <row r="238" spans="1:13" ht="30" customHeight="1" x14ac:dyDescent="0.25">
      <c r="A238" s="340">
        <v>23</v>
      </c>
      <c r="B238" s="362"/>
      <c r="C238" s="291" t="s">
        <v>770</v>
      </c>
      <c r="D238" s="291"/>
      <c r="E238" s="294" t="s">
        <v>1013</v>
      </c>
      <c r="F238" s="300" t="s">
        <v>993</v>
      </c>
      <c r="G238" s="300" t="s">
        <v>994</v>
      </c>
      <c r="H238" s="203" t="s">
        <v>964</v>
      </c>
      <c r="I238" s="203">
        <v>1</v>
      </c>
      <c r="J238" s="212" t="str">
        <f>IF((IF(OR((H238&amp;"."&amp;I238)=$R$8,(H238&amp;"."&amp;I238)=$S$8,(H238&amp;"."&amp;I238)=$T$8,(H238&amp;"."&amp;I238)=$U$8,(H238&amp;"."&amp;I238)=$V$8,(H238&amp;"."&amp;I238)=$W$8),1,0))=1,"EKSTREM",IF((IF(OR((H238&amp;"."&amp;I238)=$R$9,(H238&amp;"."&amp;I238)=$S$9,(H238&amp;"."&amp;I238)=$T$9,(H238&amp;"."&amp;I238)=$U$9,(H238&amp;"."&amp;I238)=$V$9,(H238&amp;"."&amp;I238)=$W$9,(H238&amp;"."&amp;I238)=$X$9),1,0))=1,"TINGGI",IF((IF(OR((H238&amp;"."&amp;I238)=$R$10,(H238&amp;"."&amp;I238)=$S$10,(H238&amp;"."&amp;I238)=$T$10,(H238&amp;"."&amp;I238)=$U$10,(H238&amp;"."&amp;I238)=$V$10,(H238&amp;"."&amp;I238)=$W$10),1,0))=1,"MODERAT",IF((IF(OR((H238&amp;"."&amp;I238)=$R$11,(H238&amp;"."&amp;I238)=$S$11,(H238&amp;"."&amp;I238)=$T$11,(H238&amp;"."&amp;I238)=$U$11,(H238&amp;"."&amp;I238)=$V$11,(H238&amp;"."&amp;I238)=$W$11),1,0))=1,"RENDAH","-"))))</f>
        <v>RENDAH</v>
      </c>
      <c r="K238" s="7"/>
      <c r="L238" s="326" t="s">
        <v>1078</v>
      </c>
      <c r="M238" s="326" t="s">
        <v>1079</v>
      </c>
    </row>
    <row r="239" spans="1:13" ht="37.5" customHeight="1" x14ac:dyDescent="0.25">
      <c r="A239" s="340"/>
      <c r="B239" s="362"/>
      <c r="C239" s="305" t="s">
        <v>771</v>
      </c>
      <c r="D239" s="306"/>
      <c r="E239" s="294"/>
      <c r="F239" s="300"/>
      <c r="G239" s="300"/>
      <c r="H239" s="297"/>
      <c r="I239" s="297"/>
      <c r="J239" s="297"/>
      <c r="K239" s="96">
        <f>'Isian Prodi'!C59</f>
        <v>0</v>
      </c>
      <c r="L239" s="326"/>
      <c r="M239" s="326"/>
    </row>
    <row r="240" spans="1:13" ht="37.5" customHeight="1" x14ac:dyDescent="0.25">
      <c r="A240" s="340"/>
      <c r="B240" s="362"/>
      <c r="C240" s="305" t="s">
        <v>772</v>
      </c>
      <c r="D240" s="306"/>
      <c r="E240" s="294"/>
      <c r="F240" s="300"/>
      <c r="G240" s="300"/>
      <c r="H240" s="298"/>
      <c r="I240" s="298"/>
      <c r="J240" s="298"/>
      <c r="K240" s="96">
        <f>'Isian Prodi'!C65</f>
        <v>0</v>
      </c>
      <c r="L240" s="326"/>
      <c r="M240" s="326"/>
    </row>
    <row r="241" spans="1:13" ht="37.5" customHeight="1" x14ac:dyDescent="0.25">
      <c r="A241" s="340"/>
      <c r="B241" s="362"/>
      <c r="C241" s="305" t="s">
        <v>773</v>
      </c>
      <c r="D241" s="306"/>
      <c r="E241" s="294"/>
      <c r="F241" s="300"/>
      <c r="G241" s="300"/>
      <c r="H241" s="299"/>
      <c r="I241" s="299"/>
      <c r="J241" s="299"/>
      <c r="K241" s="97">
        <f>IF(K239&gt;0,K240/(K240+K239),0)</f>
        <v>0</v>
      </c>
      <c r="L241" s="326"/>
      <c r="M241" s="326"/>
    </row>
    <row r="242" spans="1:13" x14ac:dyDescent="0.25">
      <c r="A242" s="340"/>
      <c r="B242" s="362"/>
      <c r="C242" s="304" t="s">
        <v>7</v>
      </c>
      <c r="D242" s="304"/>
      <c r="E242" s="304"/>
      <c r="F242" s="304"/>
      <c r="G242" s="183"/>
      <c r="H242" s="183"/>
      <c r="I242" s="183"/>
      <c r="J242" s="183"/>
      <c r="K242" s="96">
        <f>IF(K241&lt;=10%,4,IF(AND(10%&lt;K241,K241&lt;=40%),(14-(20*K241))/3,0))</f>
        <v>4</v>
      </c>
      <c r="L242" s="326"/>
      <c r="M242" s="326"/>
    </row>
    <row r="243" spans="1:13" x14ac:dyDescent="0.25">
      <c r="L243" s="98"/>
      <c r="M243" s="247"/>
    </row>
    <row r="244" spans="1:13" ht="315" customHeight="1" x14ac:dyDescent="0.25">
      <c r="A244" s="340">
        <v>24</v>
      </c>
      <c r="B244" s="369" t="s">
        <v>774</v>
      </c>
      <c r="C244" s="291" t="s">
        <v>777</v>
      </c>
      <c r="D244" s="291"/>
      <c r="E244" s="294" t="s">
        <v>1014</v>
      </c>
      <c r="F244" s="300" t="s">
        <v>993</v>
      </c>
      <c r="G244" s="300" t="s">
        <v>994</v>
      </c>
      <c r="H244" s="203" t="s">
        <v>964</v>
      </c>
      <c r="I244" s="203">
        <v>1</v>
      </c>
      <c r="J244" s="212" t="str">
        <f>IF((IF(OR((H244&amp;"."&amp;I244)=$R$8,(H244&amp;"."&amp;I244)=$S$8,(H244&amp;"."&amp;I244)=$T$8,(H244&amp;"."&amp;I244)=$U$8,(H244&amp;"."&amp;I244)=$V$8,(H244&amp;"."&amp;I244)=$W$8),1,0))=1,"EKSTREM",IF((IF(OR((H244&amp;"."&amp;I244)=$R$9,(H244&amp;"."&amp;I244)=$S$9,(H244&amp;"."&amp;I244)=$T$9,(H244&amp;"."&amp;I244)=$U$9,(H244&amp;"."&amp;I244)=$V$9,(H244&amp;"."&amp;I244)=$W$9,(H244&amp;"."&amp;I244)=$X$9),1,0))=1,"TINGGI",IF((IF(OR((H244&amp;"."&amp;I244)=$R$10,(H244&amp;"."&amp;I244)=$S$10,(H244&amp;"."&amp;I244)=$T$10,(H244&amp;"."&amp;I244)=$U$10,(H244&amp;"."&amp;I244)=$V$10,(H244&amp;"."&amp;I244)=$W$10),1,0))=1,"MODERAT",IF((IF(OR((H244&amp;"."&amp;I244)=$R$11,(H244&amp;"."&amp;I244)=$S$11,(H244&amp;"."&amp;I244)=$T$11,(H244&amp;"."&amp;I244)=$U$11,(H244&amp;"."&amp;I244)=$V$11,(H244&amp;"."&amp;I244)=$W$11),1,0))=1,"RENDAH","-"))))</f>
        <v>RENDAH</v>
      </c>
      <c r="K244" s="7"/>
      <c r="L244" s="326" t="s">
        <v>1078</v>
      </c>
      <c r="M244" s="326" t="s">
        <v>1079</v>
      </c>
    </row>
    <row r="245" spans="1:13" ht="47.25" customHeight="1" x14ac:dyDescent="0.25">
      <c r="A245" s="340"/>
      <c r="B245" s="369"/>
      <c r="C245" s="305" t="s">
        <v>104</v>
      </c>
      <c r="D245" s="306"/>
      <c r="E245" s="294"/>
      <c r="F245" s="300"/>
      <c r="G245" s="300"/>
      <c r="H245" s="297"/>
      <c r="I245" s="297"/>
      <c r="J245" s="297"/>
      <c r="K245" s="96">
        <f>'Isian Prodi'!C59</f>
        <v>0</v>
      </c>
      <c r="L245" s="326"/>
      <c r="M245" s="326"/>
    </row>
    <row r="246" spans="1:13" ht="32.25" customHeight="1" x14ac:dyDescent="0.25">
      <c r="A246" s="340"/>
      <c r="B246" s="369"/>
      <c r="C246" s="305" t="s">
        <v>775</v>
      </c>
      <c r="D246" s="306"/>
      <c r="E246" s="294"/>
      <c r="F246" s="300"/>
      <c r="G246" s="300"/>
      <c r="H246" s="298"/>
      <c r="I246" s="298"/>
      <c r="J246" s="298"/>
      <c r="K246" s="96">
        <f>'Isian Prodi'!C72</f>
        <v>0</v>
      </c>
      <c r="L246" s="326"/>
      <c r="M246" s="326"/>
    </row>
    <row r="247" spans="1:13" x14ac:dyDescent="0.25">
      <c r="A247" s="340"/>
      <c r="B247" s="369"/>
      <c r="C247" s="305" t="s">
        <v>776</v>
      </c>
      <c r="D247" s="306"/>
      <c r="E247" s="294"/>
      <c r="F247" s="300"/>
      <c r="G247" s="300"/>
      <c r="H247" s="299"/>
      <c r="I247" s="299"/>
      <c r="J247" s="299"/>
      <c r="K247" s="96">
        <f>IF(K245&gt;0,K246/K245,0)</f>
        <v>0</v>
      </c>
      <c r="L247" s="326"/>
      <c r="M247" s="326"/>
    </row>
    <row r="248" spans="1:13" x14ac:dyDescent="0.25">
      <c r="A248" s="340"/>
      <c r="B248" s="369"/>
      <c r="C248" s="304" t="s">
        <v>7</v>
      </c>
      <c r="D248" s="304"/>
      <c r="E248" s="304"/>
      <c r="F248" s="304"/>
      <c r="G248" s="183"/>
      <c r="H248" s="183"/>
      <c r="I248" s="183"/>
      <c r="J248" s="183"/>
      <c r="K248" s="96">
        <f>IF((2+(4*K247))&lt;=4,2+(4*K247),4)</f>
        <v>2</v>
      </c>
      <c r="L248" s="326"/>
      <c r="M248" s="326"/>
    </row>
    <row r="250" spans="1:13" ht="29.25" customHeight="1" x14ac:dyDescent="0.25">
      <c r="A250" s="370">
        <v>25</v>
      </c>
      <c r="B250" s="315"/>
      <c r="C250" s="291" t="s">
        <v>55</v>
      </c>
      <c r="D250" s="291"/>
      <c r="E250" s="294" t="s">
        <v>1015</v>
      </c>
      <c r="F250" s="300" t="s">
        <v>993</v>
      </c>
      <c r="G250" s="300" t="s">
        <v>994</v>
      </c>
      <c r="H250" s="203" t="s">
        <v>964</v>
      </c>
      <c r="I250" s="203">
        <v>1</v>
      </c>
      <c r="J250" s="212" t="str">
        <f>IF((IF(OR((H250&amp;"."&amp;I250)=$R$8,(H250&amp;"."&amp;I250)=$S$8,(H250&amp;"."&amp;I250)=$T$8,(H250&amp;"."&amp;I250)=$U$8,(H250&amp;"."&amp;I250)=$V$8,(H250&amp;"."&amp;I250)=$W$8),1,0))=1,"EKSTREM",IF((IF(OR((H250&amp;"."&amp;I250)=$R$9,(H250&amp;"."&amp;I250)=$S$9,(H250&amp;"."&amp;I250)=$T$9,(H250&amp;"."&amp;I250)=$U$9,(H250&amp;"."&amp;I250)=$V$9,(H250&amp;"."&amp;I250)=$W$9,(H250&amp;"."&amp;I250)=$X$9),1,0))=1,"TINGGI",IF((IF(OR((H250&amp;"."&amp;I250)=$R$10,(H250&amp;"."&amp;I250)=$S$10,(H250&amp;"."&amp;I250)=$T$10,(H250&amp;"."&amp;I250)=$U$10,(H250&amp;"."&amp;I250)=$V$10,(H250&amp;"."&amp;I250)=$W$10),1,0))=1,"MODERAT",IF((IF(OR((H250&amp;"."&amp;I250)=$R$11,(H250&amp;"."&amp;I250)=$S$11,(H250&amp;"."&amp;I250)=$T$11,(H250&amp;"."&amp;I250)=$U$11,(H250&amp;"."&amp;I250)=$V$11,(H250&amp;"."&amp;I250)=$W$11),1,0))=1,"RENDAH","-"))))</f>
        <v>RENDAH</v>
      </c>
      <c r="K250" s="7"/>
      <c r="L250" s="326" t="s">
        <v>1078</v>
      </c>
      <c r="M250" s="326" t="s">
        <v>1079</v>
      </c>
    </row>
    <row r="251" spans="1:13" ht="30" customHeight="1" x14ac:dyDescent="0.25">
      <c r="A251" s="370"/>
      <c r="B251" s="315"/>
      <c r="C251" s="307" t="s">
        <v>604</v>
      </c>
      <c r="D251" s="307"/>
      <c r="E251" s="294"/>
      <c r="F251" s="300"/>
      <c r="G251" s="300"/>
      <c r="H251" s="187"/>
      <c r="I251" s="187"/>
      <c r="J251" s="187"/>
      <c r="K251" s="117">
        <f>'Isian Prodi'!E90</f>
        <v>0</v>
      </c>
      <c r="L251" s="326"/>
      <c r="M251" s="326"/>
    </row>
    <row r="252" spans="1:13" ht="30" customHeight="1" x14ac:dyDescent="0.25">
      <c r="A252" s="370"/>
      <c r="B252" s="315"/>
      <c r="C252" s="307" t="s">
        <v>605</v>
      </c>
      <c r="D252" s="307"/>
      <c r="E252" s="294"/>
      <c r="F252" s="300"/>
      <c r="G252" s="300"/>
      <c r="H252" s="187"/>
      <c r="I252" s="187"/>
      <c r="J252" s="187"/>
      <c r="K252" s="117">
        <f>'Isian Prodi'!E89</f>
        <v>0</v>
      </c>
      <c r="L252" s="326"/>
      <c r="M252" s="326"/>
    </row>
    <row r="253" spans="1:13" ht="30" customHeight="1" x14ac:dyDescent="0.25">
      <c r="A253" s="370"/>
      <c r="B253" s="315"/>
      <c r="C253" s="307" t="s">
        <v>606</v>
      </c>
      <c r="D253" s="307"/>
      <c r="E253" s="294"/>
      <c r="F253" s="300"/>
      <c r="G253" s="300"/>
      <c r="H253" s="187"/>
      <c r="I253" s="187"/>
      <c r="J253" s="187"/>
      <c r="K253" s="117">
        <f>'Isian Prodi'!E88</f>
        <v>0</v>
      </c>
      <c r="L253" s="326"/>
      <c r="M253" s="326"/>
    </row>
    <row r="254" spans="1:13" ht="30" customHeight="1" x14ac:dyDescent="0.25">
      <c r="A254" s="370"/>
      <c r="B254" s="315"/>
      <c r="C254" s="307" t="s">
        <v>104</v>
      </c>
      <c r="D254" s="307"/>
      <c r="E254" s="294"/>
      <c r="F254" s="300"/>
      <c r="G254" s="300"/>
      <c r="H254" s="187"/>
      <c r="I254" s="187"/>
      <c r="J254" s="187"/>
      <c r="K254" s="117">
        <f>'Isian Prodi'!C59</f>
        <v>0</v>
      </c>
      <c r="L254" s="326"/>
      <c r="M254" s="326"/>
    </row>
    <row r="255" spans="1:13" x14ac:dyDescent="0.25">
      <c r="A255" s="370"/>
      <c r="B255" s="315"/>
      <c r="C255" s="307" t="s">
        <v>607</v>
      </c>
      <c r="D255" s="307"/>
      <c r="E255" s="294"/>
      <c r="F255" s="300"/>
      <c r="G255" s="300"/>
      <c r="H255" s="187"/>
      <c r="I255" s="187"/>
      <c r="J255" s="187"/>
      <c r="K255" s="60">
        <f>IF(K254&gt;0,K251/3/K254,0)</f>
        <v>0</v>
      </c>
      <c r="L255" s="326"/>
      <c r="M255" s="326"/>
    </row>
    <row r="256" spans="1:13" x14ac:dyDescent="0.25">
      <c r="A256" s="370"/>
      <c r="B256" s="315"/>
      <c r="C256" s="307" t="s">
        <v>608</v>
      </c>
      <c r="D256" s="307"/>
      <c r="E256" s="294"/>
      <c r="F256" s="300"/>
      <c r="G256" s="300"/>
      <c r="H256" s="187"/>
      <c r="I256" s="187"/>
      <c r="J256" s="187"/>
      <c r="K256" s="60">
        <f>IF(K254&gt;0,K252/3/K254,0)</f>
        <v>0</v>
      </c>
      <c r="L256" s="326"/>
      <c r="M256" s="326"/>
    </row>
    <row r="257" spans="1:13" x14ac:dyDescent="0.25">
      <c r="A257" s="370"/>
      <c r="B257" s="315"/>
      <c r="C257" s="307" t="s">
        <v>609</v>
      </c>
      <c r="D257" s="307"/>
      <c r="E257" s="294"/>
      <c r="F257" s="300"/>
      <c r="G257" s="300"/>
      <c r="H257" s="187"/>
      <c r="I257" s="187"/>
      <c r="J257" s="187"/>
      <c r="K257" s="60">
        <f>IF(K254&gt;0,K253/3/K254,0)</f>
        <v>0</v>
      </c>
      <c r="L257" s="326"/>
      <c r="M257" s="326"/>
    </row>
    <row r="258" spans="1:13" ht="15" hidden="1" customHeight="1" x14ac:dyDescent="0.25">
      <c r="A258" s="370"/>
      <c r="B258" s="315"/>
      <c r="C258" s="58" t="s">
        <v>106</v>
      </c>
      <c r="D258" s="161">
        <v>0.05</v>
      </c>
      <c r="E258" s="294"/>
      <c r="F258" s="300"/>
      <c r="G258" s="300"/>
      <c r="H258" s="187"/>
      <c r="I258" s="187"/>
      <c r="J258" s="187"/>
      <c r="K258" s="61"/>
      <c r="L258" s="326"/>
      <c r="M258" s="326"/>
    </row>
    <row r="259" spans="1:13" ht="15" hidden="1" customHeight="1" x14ac:dyDescent="0.25">
      <c r="A259" s="370"/>
      <c r="B259" s="315"/>
      <c r="C259" s="58" t="s">
        <v>107</v>
      </c>
      <c r="D259" s="161">
        <v>0.3</v>
      </c>
      <c r="E259" s="294"/>
      <c r="F259" s="300"/>
      <c r="G259" s="300"/>
      <c r="H259" s="187"/>
      <c r="I259" s="187"/>
      <c r="J259" s="187"/>
      <c r="K259" s="61"/>
      <c r="L259" s="326"/>
      <c r="M259" s="326"/>
    </row>
    <row r="260" spans="1:13" ht="15" hidden="1" customHeight="1" x14ac:dyDescent="0.25">
      <c r="A260" s="370"/>
      <c r="B260" s="315"/>
      <c r="C260" s="58" t="s">
        <v>108</v>
      </c>
      <c r="D260" s="161">
        <v>1</v>
      </c>
      <c r="E260" s="294"/>
      <c r="F260" s="300"/>
      <c r="G260" s="300"/>
      <c r="H260" s="187"/>
      <c r="I260" s="187"/>
      <c r="J260" s="187"/>
      <c r="K260" s="61"/>
      <c r="L260" s="326"/>
      <c r="M260" s="326"/>
    </row>
    <row r="261" spans="1:13" ht="15" hidden="1" customHeight="1" x14ac:dyDescent="0.25">
      <c r="A261" s="370"/>
      <c r="B261" s="315"/>
      <c r="C261" s="58"/>
      <c r="D261" s="58" t="s">
        <v>499</v>
      </c>
      <c r="E261" s="294"/>
      <c r="F261" s="300"/>
      <c r="G261" s="300"/>
      <c r="H261" s="187"/>
      <c r="I261" s="187"/>
      <c r="J261" s="187"/>
      <c r="K261" s="140" t="str">
        <f>IF(K255&gt;=D258,"YES","NO")</f>
        <v>NO</v>
      </c>
      <c r="L261" s="326"/>
      <c r="M261" s="326"/>
    </row>
    <row r="262" spans="1:13" ht="15" hidden="1" customHeight="1" x14ac:dyDescent="0.25">
      <c r="A262" s="370"/>
      <c r="B262" s="315"/>
      <c r="C262" s="58"/>
      <c r="D262" s="58" t="s">
        <v>610</v>
      </c>
      <c r="E262" s="294"/>
      <c r="F262" s="300"/>
      <c r="G262" s="300"/>
      <c r="H262" s="187"/>
      <c r="I262" s="187"/>
      <c r="J262" s="187"/>
      <c r="K262" s="140" t="str">
        <f>IF(AND(K255&lt;D258,K256&gt;=D259),"YES","NO")</f>
        <v>NO</v>
      </c>
      <c r="L262" s="326"/>
      <c r="M262" s="326"/>
    </row>
    <row r="263" spans="1:13" ht="15" hidden="1" customHeight="1" x14ac:dyDescent="0.25">
      <c r="A263" s="370"/>
      <c r="B263" s="315"/>
      <c r="C263" s="58"/>
      <c r="D263" s="58" t="s">
        <v>501</v>
      </c>
      <c r="E263" s="294"/>
      <c r="F263" s="300"/>
      <c r="G263" s="300"/>
      <c r="H263" s="187"/>
      <c r="I263" s="187"/>
      <c r="J263" s="187"/>
      <c r="K263" s="140" t="str">
        <f>IF(OR(AND(K255&gt;0,K255&lt;D258,K256=0),AND(K256&gt;0,K256&lt;D259,K255=0),AND(K255&gt;0,K255&lt;D258,K256&gt;0,K256&lt;D259)),"YES","NO")</f>
        <v>NO</v>
      </c>
      <c r="L263" s="326"/>
      <c r="M263" s="326"/>
    </row>
    <row r="264" spans="1:13" ht="15" hidden="1" customHeight="1" x14ac:dyDescent="0.25">
      <c r="A264" s="370"/>
      <c r="B264" s="315"/>
      <c r="C264" s="58"/>
      <c r="D264" s="58" t="s">
        <v>550</v>
      </c>
      <c r="E264" s="294"/>
      <c r="F264" s="300"/>
      <c r="G264" s="300"/>
      <c r="H264" s="187"/>
      <c r="I264" s="187"/>
      <c r="J264" s="187"/>
      <c r="K264" s="140" t="str">
        <f>IF(AND(K255=0,K256=0,K257&gt;=D260),"YES","NO")</f>
        <v>NO</v>
      </c>
      <c r="L264" s="326"/>
      <c r="M264" s="326"/>
    </row>
    <row r="265" spans="1:13" ht="15" hidden="1" customHeight="1" x14ac:dyDescent="0.25">
      <c r="A265" s="370"/>
      <c r="B265" s="315"/>
      <c r="C265" s="58"/>
      <c r="D265" s="58" t="s">
        <v>551</v>
      </c>
      <c r="E265" s="294"/>
      <c r="F265" s="300"/>
      <c r="G265" s="300"/>
      <c r="H265" s="187"/>
      <c r="I265" s="187"/>
      <c r="J265" s="187"/>
      <c r="K265" s="140" t="str">
        <f>IF(AND(K255=0,K256=0,K257&lt;D260),"YES","NO")</f>
        <v>YES</v>
      </c>
      <c r="L265" s="326"/>
      <c r="M265" s="326"/>
    </row>
    <row r="266" spans="1:13" x14ac:dyDescent="0.25">
      <c r="A266" s="370"/>
      <c r="B266" s="315"/>
      <c r="C266" s="304" t="s">
        <v>7</v>
      </c>
      <c r="D266" s="304"/>
      <c r="E266" s="304"/>
      <c r="F266" s="304"/>
      <c r="G266" s="183"/>
      <c r="H266" s="183"/>
      <c r="I266" s="183"/>
      <c r="J266" s="183"/>
      <c r="K266" s="62">
        <f>IF(K261="YES",4,IF(K262="YES",3+K255/D258,IF(K263="YES",2+2*K255/D258+K256/D259-(K255*K256)/(D258*D259),IF(K264="YES",2,2*K257/D260))))</f>
        <v>0</v>
      </c>
      <c r="L266" s="326"/>
      <c r="M266" s="326"/>
    </row>
    <row r="267" spans="1:13" ht="15.75" thickBot="1" x14ac:dyDescent="0.3"/>
    <row r="268" spans="1:13" ht="30" customHeight="1" x14ac:dyDescent="0.25">
      <c r="A268" s="340">
        <v>26</v>
      </c>
      <c r="B268" s="315"/>
      <c r="C268" s="382" t="s">
        <v>56</v>
      </c>
      <c r="D268" s="382"/>
      <c r="E268" s="294" t="s">
        <v>1016</v>
      </c>
      <c r="F268" s="300" t="s">
        <v>993</v>
      </c>
      <c r="G268" s="300" t="s">
        <v>994</v>
      </c>
      <c r="H268" s="203" t="s">
        <v>964</v>
      </c>
      <c r="I268" s="203">
        <v>1</v>
      </c>
      <c r="J268" s="212" t="str">
        <f>IF((IF(OR((H268&amp;"."&amp;I268)=$R$8,(H268&amp;"."&amp;I268)=$S$8,(H268&amp;"."&amp;I268)=$T$8,(H268&amp;"."&amp;I268)=$U$8,(H268&amp;"."&amp;I268)=$V$8,(H268&amp;"."&amp;I268)=$W$8),1,0))=1,"EKSTREM",IF((IF(OR((H268&amp;"."&amp;I268)=$R$9,(H268&amp;"."&amp;I268)=$S$9,(H268&amp;"."&amp;I268)=$T$9,(H268&amp;"."&amp;I268)=$U$9,(H268&amp;"."&amp;I268)=$V$9,(H268&amp;"."&amp;I268)=$W$9,(H268&amp;"."&amp;I268)=$X$9),1,0))=1,"TINGGI",IF((IF(OR((H268&amp;"."&amp;I268)=$R$10,(H268&amp;"."&amp;I268)=$S$10,(H268&amp;"."&amp;I268)=$T$10,(H268&amp;"."&amp;I268)=$U$10,(H268&amp;"."&amp;I268)=$V$10,(H268&amp;"."&amp;I268)=$W$10),1,0))=1,"MODERAT",IF((IF(OR((H268&amp;"."&amp;I268)=$R$11,(H268&amp;"."&amp;I268)=$S$11,(H268&amp;"."&amp;I268)=$T$11,(H268&amp;"."&amp;I268)=$U$11,(H268&amp;"."&amp;I268)=$V$11,(H268&amp;"."&amp;I268)=$W$11),1,0))=1,"RENDAH","-"))))</f>
        <v>RENDAH</v>
      </c>
      <c r="K268" s="7"/>
      <c r="L268" s="326" t="s">
        <v>1078</v>
      </c>
      <c r="M268" s="326" t="s">
        <v>1079</v>
      </c>
    </row>
    <row r="269" spans="1:13" ht="30" customHeight="1" x14ac:dyDescent="0.25">
      <c r="A269" s="340"/>
      <c r="B269" s="315"/>
      <c r="C269" s="305" t="s">
        <v>614</v>
      </c>
      <c r="D269" s="306"/>
      <c r="E269" s="294"/>
      <c r="F269" s="300"/>
      <c r="G269" s="300"/>
      <c r="H269" s="297"/>
      <c r="I269" s="297"/>
      <c r="J269" s="297"/>
      <c r="K269" s="164">
        <f>'Isian Prodi'!E97</f>
        <v>0</v>
      </c>
      <c r="L269" s="326"/>
      <c r="M269" s="326"/>
    </row>
    <row r="270" spans="1:13" ht="30" customHeight="1" x14ac:dyDescent="0.25">
      <c r="A270" s="340"/>
      <c r="B270" s="315"/>
      <c r="C270" s="305" t="s">
        <v>615</v>
      </c>
      <c r="D270" s="306"/>
      <c r="E270" s="294"/>
      <c r="F270" s="300"/>
      <c r="G270" s="300"/>
      <c r="H270" s="298"/>
      <c r="I270" s="298"/>
      <c r="J270" s="298"/>
      <c r="K270" s="164">
        <f>'Isian Prodi'!E96</f>
        <v>0</v>
      </c>
      <c r="L270" s="326"/>
      <c r="M270" s="326"/>
    </row>
    <row r="271" spans="1:13" ht="30" customHeight="1" x14ac:dyDescent="0.25">
      <c r="A271" s="340"/>
      <c r="B271" s="315"/>
      <c r="C271" s="305" t="s">
        <v>616</v>
      </c>
      <c r="D271" s="306"/>
      <c r="E271" s="294"/>
      <c r="F271" s="300"/>
      <c r="G271" s="300"/>
      <c r="H271" s="298"/>
      <c r="I271" s="298"/>
      <c r="J271" s="298"/>
      <c r="K271" s="164">
        <f>'Isian Prodi'!E95</f>
        <v>0</v>
      </c>
      <c r="L271" s="326"/>
      <c r="M271" s="326"/>
    </row>
    <row r="272" spans="1:13" ht="30" customHeight="1" x14ac:dyDescent="0.25">
      <c r="A272" s="340"/>
      <c r="B272" s="315"/>
      <c r="C272" s="305" t="s">
        <v>104</v>
      </c>
      <c r="D272" s="306"/>
      <c r="E272" s="294"/>
      <c r="F272" s="300"/>
      <c r="G272" s="300"/>
      <c r="H272" s="298"/>
      <c r="I272" s="298"/>
      <c r="J272" s="298"/>
      <c r="K272" s="164">
        <f>'Isian Prodi'!C59</f>
        <v>0</v>
      </c>
      <c r="L272" s="326"/>
      <c r="M272" s="326"/>
    </row>
    <row r="273" spans="1:13" ht="15" customHeight="1" x14ac:dyDescent="0.25">
      <c r="A273" s="340"/>
      <c r="B273" s="315"/>
      <c r="C273" s="305" t="s">
        <v>607</v>
      </c>
      <c r="D273" s="306"/>
      <c r="E273" s="294"/>
      <c r="F273" s="300"/>
      <c r="G273" s="300"/>
      <c r="H273" s="298"/>
      <c r="I273" s="298"/>
      <c r="J273" s="298"/>
      <c r="K273" s="168">
        <f>IF(K272&gt;0,K269/3/K272,0)</f>
        <v>0</v>
      </c>
      <c r="L273" s="326"/>
      <c r="M273" s="326"/>
    </row>
    <row r="274" spans="1:13" ht="15" customHeight="1" x14ac:dyDescent="0.25">
      <c r="A274" s="340"/>
      <c r="B274" s="315"/>
      <c r="C274" s="305" t="s">
        <v>608</v>
      </c>
      <c r="D274" s="306"/>
      <c r="E274" s="294"/>
      <c r="F274" s="300"/>
      <c r="G274" s="300"/>
      <c r="H274" s="298"/>
      <c r="I274" s="298"/>
      <c r="J274" s="298"/>
      <c r="K274" s="168">
        <f>IF(K272&gt;0,K270/3/K272,0)</f>
        <v>0</v>
      </c>
      <c r="L274" s="326"/>
      <c r="M274" s="326"/>
    </row>
    <row r="275" spans="1:13" ht="15" customHeight="1" x14ac:dyDescent="0.25">
      <c r="A275" s="340"/>
      <c r="B275" s="315"/>
      <c r="C275" s="305" t="s">
        <v>609</v>
      </c>
      <c r="D275" s="306"/>
      <c r="E275" s="294"/>
      <c r="F275" s="300"/>
      <c r="G275" s="300"/>
      <c r="H275" s="299"/>
      <c r="I275" s="299"/>
      <c r="J275" s="299"/>
      <c r="K275" s="168">
        <f>IF(K272&gt;0,K271/3/K272,0)</f>
        <v>0</v>
      </c>
      <c r="L275" s="326"/>
      <c r="M275" s="326"/>
    </row>
    <row r="276" spans="1:13" ht="15" hidden="1" customHeight="1" x14ac:dyDescent="0.25">
      <c r="A276" s="340"/>
      <c r="B276" s="315"/>
      <c r="C276" s="58" t="s">
        <v>106</v>
      </c>
      <c r="D276" s="161">
        <v>0.05</v>
      </c>
      <c r="E276" s="294"/>
      <c r="F276" s="300"/>
      <c r="G276" s="300"/>
      <c r="H276" s="197"/>
      <c r="I276" s="197"/>
      <c r="J276" s="197"/>
      <c r="K276" s="165"/>
      <c r="L276" s="326"/>
      <c r="M276" s="326"/>
    </row>
    <row r="277" spans="1:13" ht="15" hidden="1" customHeight="1" x14ac:dyDescent="0.25">
      <c r="A277" s="340"/>
      <c r="B277" s="315"/>
      <c r="C277" s="58" t="s">
        <v>107</v>
      </c>
      <c r="D277" s="161">
        <v>0.3</v>
      </c>
      <c r="E277" s="294"/>
      <c r="F277" s="300"/>
      <c r="G277" s="300"/>
      <c r="H277" s="197"/>
      <c r="I277" s="197"/>
      <c r="J277" s="197"/>
      <c r="K277" s="165"/>
      <c r="L277" s="326"/>
      <c r="M277" s="326"/>
    </row>
    <row r="278" spans="1:13" ht="15" hidden="1" customHeight="1" x14ac:dyDescent="0.25">
      <c r="A278" s="340"/>
      <c r="B278" s="315"/>
      <c r="C278" s="58" t="s">
        <v>108</v>
      </c>
      <c r="D278" s="161">
        <v>1</v>
      </c>
      <c r="E278" s="294"/>
      <c r="F278" s="300"/>
      <c r="G278" s="300"/>
      <c r="H278" s="197"/>
      <c r="I278" s="197"/>
      <c r="J278" s="197"/>
      <c r="K278" s="165"/>
      <c r="L278" s="326"/>
      <c r="M278" s="326"/>
    </row>
    <row r="279" spans="1:13" ht="15" hidden="1" customHeight="1" x14ac:dyDescent="0.25">
      <c r="A279" s="340"/>
      <c r="B279" s="315"/>
      <c r="C279" s="162"/>
      <c r="D279" s="163" t="s">
        <v>499</v>
      </c>
      <c r="E279" s="294"/>
      <c r="F279" s="300"/>
      <c r="G279" s="300"/>
      <c r="H279" s="197"/>
      <c r="I279" s="197"/>
      <c r="J279" s="197"/>
      <c r="K279" s="166" t="str">
        <f>IF(K273&gt;=D276,"YES","NO")</f>
        <v>NO</v>
      </c>
      <c r="L279" s="326"/>
      <c r="M279" s="326"/>
    </row>
    <row r="280" spans="1:13" ht="15" hidden="1" customHeight="1" x14ac:dyDescent="0.25">
      <c r="A280" s="340"/>
      <c r="B280" s="315"/>
      <c r="C280" s="162"/>
      <c r="D280" s="163" t="s">
        <v>610</v>
      </c>
      <c r="E280" s="294"/>
      <c r="F280" s="300"/>
      <c r="G280" s="300"/>
      <c r="H280" s="197"/>
      <c r="I280" s="197"/>
      <c r="J280" s="197"/>
      <c r="K280" s="166" t="str">
        <f>IF(AND(K273&lt;D276,K274&gt;=D277),"YES","NO")</f>
        <v>NO</v>
      </c>
      <c r="L280" s="326"/>
      <c r="M280" s="326"/>
    </row>
    <row r="281" spans="1:13" ht="15" hidden="1" customHeight="1" x14ac:dyDescent="0.25">
      <c r="A281" s="340"/>
      <c r="B281" s="315"/>
      <c r="C281" s="162"/>
      <c r="D281" s="163" t="s">
        <v>501</v>
      </c>
      <c r="E281" s="294"/>
      <c r="F281" s="300"/>
      <c r="G281" s="300"/>
      <c r="H281" s="197"/>
      <c r="I281" s="197"/>
      <c r="J281" s="197"/>
      <c r="K281" s="166" t="str">
        <f>IF(OR(AND(K273&gt;0,K273&lt;D276,K274=0),AND(K274&gt;0,K274&lt;D277,K273=0),AND(K273&gt;0,K273&lt;D276,K274&gt;0,K274&lt;D277)),"YES","NO")</f>
        <v>NO</v>
      </c>
      <c r="L281" s="326"/>
      <c r="M281" s="326"/>
    </row>
    <row r="282" spans="1:13" ht="15" hidden="1" customHeight="1" x14ac:dyDescent="0.25">
      <c r="A282" s="340"/>
      <c r="B282" s="315"/>
      <c r="C282" s="162"/>
      <c r="D282" s="163" t="s">
        <v>550</v>
      </c>
      <c r="E282" s="294"/>
      <c r="F282" s="300"/>
      <c r="G282" s="300"/>
      <c r="H282" s="197"/>
      <c r="I282" s="197"/>
      <c r="J282" s="197"/>
      <c r="K282" s="166" t="str">
        <f>IF(AND(K273=0,K274=0,K275&gt;=D278),"YES","NO")</f>
        <v>NO</v>
      </c>
      <c r="L282" s="326"/>
      <c r="M282" s="326"/>
    </row>
    <row r="283" spans="1:13" ht="15" hidden="1" customHeight="1" x14ac:dyDescent="0.25">
      <c r="A283" s="340"/>
      <c r="B283" s="315"/>
      <c r="C283" s="162"/>
      <c r="D283" s="163" t="s">
        <v>551</v>
      </c>
      <c r="E283" s="294"/>
      <c r="F283" s="300"/>
      <c r="G283" s="300"/>
      <c r="H283" s="197"/>
      <c r="I283" s="197"/>
      <c r="J283" s="197"/>
      <c r="K283" s="166" t="str">
        <f>IF(AND(K273=0,K274=0,K275&lt;D278),"YES","NO")</f>
        <v>YES</v>
      </c>
      <c r="L283" s="326"/>
      <c r="M283" s="326"/>
    </row>
    <row r="284" spans="1:13" ht="15.75" thickBot="1" x14ac:dyDescent="0.3">
      <c r="A284" s="340"/>
      <c r="B284" s="315"/>
      <c r="C284" s="304" t="s">
        <v>7</v>
      </c>
      <c r="D284" s="304"/>
      <c r="E284" s="304"/>
      <c r="F284" s="304"/>
      <c r="G284" s="198"/>
      <c r="H284" s="198"/>
      <c r="I284" s="198"/>
      <c r="J284" s="198"/>
      <c r="K284" s="167">
        <f>IF(K279="YES",4,IF(K280="YES",3+K273/D276,IF(K281="YES",2+2*K273/D276+K274/D277-(K273*K274)/(D276*D277),IF(K282="YES",2,2*K275/D278))))</f>
        <v>0</v>
      </c>
      <c r="L284" s="326"/>
      <c r="M284" s="326"/>
    </row>
    <row r="286" spans="1:13" ht="30" customHeight="1" x14ac:dyDescent="0.25">
      <c r="A286" s="340">
        <v>27</v>
      </c>
      <c r="B286" s="315"/>
      <c r="C286" s="309" t="s">
        <v>57</v>
      </c>
      <c r="D286" s="309"/>
      <c r="E286" s="294" t="s">
        <v>1017</v>
      </c>
      <c r="F286" s="300" t="s">
        <v>993</v>
      </c>
      <c r="G286" s="300" t="s">
        <v>994</v>
      </c>
      <c r="H286" s="203" t="s">
        <v>964</v>
      </c>
      <c r="I286" s="203">
        <v>1</v>
      </c>
      <c r="J286" s="212" t="str">
        <f>IF((IF(OR((H286&amp;"."&amp;I286)=$R$8,(H286&amp;"."&amp;I286)=$S$8,(H286&amp;"."&amp;I286)=$T$8,(H286&amp;"."&amp;I286)=$U$8,(H286&amp;"."&amp;I286)=$V$8,(H286&amp;"."&amp;I286)=$W$8),1,0))=1,"EKSTREM",IF((IF(OR((H286&amp;"."&amp;I286)=$R$9,(H286&amp;"."&amp;I286)=$S$9,(H286&amp;"."&amp;I286)=$T$9,(H286&amp;"."&amp;I286)=$U$9,(H286&amp;"."&amp;I286)=$V$9,(H286&amp;"."&amp;I286)=$W$9,(H286&amp;"."&amp;I286)=$X$9),1,0))=1,"TINGGI",IF((IF(OR((H286&amp;"."&amp;I286)=$R$10,(H286&amp;"."&amp;I286)=$S$10,(H286&amp;"."&amp;I286)=$T$10,(H286&amp;"."&amp;I286)=$U$10,(H286&amp;"."&amp;I286)=$V$10,(H286&amp;"."&amp;I286)=$W$10),1,0))=1,"MODERAT",IF((IF(OR((H286&amp;"."&amp;I286)=$R$11,(H286&amp;"."&amp;I286)=$S$11,(H286&amp;"."&amp;I286)=$T$11,(H286&amp;"."&amp;I286)=$U$11,(H286&amp;"."&amp;I286)=$V$11,(H286&amp;"."&amp;I286)=$W$11),1,0))=1,"RENDAH","-"))))</f>
        <v>RENDAH</v>
      </c>
      <c r="K286" s="7"/>
      <c r="L286" s="326" t="s">
        <v>1078</v>
      </c>
      <c r="M286" s="326" t="s">
        <v>1079</v>
      </c>
    </row>
    <row r="287" spans="1:13" x14ac:dyDescent="0.25">
      <c r="A287" s="340"/>
      <c r="B287" s="315"/>
      <c r="C287" s="307" t="s">
        <v>628</v>
      </c>
      <c r="D287" s="307"/>
      <c r="E287" s="294"/>
      <c r="F287" s="300"/>
      <c r="G287" s="300"/>
      <c r="H287" s="297"/>
      <c r="I287" s="297"/>
      <c r="J287" s="297"/>
      <c r="K287" s="117">
        <f>'Isian Prodi'!E102</f>
        <v>0</v>
      </c>
      <c r="L287" s="326"/>
      <c r="M287" s="326"/>
    </row>
    <row r="288" spans="1:13" x14ac:dyDescent="0.25">
      <c r="A288" s="340"/>
      <c r="B288" s="315"/>
      <c r="C288" s="307" t="s">
        <v>629</v>
      </c>
      <c r="D288" s="307"/>
      <c r="E288" s="294"/>
      <c r="F288" s="300"/>
      <c r="G288" s="300"/>
      <c r="H288" s="298"/>
      <c r="I288" s="298"/>
      <c r="J288" s="298"/>
      <c r="K288" s="117">
        <f>'Isian Prodi'!E103</f>
        <v>0</v>
      </c>
      <c r="L288" s="326"/>
      <c r="M288" s="326"/>
    </row>
    <row r="289" spans="1:13" x14ac:dyDescent="0.25">
      <c r="A289" s="340"/>
      <c r="B289" s="315"/>
      <c r="C289" s="307" t="s">
        <v>630</v>
      </c>
      <c r="D289" s="307"/>
      <c r="E289" s="294"/>
      <c r="F289" s="300"/>
      <c r="G289" s="300"/>
      <c r="H289" s="298"/>
      <c r="I289" s="298"/>
      <c r="J289" s="298"/>
      <c r="K289" s="117">
        <f>'Isian Prodi'!E104</f>
        <v>0</v>
      </c>
      <c r="L289" s="326"/>
      <c r="M289" s="326"/>
    </row>
    <row r="290" spans="1:13" x14ac:dyDescent="0.25">
      <c r="A290" s="340"/>
      <c r="B290" s="315"/>
      <c r="C290" s="307" t="s">
        <v>631</v>
      </c>
      <c r="D290" s="307"/>
      <c r="E290" s="294"/>
      <c r="F290" s="300"/>
      <c r="G290" s="300"/>
      <c r="H290" s="298"/>
      <c r="I290" s="298"/>
      <c r="J290" s="298"/>
      <c r="K290" s="117">
        <f>'Isian Prodi'!E105</f>
        <v>0</v>
      </c>
      <c r="L290" s="326"/>
      <c r="M290" s="326"/>
    </row>
    <row r="291" spans="1:13" x14ac:dyDescent="0.25">
      <c r="A291" s="340"/>
      <c r="B291" s="315"/>
      <c r="C291" s="307" t="s">
        <v>632</v>
      </c>
      <c r="D291" s="307"/>
      <c r="E291" s="294"/>
      <c r="F291" s="300"/>
      <c r="G291" s="300"/>
      <c r="H291" s="298"/>
      <c r="I291" s="298"/>
      <c r="J291" s="298"/>
      <c r="K291" s="117">
        <f>'Isian Prodi'!E106</f>
        <v>0</v>
      </c>
      <c r="L291" s="326"/>
      <c r="M291" s="326"/>
    </row>
    <row r="292" spans="1:13" x14ac:dyDescent="0.25">
      <c r="A292" s="340"/>
      <c r="B292" s="315"/>
      <c r="C292" s="307" t="s">
        <v>633</v>
      </c>
      <c r="D292" s="307"/>
      <c r="E292" s="294"/>
      <c r="F292" s="300"/>
      <c r="G292" s="300"/>
      <c r="H292" s="298"/>
      <c r="I292" s="298"/>
      <c r="J292" s="298"/>
      <c r="K292" s="117">
        <f>'Isian Prodi'!E107</f>
        <v>0</v>
      </c>
      <c r="L292" s="326"/>
      <c r="M292" s="326"/>
    </row>
    <row r="293" spans="1:13" x14ac:dyDescent="0.25">
      <c r="A293" s="340"/>
      <c r="B293" s="315"/>
      <c r="C293" s="307" t="s">
        <v>634</v>
      </c>
      <c r="D293" s="307"/>
      <c r="E293" s="294"/>
      <c r="F293" s="300"/>
      <c r="G293" s="300"/>
      <c r="H293" s="298"/>
      <c r="I293" s="298"/>
      <c r="J293" s="298"/>
      <c r="K293" s="117">
        <f>'Isian Prodi'!E108</f>
        <v>0</v>
      </c>
      <c r="L293" s="326"/>
      <c r="M293" s="326"/>
    </row>
    <row r="294" spans="1:13" x14ac:dyDescent="0.25">
      <c r="A294" s="340"/>
      <c r="B294" s="315"/>
      <c r="C294" s="307" t="s">
        <v>635</v>
      </c>
      <c r="D294" s="307"/>
      <c r="E294" s="294"/>
      <c r="F294" s="300"/>
      <c r="G294" s="300"/>
      <c r="H294" s="298"/>
      <c r="I294" s="298"/>
      <c r="J294" s="298"/>
      <c r="K294" s="117">
        <f>'Isian Prodi'!E109</f>
        <v>0</v>
      </c>
      <c r="L294" s="326"/>
      <c r="M294" s="326"/>
    </row>
    <row r="295" spans="1:13" x14ac:dyDescent="0.25">
      <c r="A295" s="340"/>
      <c r="B295" s="315"/>
      <c r="C295" s="307" t="s">
        <v>636</v>
      </c>
      <c r="D295" s="307"/>
      <c r="E295" s="294"/>
      <c r="F295" s="300"/>
      <c r="G295" s="300"/>
      <c r="H295" s="298"/>
      <c r="I295" s="298"/>
      <c r="J295" s="298"/>
      <c r="K295" s="117">
        <f>'Isian Prodi'!E110</f>
        <v>0</v>
      </c>
      <c r="L295" s="326"/>
      <c r="M295" s="326"/>
    </row>
    <row r="296" spans="1:13" x14ac:dyDescent="0.25">
      <c r="A296" s="340"/>
      <c r="B296" s="315"/>
      <c r="C296" s="307" t="s">
        <v>637</v>
      </c>
      <c r="D296" s="307"/>
      <c r="E296" s="294"/>
      <c r="F296" s="300"/>
      <c r="G296" s="300"/>
      <c r="H296" s="298"/>
      <c r="I296" s="298"/>
      <c r="J296" s="298"/>
      <c r="K296" s="117">
        <f>'Isian Prodi'!E111</f>
        <v>0</v>
      </c>
      <c r="L296" s="326"/>
      <c r="M296" s="326"/>
    </row>
    <row r="297" spans="1:13" ht="50.1" customHeight="1" x14ac:dyDescent="0.25">
      <c r="A297" s="340"/>
      <c r="B297" s="315"/>
      <c r="C297" s="307" t="s">
        <v>104</v>
      </c>
      <c r="D297" s="307"/>
      <c r="E297" s="294"/>
      <c r="F297" s="300"/>
      <c r="G297" s="300"/>
      <c r="H297" s="298"/>
      <c r="I297" s="298"/>
      <c r="J297" s="298"/>
      <c r="K297" s="117">
        <f>'Isian Prodi'!C59</f>
        <v>0</v>
      </c>
      <c r="L297" s="326"/>
      <c r="M297" s="326"/>
    </row>
    <row r="298" spans="1:13" x14ac:dyDescent="0.25">
      <c r="A298" s="340"/>
      <c r="B298" s="315"/>
      <c r="C298" s="307" t="s">
        <v>638</v>
      </c>
      <c r="D298" s="307"/>
      <c r="E298" s="294"/>
      <c r="F298" s="300"/>
      <c r="G298" s="300"/>
      <c r="H298" s="298"/>
      <c r="I298" s="298"/>
      <c r="J298" s="298"/>
      <c r="K298" s="60">
        <f>IF(K297&gt;0,(K290+K293+K296)/K297,0)</f>
        <v>0</v>
      </c>
      <c r="L298" s="326"/>
      <c r="M298" s="326"/>
    </row>
    <row r="299" spans="1:13" x14ac:dyDescent="0.25">
      <c r="A299" s="340"/>
      <c r="B299" s="315"/>
      <c r="C299" s="307" t="s">
        <v>639</v>
      </c>
      <c r="D299" s="307"/>
      <c r="E299" s="294"/>
      <c r="F299" s="300"/>
      <c r="G299" s="300"/>
      <c r="H299" s="298"/>
      <c r="I299" s="298"/>
      <c r="J299" s="298"/>
      <c r="K299" s="60">
        <f>IF(K297&gt;0,(K288+K289+K292+K295)/K297,0)</f>
        <v>0</v>
      </c>
      <c r="L299" s="326"/>
      <c r="M299" s="326"/>
    </row>
    <row r="300" spans="1:13" x14ac:dyDescent="0.25">
      <c r="A300" s="340"/>
      <c r="B300" s="315"/>
      <c r="C300" s="307" t="s">
        <v>640</v>
      </c>
      <c r="D300" s="307"/>
      <c r="E300" s="294"/>
      <c r="F300" s="300"/>
      <c r="G300" s="300"/>
      <c r="H300" s="299"/>
      <c r="I300" s="299"/>
      <c r="J300" s="299"/>
      <c r="K300" s="60">
        <f>IF(K297&gt;0,(K291+K294+K287)/K297,0)</f>
        <v>0</v>
      </c>
      <c r="L300" s="326"/>
      <c r="M300" s="326"/>
    </row>
    <row r="301" spans="1:13" ht="15" hidden="1" customHeight="1" x14ac:dyDescent="0.25">
      <c r="A301" s="340"/>
      <c r="B301" s="315"/>
      <c r="C301" s="58" t="s">
        <v>106</v>
      </c>
      <c r="D301" s="161">
        <v>0.1</v>
      </c>
      <c r="E301" s="294"/>
      <c r="F301" s="300"/>
      <c r="G301" s="300"/>
      <c r="H301" s="187"/>
      <c r="I301" s="187"/>
      <c r="J301" s="187"/>
      <c r="K301" s="171"/>
      <c r="L301" s="326"/>
      <c r="M301" s="326"/>
    </row>
    <row r="302" spans="1:13" ht="15" hidden="1" customHeight="1" x14ac:dyDescent="0.25">
      <c r="A302" s="340"/>
      <c r="B302" s="315"/>
      <c r="C302" s="58" t="s">
        <v>107</v>
      </c>
      <c r="D302" s="161">
        <v>1</v>
      </c>
      <c r="E302" s="294"/>
      <c r="F302" s="300"/>
      <c r="G302" s="300"/>
      <c r="H302" s="187"/>
      <c r="I302" s="187"/>
      <c r="J302" s="187"/>
      <c r="K302" s="171"/>
      <c r="L302" s="326"/>
      <c r="M302" s="326"/>
    </row>
    <row r="303" spans="1:13" ht="15" hidden="1" customHeight="1" x14ac:dyDescent="0.25">
      <c r="A303" s="340"/>
      <c r="B303" s="315"/>
      <c r="C303" s="58" t="s">
        <v>108</v>
      </c>
      <c r="D303" s="161">
        <v>2</v>
      </c>
      <c r="E303" s="294"/>
      <c r="F303" s="300"/>
      <c r="G303" s="300"/>
      <c r="H303" s="187"/>
      <c r="I303" s="187"/>
      <c r="J303" s="187"/>
      <c r="K303" s="171"/>
      <c r="L303" s="326"/>
      <c r="M303" s="326"/>
    </row>
    <row r="304" spans="1:13" ht="15" hidden="1" customHeight="1" x14ac:dyDescent="0.25">
      <c r="A304" s="340"/>
      <c r="B304" s="315"/>
      <c r="C304" s="58"/>
      <c r="D304" s="58" t="s">
        <v>499</v>
      </c>
      <c r="E304" s="294"/>
      <c r="F304" s="300"/>
      <c r="G304" s="300"/>
      <c r="H304" s="187"/>
      <c r="I304" s="187"/>
      <c r="J304" s="187"/>
      <c r="K304" s="172" t="str">
        <f>IF(K298&gt;=D301,"YES","NO")</f>
        <v>NO</v>
      </c>
      <c r="L304" s="326"/>
      <c r="M304" s="326"/>
    </row>
    <row r="305" spans="1:13" ht="15" hidden="1" customHeight="1" x14ac:dyDescent="0.25">
      <c r="A305" s="340"/>
      <c r="B305" s="315"/>
      <c r="C305" s="58"/>
      <c r="D305" s="58" t="s">
        <v>610</v>
      </c>
      <c r="E305" s="294"/>
      <c r="F305" s="300"/>
      <c r="G305" s="300"/>
      <c r="H305" s="187"/>
      <c r="I305" s="187"/>
      <c r="J305" s="187"/>
      <c r="K305" s="172" t="str">
        <f>IF(AND(K298&lt;D301,K299&gt;=D302),"YES","NO")</f>
        <v>NO</v>
      </c>
      <c r="L305" s="326"/>
      <c r="M305" s="326"/>
    </row>
    <row r="306" spans="1:13" ht="15" hidden="1" customHeight="1" x14ac:dyDescent="0.25">
      <c r="A306" s="340"/>
      <c r="B306" s="315"/>
      <c r="C306" s="58"/>
      <c r="D306" s="58" t="s">
        <v>501</v>
      </c>
      <c r="E306" s="294"/>
      <c r="F306" s="300"/>
      <c r="G306" s="300"/>
      <c r="H306" s="187"/>
      <c r="I306" s="187"/>
      <c r="J306" s="187"/>
      <c r="K306" s="172" t="str">
        <f>IF(OR(AND(K298&gt;0,K298&lt;D301,K299=0),AND(K299&gt;0,K299&lt;D302,K298=0),AND(K298&gt;0,K298&lt;D301,K299&gt;0,K299&lt;D302)),"YES","NO")</f>
        <v>NO</v>
      </c>
      <c r="L306" s="326"/>
      <c r="M306" s="326"/>
    </row>
    <row r="307" spans="1:13" ht="15" hidden="1" customHeight="1" x14ac:dyDescent="0.25">
      <c r="A307" s="340"/>
      <c r="B307" s="315"/>
      <c r="C307" s="58"/>
      <c r="D307" s="58" t="s">
        <v>550</v>
      </c>
      <c r="E307" s="294"/>
      <c r="F307" s="300"/>
      <c r="G307" s="300"/>
      <c r="H307" s="187"/>
      <c r="I307" s="187"/>
      <c r="J307" s="187"/>
      <c r="K307" s="172" t="str">
        <f>IF(AND(K298=0,K299=0,K300&gt;=D303),"YES","NO")</f>
        <v>NO</v>
      </c>
      <c r="L307" s="326"/>
      <c r="M307" s="326"/>
    </row>
    <row r="308" spans="1:13" ht="15" hidden="1" customHeight="1" x14ac:dyDescent="0.25">
      <c r="A308" s="340"/>
      <c r="B308" s="315"/>
      <c r="C308" s="58"/>
      <c r="D308" s="58" t="s">
        <v>551</v>
      </c>
      <c r="E308" s="294"/>
      <c r="F308" s="300"/>
      <c r="G308" s="300"/>
      <c r="H308" s="187"/>
      <c r="I308" s="187"/>
      <c r="J308" s="187"/>
      <c r="K308" s="172" t="str">
        <f>IF(AND(K298=0,K299=0,K300&lt;D303),"YES","NO")</f>
        <v>YES</v>
      </c>
      <c r="L308" s="326"/>
      <c r="M308" s="326"/>
    </row>
    <row r="309" spans="1:13" x14ac:dyDescent="0.25">
      <c r="A309" s="340"/>
      <c r="B309" s="315"/>
      <c r="C309" s="304" t="s">
        <v>7</v>
      </c>
      <c r="D309" s="304"/>
      <c r="E309" s="304"/>
      <c r="F309" s="304"/>
      <c r="G309" s="183"/>
      <c r="H309" s="183"/>
      <c r="I309" s="183"/>
      <c r="J309" s="183"/>
      <c r="K309" s="62">
        <f>IF(K304="YES",4,IF(K305="YES",3+K298/D301,IF(K306="YES",2+2*K298/D301+K299/D302-(K298*K299)/(D301*D302),IF(K307="YES",2,2*K300/D303))))</f>
        <v>0</v>
      </c>
      <c r="L309" s="326"/>
      <c r="M309" s="326"/>
    </row>
    <row r="311" spans="1:13" ht="15" customHeight="1" x14ac:dyDescent="0.25">
      <c r="A311" s="340">
        <v>28</v>
      </c>
      <c r="B311" s="315"/>
      <c r="C311" s="364" t="s">
        <v>58</v>
      </c>
      <c r="D311" s="364"/>
      <c r="E311" s="294" t="s">
        <v>1018</v>
      </c>
      <c r="F311" s="300" t="s">
        <v>993</v>
      </c>
      <c r="G311" s="300" t="s">
        <v>994</v>
      </c>
      <c r="H311" s="203" t="s">
        <v>964</v>
      </c>
      <c r="I311" s="203">
        <v>1</v>
      </c>
      <c r="J311" s="212" t="str">
        <f>IF((IF(OR((H311&amp;"."&amp;I311)=$R$8,(H311&amp;"."&amp;I311)=$S$8,(H311&amp;"."&amp;I311)=$T$8,(H311&amp;"."&amp;I311)=$U$8,(H311&amp;"."&amp;I311)=$V$8,(H311&amp;"."&amp;I311)=$W$8),1,0))=1,"EKSTREM",IF((IF(OR((H311&amp;"."&amp;I311)=$R$9,(H311&amp;"."&amp;I311)=$S$9,(H311&amp;"."&amp;I311)=$T$9,(H311&amp;"."&amp;I311)=$U$9,(H311&amp;"."&amp;I311)=$V$9,(H311&amp;"."&amp;I311)=$W$9,(H311&amp;"."&amp;I311)=$X$9),1,0))=1,"TINGGI",IF((IF(OR((H311&amp;"."&amp;I311)=$R$10,(H311&amp;"."&amp;I311)=$S$10,(H311&amp;"."&amp;I311)=$T$10,(H311&amp;"."&amp;I311)=$U$10,(H311&amp;"."&amp;I311)=$V$10,(H311&amp;"."&amp;I311)=$W$10),1,0))=1,"MODERAT",IF((IF(OR((H311&amp;"."&amp;I311)=$R$11,(H311&amp;"."&amp;I311)=$S$11,(H311&amp;"."&amp;I311)=$T$11,(H311&amp;"."&amp;I311)=$U$11,(H311&amp;"."&amp;I311)=$V$11,(H311&amp;"."&amp;I311)=$W$11),1,0))=1,"RENDAH","-"))))</f>
        <v>RENDAH</v>
      </c>
      <c r="K311" s="7"/>
      <c r="L311" s="326" t="s">
        <v>1078</v>
      </c>
      <c r="M311" s="326" t="s">
        <v>1079</v>
      </c>
    </row>
    <row r="312" spans="1:13" ht="15" customHeight="1" x14ac:dyDescent="0.25">
      <c r="A312" s="340"/>
      <c r="B312" s="315"/>
      <c r="C312" s="341" t="s">
        <v>642</v>
      </c>
      <c r="D312" s="341"/>
      <c r="E312" s="294"/>
      <c r="F312" s="300"/>
      <c r="G312" s="300"/>
      <c r="H312" s="297"/>
      <c r="I312" s="297"/>
      <c r="J312" s="297"/>
      <c r="K312" s="117">
        <f>'Isian Prodi'!E116</f>
        <v>0</v>
      </c>
      <c r="L312" s="326"/>
      <c r="M312" s="326"/>
    </row>
    <row r="313" spans="1:13" ht="15" customHeight="1" x14ac:dyDescent="0.25">
      <c r="A313" s="340"/>
      <c r="B313" s="315"/>
      <c r="C313" s="341" t="s">
        <v>643</v>
      </c>
      <c r="D313" s="341"/>
      <c r="E313" s="294"/>
      <c r="F313" s="300"/>
      <c r="G313" s="300"/>
      <c r="H313" s="298"/>
      <c r="I313" s="298"/>
      <c r="J313" s="298"/>
      <c r="K313" s="117">
        <f>'Isian Prodi'!C59</f>
        <v>0</v>
      </c>
      <c r="L313" s="326"/>
      <c r="M313" s="326"/>
    </row>
    <row r="314" spans="1:13" ht="15" customHeight="1" x14ac:dyDescent="0.25">
      <c r="A314" s="340"/>
      <c r="B314" s="315"/>
      <c r="C314" s="341" t="s">
        <v>644</v>
      </c>
      <c r="D314" s="341"/>
      <c r="E314" s="294"/>
      <c r="F314" s="300"/>
      <c r="G314" s="300"/>
      <c r="H314" s="299"/>
      <c r="I314" s="299"/>
      <c r="J314" s="299"/>
      <c r="K314" s="170">
        <f>IF(K313&gt;0,K312/K313,0)</f>
        <v>0</v>
      </c>
      <c r="L314" s="326"/>
      <c r="M314" s="326"/>
    </row>
    <row r="315" spans="1:13" ht="15" hidden="1" customHeight="1" x14ac:dyDescent="0.25">
      <c r="A315" s="340"/>
      <c r="B315" s="315"/>
      <c r="C315" s="58" t="s">
        <v>475</v>
      </c>
      <c r="D315" s="58">
        <v>0.5</v>
      </c>
      <c r="E315" s="294"/>
      <c r="F315" s="300"/>
      <c r="G315" s="300"/>
      <c r="H315" s="187"/>
      <c r="I315" s="187"/>
      <c r="J315" s="187"/>
      <c r="K315" s="61"/>
      <c r="L315" s="326"/>
      <c r="M315" s="326"/>
    </row>
    <row r="316" spans="1:13" x14ac:dyDescent="0.25">
      <c r="A316" s="340"/>
      <c r="B316" s="315"/>
      <c r="C316" s="304" t="s">
        <v>7</v>
      </c>
      <c r="D316" s="304"/>
      <c r="E316" s="304"/>
      <c r="F316" s="304"/>
      <c r="G316" s="183"/>
      <c r="H316" s="183"/>
      <c r="I316" s="183"/>
      <c r="J316" s="183"/>
      <c r="K316" s="147">
        <f>IF(K314&gt;=D315,4,2+2/D315*K314)</f>
        <v>2</v>
      </c>
      <c r="L316" s="326"/>
      <c r="M316" s="326"/>
    </row>
    <row r="318" spans="1:13" ht="30" customHeight="1" x14ac:dyDescent="0.25">
      <c r="A318" s="340">
        <v>29</v>
      </c>
      <c r="B318" s="315"/>
      <c r="C318" s="309" t="s">
        <v>59</v>
      </c>
      <c r="D318" s="309"/>
      <c r="E318" s="294" t="s">
        <v>1019</v>
      </c>
      <c r="F318" s="300" t="s">
        <v>993</v>
      </c>
      <c r="G318" s="300" t="s">
        <v>994</v>
      </c>
      <c r="H318" s="203" t="s">
        <v>964</v>
      </c>
      <c r="I318" s="203">
        <v>1</v>
      </c>
      <c r="J318" s="212" t="str">
        <f>IF((IF(OR((H318&amp;"."&amp;I318)=$R$8,(H318&amp;"."&amp;I318)=$S$8,(H318&amp;"."&amp;I318)=$T$8,(H318&amp;"."&amp;I318)=$U$8,(H318&amp;"."&amp;I318)=$V$8,(H318&amp;"."&amp;I318)=$W$8),1,0))=1,"EKSTREM",IF((IF(OR((H318&amp;"."&amp;I318)=$R$9,(H318&amp;"."&amp;I318)=$S$9,(H318&amp;"."&amp;I318)=$T$9,(H318&amp;"."&amp;I318)=$U$9,(H318&amp;"."&amp;I318)=$V$9,(H318&amp;"."&amp;I318)=$W$9,(H318&amp;"."&amp;I318)=$X$9),1,0))=1,"TINGGI",IF((IF(OR((H318&amp;"."&amp;I318)=$R$10,(H318&amp;"."&amp;I318)=$S$10,(H318&amp;"."&amp;I318)=$T$10,(H318&amp;"."&amp;I318)=$U$10,(H318&amp;"."&amp;I318)=$V$10,(H318&amp;"."&amp;I318)=$W$10),1,0))=1,"MODERAT",IF((IF(OR((H318&amp;"."&amp;I318)=$R$11,(H318&amp;"."&amp;I318)=$S$11,(H318&amp;"."&amp;I318)=$T$11,(H318&amp;"."&amp;I318)=$U$11,(H318&amp;"."&amp;I318)=$V$11,(H318&amp;"."&amp;I318)=$W$11),1,0))=1,"RENDAH","-"))))</f>
        <v>RENDAH</v>
      </c>
      <c r="K318" s="7"/>
      <c r="L318" s="326" t="s">
        <v>1078</v>
      </c>
      <c r="M318" s="326" t="s">
        <v>1079</v>
      </c>
    </row>
    <row r="319" spans="1:13" ht="30" customHeight="1" x14ac:dyDescent="0.25">
      <c r="A319" s="340"/>
      <c r="B319" s="315"/>
      <c r="C319" s="307" t="s">
        <v>645</v>
      </c>
      <c r="D319" s="307"/>
      <c r="E319" s="294"/>
      <c r="F319" s="300"/>
      <c r="G319" s="300"/>
      <c r="H319" s="297"/>
      <c r="I319" s="297"/>
      <c r="J319" s="297"/>
      <c r="K319" s="117">
        <f>'Isian Prodi'!E122</f>
        <v>0</v>
      </c>
      <c r="L319" s="326"/>
      <c r="M319" s="326"/>
    </row>
    <row r="320" spans="1:13" ht="50.1" customHeight="1" x14ac:dyDescent="0.25">
      <c r="A320" s="340"/>
      <c r="B320" s="315"/>
      <c r="C320" s="307" t="s">
        <v>646</v>
      </c>
      <c r="D320" s="307"/>
      <c r="E320" s="294"/>
      <c r="F320" s="300"/>
      <c r="G320" s="300"/>
      <c r="H320" s="298"/>
      <c r="I320" s="298"/>
      <c r="J320" s="298"/>
      <c r="K320" s="117">
        <f>'Isian Prodi'!E123</f>
        <v>0</v>
      </c>
      <c r="L320" s="326"/>
      <c r="M320" s="326"/>
    </row>
    <row r="321" spans="1:13" ht="50.1" customHeight="1" x14ac:dyDescent="0.25">
      <c r="A321" s="340"/>
      <c r="B321" s="315"/>
      <c r="C321" s="307" t="s">
        <v>647</v>
      </c>
      <c r="D321" s="307"/>
      <c r="E321" s="294"/>
      <c r="F321" s="300"/>
      <c r="G321" s="300"/>
      <c r="H321" s="298"/>
      <c r="I321" s="298"/>
      <c r="J321" s="298"/>
      <c r="K321" s="117">
        <f>'Isian Prodi'!E124</f>
        <v>0</v>
      </c>
      <c r="L321" s="326"/>
      <c r="M321" s="326"/>
    </row>
    <row r="322" spans="1:13" ht="30" customHeight="1" x14ac:dyDescent="0.25">
      <c r="A322" s="340"/>
      <c r="B322" s="315"/>
      <c r="C322" s="307" t="s">
        <v>648</v>
      </c>
      <c r="D322" s="307"/>
      <c r="E322" s="294"/>
      <c r="F322" s="300"/>
      <c r="G322" s="300"/>
      <c r="H322" s="298"/>
      <c r="I322" s="298"/>
      <c r="J322" s="298"/>
      <c r="K322" s="117">
        <f>'Isian Prodi'!E125</f>
        <v>0</v>
      </c>
      <c r="L322" s="326"/>
      <c r="M322" s="326"/>
    </row>
    <row r="323" spans="1:13" ht="50.1" customHeight="1" x14ac:dyDescent="0.25">
      <c r="A323" s="340"/>
      <c r="B323" s="315"/>
      <c r="C323" s="341" t="s">
        <v>643</v>
      </c>
      <c r="D323" s="341"/>
      <c r="E323" s="294"/>
      <c r="F323" s="300"/>
      <c r="G323" s="300"/>
      <c r="H323" s="298"/>
      <c r="I323" s="298"/>
      <c r="J323" s="298"/>
      <c r="K323" s="117">
        <f>'Isian Prodi'!C59</f>
        <v>0</v>
      </c>
      <c r="L323" s="326"/>
      <c r="M323" s="326"/>
    </row>
    <row r="324" spans="1:13" x14ac:dyDescent="0.25">
      <c r="A324" s="340"/>
      <c r="B324" s="315"/>
      <c r="C324" s="307" t="s">
        <v>649</v>
      </c>
      <c r="D324" s="307"/>
      <c r="E324" s="294"/>
      <c r="F324" s="300"/>
      <c r="G324" s="300"/>
      <c r="H324" s="299"/>
      <c r="I324" s="299"/>
      <c r="J324" s="299"/>
      <c r="K324" s="60">
        <f>IF(K323&gt;0,(2*(K319+K320+K321)+K322)/K323,0)</f>
        <v>0</v>
      </c>
      <c r="L324" s="326"/>
      <c r="M324" s="326"/>
    </row>
    <row r="325" spans="1:13" ht="15" hidden="1" customHeight="1" x14ac:dyDescent="0.25">
      <c r="A325" s="340"/>
      <c r="B325" s="315"/>
      <c r="C325" s="58" t="s">
        <v>107</v>
      </c>
      <c r="D325" s="161">
        <v>1</v>
      </c>
      <c r="E325" s="294"/>
      <c r="F325" s="300"/>
      <c r="G325" s="300"/>
      <c r="H325" s="187"/>
      <c r="I325" s="187"/>
      <c r="J325" s="187"/>
      <c r="K325" s="61"/>
      <c r="L325" s="326"/>
      <c r="M325" s="326"/>
    </row>
    <row r="326" spans="1:13" ht="15" customHeight="1" x14ac:dyDescent="0.25">
      <c r="A326" s="340"/>
      <c r="B326" s="315"/>
      <c r="C326" s="304" t="s">
        <v>7</v>
      </c>
      <c r="D326" s="304"/>
      <c r="E326" s="304"/>
      <c r="F326" s="304"/>
      <c r="G326" s="183"/>
      <c r="H326" s="183"/>
      <c r="I326" s="183"/>
      <c r="J326" s="183"/>
      <c r="K326" s="62">
        <f>IF(K324&gt;=D325,4,2+2/D325*K324)</f>
        <v>2</v>
      </c>
      <c r="L326" s="326"/>
      <c r="M326" s="326"/>
    </row>
    <row r="327" spans="1:13" ht="15" customHeight="1" x14ac:dyDescent="0.25"/>
    <row r="328" spans="1:13" ht="30.75" customHeight="1" x14ac:dyDescent="0.25">
      <c r="A328" s="340">
        <v>30</v>
      </c>
      <c r="B328" s="381" t="s">
        <v>782</v>
      </c>
      <c r="C328" s="295" t="s">
        <v>781</v>
      </c>
      <c r="D328" s="296"/>
      <c r="E328" s="294" t="s">
        <v>1020</v>
      </c>
      <c r="F328" s="300" t="s">
        <v>993</v>
      </c>
      <c r="G328" s="300" t="s">
        <v>994</v>
      </c>
      <c r="H328" s="203" t="s">
        <v>964</v>
      </c>
      <c r="I328" s="203">
        <v>1</v>
      </c>
      <c r="J328" s="212" t="str">
        <f>IF((IF(OR((H328&amp;"."&amp;I328)=$R$8,(H328&amp;"."&amp;I328)=$S$8,(H328&amp;"."&amp;I328)=$T$8,(H328&amp;"."&amp;I328)=$U$8,(H328&amp;"."&amp;I328)=$V$8,(H328&amp;"."&amp;I328)=$W$8),1,0))=1,"EKSTREM",IF((IF(OR((H328&amp;"."&amp;I328)=$R$9,(H328&amp;"."&amp;I328)=$S$9,(H328&amp;"."&amp;I328)=$T$9,(H328&amp;"."&amp;I328)=$U$9,(H328&amp;"."&amp;I328)=$V$9,(H328&amp;"."&amp;I328)=$W$9,(H328&amp;"."&amp;I328)=$X$9),1,0))=1,"TINGGI",IF((IF(OR((H328&amp;"."&amp;I328)=$R$10,(H328&amp;"."&amp;I328)=$S$10,(H328&amp;"."&amp;I328)=$T$10,(H328&amp;"."&amp;I328)=$U$10,(H328&amp;"."&amp;I328)=$V$10,(H328&amp;"."&amp;I328)=$W$10),1,0))=1,"MODERAT",IF((IF(OR((H328&amp;"."&amp;I328)=$R$11,(H328&amp;"."&amp;I328)=$S$11,(H328&amp;"."&amp;I328)=$T$11,(H328&amp;"."&amp;I328)=$U$11,(H328&amp;"."&amp;I328)=$V$11,(H328&amp;"."&amp;I328)=$W$11),1,0))=1,"RENDAH","-"))))</f>
        <v>RENDAH</v>
      </c>
      <c r="K328" s="10">
        <v>0</v>
      </c>
      <c r="L328" s="326" t="s">
        <v>1078</v>
      </c>
      <c r="M328" s="326" t="s">
        <v>1079</v>
      </c>
    </row>
    <row r="329" spans="1:13" ht="15" customHeight="1" x14ac:dyDescent="0.25">
      <c r="A329" s="340"/>
      <c r="B329" s="381"/>
      <c r="C329" s="363" t="s">
        <v>641</v>
      </c>
      <c r="D329" s="342"/>
      <c r="E329" s="294"/>
      <c r="F329" s="300"/>
      <c r="G329" s="300"/>
      <c r="H329" s="297"/>
      <c r="I329" s="297"/>
      <c r="J329" s="297"/>
      <c r="K329" s="117">
        <f>AVERAGE(K197,K203,K211,K226,K232,K236,K242)</f>
        <v>1.7142857142857142</v>
      </c>
      <c r="L329" s="326"/>
      <c r="M329" s="326"/>
    </row>
    <row r="330" spans="1:13" ht="45" x14ac:dyDescent="0.25">
      <c r="A330" s="340"/>
      <c r="B330" s="381"/>
      <c r="C330" s="13">
        <v>4</v>
      </c>
      <c r="D330" s="153" t="s">
        <v>182</v>
      </c>
      <c r="E330" s="294"/>
      <c r="F330" s="300"/>
      <c r="G330" s="300"/>
      <c r="H330" s="298"/>
      <c r="I330" s="298"/>
      <c r="J330" s="298"/>
      <c r="K330" s="297"/>
      <c r="L330" s="326"/>
      <c r="M330" s="326"/>
    </row>
    <row r="331" spans="1:13" ht="45" x14ac:dyDescent="0.25">
      <c r="A331" s="340"/>
      <c r="B331" s="381"/>
      <c r="C331" s="13">
        <v>3</v>
      </c>
      <c r="D331" s="153" t="s">
        <v>183</v>
      </c>
      <c r="E331" s="294"/>
      <c r="F331" s="300"/>
      <c r="G331" s="300"/>
      <c r="H331" s="298"/>
      <c r="I331" s="298"/>
      <c r="J331" s="298"/>
      <c r="K331" s="298"/>
      <c r="L331" s="326"/>
      <c r="M331" s="326"/>
    </row>
    <row r="332" spans="1:13" ht="30" x14ac:dyDescent="0.25">
      <c r="A332" s="340"/>
      <c r="B332" s="381"/>
      <c r="C332" s="13">
        <v>2</v>
      </c>
      <c r="D332" s="80" t="s">
        <v>184</v>
      </c>
      <c r="E332" s="294"/>
      <c r="F332" s="300"/>
      <c r="G332" s="300"/>
      <c r="H332" s="298"/>
      <c r="I332" s="298"/>
      <c r="J332" s="298"/>
      <c r="K332" s="298"/>
      <c r="L332" s="326"/>
      <c r="M332" s="326"/>
    </row>
    <row r="333" spans="1:13" ht="45" x14ac:dyDescent="0.25">
      <c r="A333" s="340"/>
      <c r="B333" s="381"/>
      <c r="C333" s="13">
        <v>1</v>
      </c>
      <c r="D333" s="80" t="s">
        <v>185</v>
      </c>
      <c r="E333" s="294"/>
      <c r="F333" s="300"/>
      <c r="G333" s="300"/>
      <c r="H333" s="298"/>
      <c r="I333" s="298"/>
      <c r="J333" s="298"/>
      <c r="K333" s="298"/>
      <c r="L333" s="326"/>
      <c r="M333" s="326"/>
    </row>
    <row r="334" spans="1:13" ht="30" x14ac:dyDescent="0.25">
      <c r="A334" s="340"/>
      <c r="B334" s="381"/>
      <c r="C334" s="13">
        <v>0</v>
      </c>
      <c r="D334" s="80" t="s">
        <v>186</v>
      </c>
      <c r="E334" s="294"/>
      <c r="F334" s="300"/>
      <c r="G334" s="300"/>
      <c r="H334" s="299"/>
      <c r="I334" s="299"/>
      <c r="J334" s="299"/>
      <c r="K334" s="299"/>
      <c r="L334" s="326"/>
      <c r="M334" s="326"/>
    </row>
    <row r="335" spans="1:13" x14ac:dyDescent="0.25">
      <c r="A335" s="340"/>
      <c r="B335" s="381"/>
      <c r="C335" s="304" t="s">
        <v>7</v>
      </c>
      <c r="D335" s="304"/>
      <c r="E335" s="304"/>
      <c r="F335" s="304"/>
      <c r="G335" s="183"/>
      <c r="H335" s="183"/>
      <c r="I335" s="183"/>
      <c r="J335" s="183"/>
      <c r="K335" s="11">
        <f>IF(OR(ISBLANK(K328),K328&lt;0,K328&gt;4),0,IF(K329&gt;=3.5,4,K328))</f>
        <v>0</v>
      </c>
      <c r="L335" s="326"/>
      <c r="M335" s="326"/>
    </row>
    <row r="337" spans="1:13" ht="105" customHeight="1" x14ac:dyDescent="0.25">
      <c r="A337" s="345">
        <v>31</v>
      </c>
      <c r="B337" s="337" t="s">
        <v>783</v>
      </c>
      <c r="C337" s="291" t="s">
        <v>784</v>
      </c>
      <c r="D337" s="291"/>
      <c r="E337" s="294" t="s">
        <v>1021</v>
      </c>
      <c r="F337" s="301" t="s">
        <v>993</v>
      </c>
      <c r="G337" s="301" t="s">
        <v>994</v>
      </c>
      <c r="H337" s="203" t="s">
        <v>964</v>
      </c>
      <c r="I337" s="203">
        <v>1</v>
      </c>
      <c r="J337" s="212" t="str">
        <f>IF((IF(OR((H337&amp;"."&amp;I337)=$R$8,(H337&amp;"."&amp;I337)=$S$8,(H337&amp;"."&amp;I337)=$T$8,(H337&amp;"."&amp;I337)=$U$8,(H337&amp;"."&amp;I337)=$V$8,(H337&amp;"."&amp;I337)=$W$8),1,0))=1,"EKSTREM",IF((IF(OR((H337&amp;"."&amp;I337)=$R$9,(H337&amp;"."&amp;I337)=$S$9,(H337&amp;"."&amp;I337)=$T$9,(H337&amp;"."&amp;I337)=$U$9,(H337&amp;"."&amp;I337)=$V$9,(H337&amp;"."&amp;I337)=$W$9,(H337&amp;"."&amp;I337)=$X$9),1,0))=1,"TINGGI",IF((IF(OR((H337&amp;"."&amp;I337)=$R$10,(H337&amp;"."&amp;I337)=$S$10,(H337&amp;"."&amp;I337)=$T$10,(H337&amp;"."&amp;I337)=$U$10,(H337&amp;"."&amp;I337)=$V$10,(H337&amp;"."&amp;I337)=$W$10),1,0))=1,"MODERAT",IF((IF(OR((H337&amp;"."&amp;I337)=$R$11,(H337&amp;"."&amp;I337)=$S$11,(H337&amp;"."&amp;I337)=$T$11,(H337&amp;"."&amp;I337)=$U$11,(H337&amp;"."&amp;I337)=$V$11,(H337&amp;"."&amp;I337)=$W$11),1,0))=1,"RENDAH","-"))))</f>
        <v>RENDAH</v>
      </c>
      <c r="K337" s="10">
        <v>0</v>
      </c>
      <c r="L337" s="354" t="s">
        <v>1078</v>
      </c>
      <c r="M337" s="354" t="s">
        <v>1079</v>
      </c>
    </row>
    <row r="338" spans="1:13" ht="60" x14ac:dyDescent="0.25">
      <c r="A338" s="346"/>
      <c r="B338" s="338"/>
      <c r="C338" s="13">
        <v>4</v>
      </c>
      <c r="D338" s="80" t="s">
        <v>785</v>
      </c>
      <c r="E338" s="294"/>
      <c r="F338" s="302"/>
      <c r="G338" s="302"/>
      <c r="H338" s="297"/>
      <c r="I338" s="297"/>
      <c r="J338" s="297"/>
      <c r="K338" s="297"/>
      <c r="L338" s="355"/>
      <c r="M338" s="355"/>
    </row>
    <row r="339" spans="1:13" ht="60" x14ac:dyDescent="0.25">
      <c r="A339" s="346"/>
      <c r="B339" s="338"/>
      <c r="C339" s="13">
        <v>3</v>
      </c>
      <c r="D339" s="80" t="s">
        <v>786</v>
      </c>
      <c r="E339" s="294"/>
      <c r="F339" s="302"/>
      <c r="G339" s="302"/>
      <c r="H339" s="298"/>
      <c r="I339" s="298"/>
      <c r="J339" s="298"/>
      <c r="K339" s="298"/>
      <c r="L339" s="355"/>
      <c r="M339" s="355"/>
    </row>
    <row r="340" spans="1:13" ht="45" x14ac:dyDescent="0.25">
      <c r="A340" s="346"/>
      <c r="B340" s="338"/>
      <c r="C340" s="13">
        <v>2</v>
      </c>
      <c r="D340" s="80" t="s">
        <v>787</v>
      </c>
      <c r="E340" s="294"/>
      <c r="F340" s="302"/>
      <c r="G340" s="302"/>
      <c r="H340" s="298"/>
      <c r="I340" s="298"/>
      <c r="J340" s="298"/>
      <c r="K340" s="298"/>
      <c r="L340" s="355"/>
      <c r="M340" s="355"/>
    </row>
    <row r="341" spans="1:13" ht="45" x14ac:dyDescent="0.25">
      <c r="A341" s="346"/>
      <c r="B341" s="338"/>
      <c r="C341" s="13">
        <v>1</v>
      </c>
      <c r="D341" s="80" t="s">
        <v>788</v>
      </c>
      <c r="E341" s="294"/>
      <c r="F341" s="302"/>
      <c r="G341" s="302"/>
      <c r="H341" s="298"/>
      <c r="I341" s="298"/>
      <c r="J341" s="298"/>
      <c r="K341" s="298"/>
      <c r="L341" s="355"/>
      <c r="M341" s="355"/>
    </row>
    <row r="342" spans="1:13" ht="45" x14ac:dyDescent="0.25">
      <c r="A342" s="346"/>
      <c r="B342" s="338"/>
      <c r="C342" s="13">
        <v>0</v>
      </c>
      <c r="D342" s="80" t="s">
        <v>789</v>
      </c>
      <c r="E342" s="294"/>
      <c r="F342" s="302"/>
      <c r="G342" s="302"/>
      <c r="H342" s="298"/>
      <c r="I342" s="298"/>
      <c r="J342" s="298"/>
      <c r="K342" s="299"/>
      <c r="L342" s="355"/>
      <c r="M342" s="355"/>
    </row>
    <row r="343" spans="1:13" ht="30.75" customHeight="1" x14ac:dyDescent="0.25">
      <c r="A343" s="346"/>
      <c r="B343" s="338"/>
      <c r="C343" s="291" t="s">
        <v>790</v>
      </c>
      <c r="D343" s="291"/>
      <c r="E343" s="294" t="s">
        <v>1022</v>
      </c>
      <c r="F343" s="302"/>
      <c r="G343" s="302"/>
      <c r="H343" s="298"/>
      <c r="I343" s="298"/>
      <c r="J343" s="298"/>
      <c r="K343" s="10">
        <v>0</v>
      </c>
      <c r="L343" s="355"/>
      <c r="M343" s="355"/>
    </row>
    <row r="344" spans="1:13" ht="90" x14ac:dyDescent="0.25">
      <c r="A344" s="346"/>
      <c r="B344" s="338"/>
      <c r="C344" s="13">
        <v>4</v>
      </c>
      <c r="D344" s="80" t="s">
        <v>791</v>
      </c>
      <c r="E344" s="294"/>
      <c r="F344" s="302"/>
      <c r="G344" s="302"/>
      <c r="H344" s="298"/>
      <c r="I344" s="298"/>
      <c r="J344" s="298"/>
      <c r="K344" s="297"/>
      <c r="L344" s="355"/>
      <c r="M344" s="355"/>
    </row>
    <row r="345" spans="1:13" ht="90" x14ac:dyDescent="0.25">
      <c r="A345" s="346"/>
      <c r="B345" s="338"/>
      <c r="C345" s="13">
        <v>3</v>
      </c>
      <c r="D345" s="80" t="s">
        <v>792</v>
      </c>
      <c r="E345" s="294"/>
      <c r="F345" s="302"/>
      <c r="G345" s="302"/>
      <c r="H345" s="298"/>
      <c r="I345" s="298"/>
      <c r="J345" s="298"/>
      <c r="K345" s="298"/>
      <c r="L345" s="355"/>
      <c r="M345" s="355"/>
    </row>
    <row r="346" spans="1:13" ht="45" x14ac:dyDescent="0.25">
      <c r="A346" s="346"/>
      <c r="B346" s="338"/>
      <c r="C346" s="13">
        <v>2</v>
      </c>
      <c r="D346" s="80" t="s">
        <v>793</v>
      </c>
      <c r="E346" s="294"/>
      <c r="F346" s="302"/>
      <c r="G346" s="302"/>
      <c r="H346" s="298"/>
      <c r="I346" s="298"/>
      <c r="J346" s="298"/>
      <c r="K346" s="298"/>
      <c r="L346" s="355"/>
      <c r="M346" s="355"/>
    </row>
    <row r="347" spans="1:13" ht="30" x14ac:dyDescent="0.25">
      <c r="A347" s="346"/>
      <c r="B347" s="338"/>
      <c r="C347" s="13">
        <v>1</v>
      </c>
      <c r="D347" s="80" t="s">
        <v>794</v>
      </c>
      <c r="E347" s="294"/>
      <c r="F347" s="302"/>
      <c r="G347" s="302"/>
      <c r="H347" s="298"/>
      <c r="I347" s="298"/>
      <c r="J347" s="298"/>
      <c r="K347" s="298"/>
      <c r="L347" s="355"/>
      <c r="M347" s="355"/>
    </row>
    <row r="348" spans="1:13" x14ac:dyDescent="0.25">
      <c r="A348" s="346"/>
      <c r="B348" s="338"/>
      <c r="C348" s="13">
        <v>0</v>
      </c>
      <c r="D348" s="80" t="s">
        <v>795</v>
      </c>
      <c r="E348" s="294"/>
      <c r="F348" s="303"/>
      <c r="G348" s="303"/>
      <c r="H348" s="299"/>
      <c r="I348" s="299"/>
      <c r="J348" s="299"/>
      <c r="K348" s="299"/>
      <c r="L348" s="355"/>
      <c r="M348" s="355"/>
    </row>
    <row r="349" spans="1:13" x14ac:dyDescent="0.25">
      <c r="A349" s="347"/>
      <c r="B349" s="339"/>
      <c r="C349" s="304" t="s">
        <v>285</v>
      </c>
      <c r="D349" s="304"/>
      <c r="E349" s="304"/>
      <c r="F349" s="304"/>
      <c r="G349" s="183"/>
      <c r="H349" s="183"/>
      <c r="I349" s="183"/>
      <c r="J349" s="183"/>
      <c r="K349" s="11">
        <f>IF(OR(ISBLANK(K337),K337&lt;0,K337&gt;4,ISBLANK(K343),K343&lt;0,K343&gt;4),0,(K337+K343)/2)</f>
        <v>0</v>
      </c>
      <c r="L349" s="356"/>
      <c r="M349" s="356"/>
    </row>
    <row r="351" spans="1:13" ht="45" hidden="1" customHeight="1" x14ac:dyDescent="0.25">
      <c r="A351" s="340"/>
      <c r="B351" s="374" t="s">
        <v>187</v>
      </c>
      <c r="C351" s="291" t="s">
        <v>188</v>
      </c>
      <c r="D351" s="291"/>
      <c r="E351" s="294" t="s">
        <v>195</v>
      </c>
      <c r="F351" s="322"/>
      <c r="G351" s="187"/>
      <c r="H351" s="187"/>
      <c r="I351" s="187"/>
      <c r="J351" s="187"/>
      <c r="K351" s="10">
        <v>0</v>
      </c>
      <c r="L351" s="373"/>
      <c r="M351" s="326"/>
    </row>
    <row r="352" spans="1:13" ht="60" hidden="1" x14ac:dyDescent="0.25">
      <c r="A352" s="340"/>
      <c r="B352" s="374"/>
      <c r="C352" s="13">
        <v>4</v>
      </c>
      <c r="D352" s="80" t="s">
        <v>190</v>
      </c>
      <c r="E352" s="294"/>
      <c r="F352" s="322"/>
      <c r="G352" s="187"/>
      <c r="H352" s="187"/>
      <c r="I352" s="187"/>
      <c r="J352" s="187"/>
      <c r="K352" s="7"/>
      <c r="L352" s="373"/>
      <c r="M352" s="326"/>
    </row>
    <row r="353" spans="1:13" ht="60" hidden="1" x14ac:dyDescent="0.25">
      <c r="A353" s="340"/>
      <c r="B353" s="374"/>
      <c r="C353" s="13">
        <v>3</v>
      </c>
      <c r="D353" s="80" t="s">
        <v>191</v>
      </c>
      <c r="E353" s="294"/>
      <c r="F353" s="322"/>
      <c r="G353" s="187"/>
      <c r="H353" s="187"/>
      <c r="I353" s="187"/>
      <c r="J353" s="187"/>
      <c r="K353" s="7"/>
      <c r="L353" s="373"/>
      <c r="M353" s="326"/>
    </row>
    <row r="354" spans="1:13" ht="60" hidden="1" x14ac:dyDescent="0.25">
      <c r="A354" s="340"/>
      <c r="B354" s="374"/>
      <c r="C354" s="13">
        <v>2</v>
      </c>
      <c r="D354" s="80" t="s">
        <v>192</v>
      </c>
      <c r="E354" s="294"/>
      <c r="F354" s="322"/>
      <c r="G354" s="187"/>
      <c r="H354" s="187"/>
      <c r="I354" s="187"/>
      <c r="J354" s="187"/>
      <c r="K354" s="7"/>
      <c r="L354" s="373"/>
      <c r="M354" s="326"/>
    </row>
    <row r="355" spans="1:13" ht="45" hidden="1" x14ac:dyDescent="0.25">
      <c r="A355" s="340"/>
      <c r="B355" s="374"/>
      <c r="C355" s="13">
        <v>1</v>
      </c>
      <c r="D355" s="80" t="s">
        <v>193</v>
      </c>
      <c r="E355" s="294"/>
      <c r="F355" s="322"/>
      <c r="G355" s="187"/>
      <c r="H355" s="187"/>
      <c r="I355" s="187"/>
      <c r="J355" s="187"/>
      <c r="K355" s="7"/>
      <c r="L355" s="373"/>
      <c r="M355" s="326"/>
    </row>
    <row r="356" spans="1:13" ht="45" hidden="1" x14ac:dyDescent="0.25">
      <c r="A356" s="340"/>
      <c r="B356" s="374"/>
      <c r="C356" s="13">
        <v>0</v>
      </c>
      <c r="D356" s="80" t="s">
        <v>194</v>
      </c>
      <c r="E356" s="294"/>
      <c r="F356" s="322"/>
      <c r="G356" s="187"/>
      <c r="H356" s="187"/>
      <c r="I356" s="187"/>
      <c r="J356" s="187"/>
      <c r="K356" s="7"/>
      <c r="L356" s="373"/>
      <c r="M356" s="326"/>
    </row>
    <row r="357" spans="1:13" hidden="1" x14ac:dyDescent="0.25">
      <c r="A357" s="340"/>
      <c r="B357" s="374"/>
      <c r="C357" s="304" t="s">
        <v>7</v>
      </c>
      <c r="D357" s="304"/>
      <c r="E357" s="304"/>
      <c r="F357" s="304"/>
      <c r="G357" s="183"/>
      <c r="H357" s="183"/>
      <c r="I357" s="183"/>
      <c r="J357" s="183"/>
      <c r="K357" s="11">
        <f>IF(OR(ISBLANK(K351),K351&lt;0,K351&gt;4),0,K351)</f>
        <v>0</v>
      </c>
      <c r="L357" s="373"/>
      <c r="M357" s="326"/>
    </row>
    <row r="358" spans="1:13" hidden="1" x14ac:dyDescent="0.25"/>
    <row r="359" spans="1:13" ht="45" hidden="1" customHeight="1" x14ac:dyDescent="0.25">
      <c r="A359" s="340"/>
      <c r="B359" s="374" t="s">
        <v>196</v>
      </c>
      <c r="C359" s="291" t="s">
        <v>197</v>
      </c>
      <c r="D359" s="291"/>
      <c r="E359" s="294" t="s">
        <v>189</v>
      </c>
      <c r="F359" s="322"/>
      <c r="G359" s="187"/>
      <c r="H359" s="187"/>
      <c r="I359" s="187"/>
      <c r="J359" s="187"/>
      <c r="K359" s="10">
        <v>0</v>
      </c>
      <c r="L359" s="373"/>
      <c r="M359" s="326"/>
    </row>
    <row r="360" spans="1:13" ht="60" hidden="1" x14ac:dyDescent="0.25">
      <c r="A360" s="340"/>
      <c r="B360" s="374"/>
      <c r="C360" s="13">
        <v>4</v>
      </c>
      <c r="D360" s="80" t="s">
        <v>198</v>
      </c>
      <c r="E360" s="294"/>
      <c r="F360" s="322"/>
      <c r="G360" s="187"/>
      <c r="H360" s="187"/>
      <c r="I360" s="187"/>
      <c r="J360" s="187"/>
      <c r="K360" s="7"/>
      <c r="L360" s="373"/>
      <c r="M360" s="326"/>
    </row>
    <row r="361" spans="1:13" ht="60" hidden="1" x14ac:dyDescent="0.25">
      <c r="A361" s="340"/>
      <c r="B361" s="374"/>
      <c r="C361" s="13">
        <v>3</v>
      </c>
      <c r="D361" s="80" t="s">
        <v>199</v>
      </c>
      <c r="E361" s="294"/>
      <c r="F361" s="322"/>
      <c r="G361" s="187"/>
      <c r="H361" s="187"/>
      <c r="I361" s="187"/>
      <c r="J361" s="187"/>
      <c r="K361" s="7"/>
      <c r="L361" s="373"/>
      <c r="M361" s="326"/>
    </row>
    <row r="362" spans="1:13" ht="45" hidden="1" x14ac:dyDescent="0.25">
      <c r="A362" s="340"/>
      <c r="B362" s="374"/>
      <c r="C362" s="13">
        <v>2</v>
      </c>
      <c r="D362" s="80" t="s">
        <v>200</v>
      </c>
      <c r="E362" s="294"/>
      <c r="F362" s="322"/>
      <c r="G362" s="187"/>
      <c r="H362" s="187"/>
      <c r="I362" s="187"/>
      <c r="J362" s="187"/>
      <c r="K362" s="7"/>
      <c r="L362" s="373"/>
      <c r="M362" s="326"/>
    </row>
    <row r="363" spans="1:13" ht="45" hidden="1" x14ac:dyDescent="0.25">
      <c r="A363" s="340"/>
      <c r="B363" s="374"/>
      <c r="C363" s="13">
        <v>1</v>
      </c>
      <c r="D363" s="80" t="s">
        <v>201</v>
      </c>
      <c r="E363" s="294"/>
      <c r="F363" s="322"/>
      <c r="G363" s="187"/>
      <c r="H363" s="187"/>
      <c r="I363" s="187"/>
      <c r="J363" s="187"/>
      <c r="K363" s="7"/>
      <c r="L363" s="373"/>
      <c r="M363" s="326"/>
    </row>
    <row r="364" spans="1:13" ht="45" hidden="1" x14ac:dyDescent="0.25">
      <c r="A364" s="340"/>
      <c r="B364" s="374"/>
      <c r="C364" s="13">
        <v>0</v>
      </c>
      <c r="D364" s="80" t="s">
        <v>202</v>
      </c>
      <c r="E364" s="294"/>
      <c r="F364" s="322"/>
      <c r="G364" s="187"/>
      <c r="H364" s="187"/>
      <c r="I364" s="187"/>
      <c r="J364" s="187"/>
      <c r="K364" s="7"/>
      <c r="L364" s="373"/>
      <c r="M364" s="326"/>
    </row>
    <row r="365" spans="1:13" hidden="1" x14ac:dyDescent="0.25">
      <c r="A365" s="340"/>
      <c r="B365" s="374"/>
      <c r="C365" s="304" t="s">
        <v>7</v>
      </c>
      <c r="D365" s="304"/>
      <c r="E365" s="304"/>
      <c r="F365" s="304"/>
      <c r="G365" s="183"/>
      <c r="H365" s="183"/>
      <c r="I365" s="183"/>
      <c r="J365" s="183"/>
      <c r="K365" s="11">
        <f>IF(OR(ISBLANK(K359),K359&lt;0,K359&gt;4),0,K359)</f>
        <v>0</v>
      </c>
      <c r="L365" s="373"/>
      <c r="M365" s="326"/>
    </row>
    <row r="366" spans="1:13" hidden="1" x14ac:dyDescent="0.25"/>
    <row r="367" spans="1:13" ht="45" hidden="1" customHeight="1" x14ac:dyDescent="0.25">
      <c r="A367" s="340"/>
      <c r="B367" s="374" t="s">
        <v>203</v>
      </c>
      <c r="C367" s="291" t="s">
        <v>204</v>
      </c>
      <c r="D367" s="291"/>
      <c r="E367" s="294" t="s">
        <v>210</v>
      </c>
      <c r="F367" s="322"/>
      <c r="G367" s="187"/>
      <c r="H367" s="187"/>
      <c r="I367" s="187"/>
      <c r="J367" s="187"/>
      <c r="K367" s="10">
        <v>0</v>
      </c>
      <c r="L367" s="373"/>
      <c r="M367" s="326"/>
    </row>
    <row r="368" spans="1:13" ht="90" hidden="1" x14ac:dyDescent="0.25">
      <c r="A368" s="340"/>
      <c r="B368" s="374"/>
      <c r="C368" s="13">
        <v>4</v>
      </c>
      <c r="D368" s="80" t="s">
        <v>205</v>
      </c>
      <c r="E368" s="294"/>
      <c r="F368" s="322"/>
      <c r="G368" s="187"/>
      <c r="H368" s="187"/>
      <c r="I368" s="187"/>
      <c r="J368" s="187"/>
      <c r="K368" s="7"/>
      <c r="L368" s="373"/>
      <c r="M368" s="326"/>
    </row>
    <row r="369" spans="1:13" ht="75" hidden="1" x14ac:dyDescent="0.25">
      <c r="A369" s="340"/>
      <c r="B369" s="374"/>
      <c r="C369" s="13">
        <v>3</v>
      </c>
      <c r="D369" s="80" t="s">
        <v>206</v>
      </c>
      <c r="E369" s="294"/>
      <c r="F369" s="322"/>
      <c r="G369" s="187"/>
      <c r="H369" s="187"/>
      <c r="I369" s="187"/>
      <c r="J369" s="187"/>
      <c r="K369" s="7"/>
      <c r="L369" s="373"/>
      <c r="M369" s="326"/>
    </row>
    <row r="370" spans="1:13" ht="60" hidden="1" x14ac:dyDescent="0.25">
      <c r="A370" s="340"/>
      <c r="B370" s="374"/>
      <c r="C370" s="13">
        <v>2</v>
      </c>
      <c r="D370" s="80" t="s">
        <v>207</v>
      </c>
      <c r="E370" s="294"/>
      <c r="F370" s="322"/>
      <c r="G370" s="187"/>
      <c r="H370" s="187"/>
      <c r="I370" s="187"/>
      <c r="J370" s="187"/>
      <c r="K370" s="7"/>
      <c r="L370" s="373"/>
      <c r="M370" s="326"/>
    </row>
    <row r="371" spans="1:13" ht="60" hidden="1" x14ac:dyDescent="0.25">
      <c r="A371" s="340"/>
      <c r="B371" s="374"/>
      <c r="C371" s="13">
        <v>1</v>
      </c>
      <c r="D371" s="80" t="s">
        <v>208</v>
      </c>
      <c r="E371" s="294"/>
      <c r="F371" s="322"/>
      <c r="G371" s="187"/>
      <c r="H371" s="187"/>
      <c r="I371" s="187"/>
      <c r="J371" s="187"/>
      <c r="K371" s="7"/>
      <c r="L371" s="373"/>
      <c r="M371" s="326"/>
    </row>
    <row r="372" spans="1:13" ht="60" hidden="1" x14ac:dyDescent="0.25">
      <c r="A372" s="340"/>
      <c r="B372" s="374"/>
      <c r="C372" s="13">
        <v>0</v>
      </c>
      <c r="D372" s="80" t="s">
        <v>209</v>
      </c>
      <c r="E372" s="294"/>
      <c r="F372" s="322"/>
      <c r="G372" s="187"/>
      <c r="H372" s="187"/>
      <c r="I372" s="187"/>
      <c r="J372" s="187"/>
      <c r="K372" s="7"/>
      <c r="L372" s="373"/>
      <c r="M372" s="326"/>
    </row>
    <row r="373" spans="1:13" hidden="1" x14ac:dyDescent="0.25">
      <c r="A373" s="340"/>
      <c r="B373" s="374"/>
      <c r="C373" s="304" t="s">
        <v>7</v>
      </c>
      <c r="D373" s="304"/>
      <c r="E373" s="304"/>
      <c r="F373" s="304"/>
      <c r="G373" s="183"/>
      <c r="H373" s="183"/>
      <c r="I373" s="183"/>
      <c r="J373" s="183"/>
      <c r="K373" s="11">
        <f>IF(OR(ISBLANK(K367),K367&lt;0,K367&gt;4),0,K367)</f>
        <v>0</v>
      </c>
      <c r="L373" s="373"/>
      <c r="M373" s="326"/>
    </row>
    <row r="374" spans="1:13" hidden="1" x14ac:dyDescent="0.25"/>
    <row r="375" spans="1:13" ht="30" customHeight="1" x14ac:dyDescent="0.25">
      <c r="A375" s="340">
        <v>32</v>
      </c>
      <c r="B375" s="387" t="s">
        <v>796</v>
      </c>
      <c r="C375" s="291" t="s">
        <v>797</v>
      </c>
      <c r="D375" s="291"/>
      <c r="E375" s="294" t="s">
        <v>1023</v>
      </c>
      <c r="F375" s="300" t="s">
        <v>993</v>
      </c>
      <c r="G375" s="300" t="s">
        <v>994</v>
      </c>
      <c r="H375" s="203" t="s">
        <v>964</v>
      </c>
      <c r="I375" s="203">
        <v>1</v>
      </c>
      <c r="J375" s="212" t="str">
        <f>IF((IF(OR((H375&amp;"."&amp;I375)=$R$8,(H375&amp;"."&amp;I375)=$S$8,(H375&amp;"."&amp;I375)=$T$8,(H375&amp;"."&amp;I375)=$U$8,(H375&amp;"."&amp;I375)=$V$8,(H375&amp;"."&amp;I375)=$W$8),1,0))=1,"EKSTREM",IF((IF(OR((H375&amp;"."&amp;I375)=$R$9,(H375&amp;"."&amp;I375)=$S$9,(H375&amp;"."&amp;I375)=$T$9,(H375&amp;"."&amp;I375)=$U$9,(H375&amp;"."&amp;I375)=$V$9,(H375&amp;"."&amp;I375)=$W$9,(H375&amp;"."&amp;I375)=$X$9),1,0))=1,"TINGGI",IF((IF(OR((H375&amp;"."&amp;I375)=$R$10,(H375&amp;"."&amp;I375)=$S$10,(H375&amp;"."&amp;I375)=$T$10,(H375&amp;"."&amp;I375)=$U$10,(H375&amp;"."&amp;I375)=$V$10,(H375&amp;"."&amp;I375)=$W$10),1,0))=1,"MODERAT",IF((IF(OR((H375&amp;"."&amp;I375)=$R$11,(H375&amp;"."&amp;I375)=$S$11,(H375&amp;"."&amp;I375)=$T$11,(H375&amp;"."&amp;I375)=$U$11,(H375&amp;"."&amp;I375)=$V$11,(H375&amp;"."&amp;I375)=$W$11),1,0))=1,"RENDAH","-"))))</f>
        <v>RENDAH</v>
      </c>
      <c r="K375" s="7"/>
      <c r="L375" s="326" t="s">
        <v>1078</v>
      </c>
      <c r="M375" s="326" t="s">
        <v>1079</v>
      </c>
    </row>
    <row r="376" spans="1:13" ht="30.75" customHeight="1" x14ac:dyDescent="0.25">
      <c r="A376" s="340"/>
      <c r="B376" s="315"/>
      <c r="C376" s="294" t="s">
        <v>798</v>
      </c>
      <c r="D376" s="294"/>
      <c r="E376" s="294"/>
      <c r="F376" s="300"/>
      <c r="G376" s="300"/>
      <c r="H376" s="297"/>
      <c r="I376" s="297"/>
      <c r="J376" s="297"/>
      <c r="K376" s="96">
        <f>'Isian Prodi'!B81</f>
        <v>0</v>
      </c>
      <c r="L376" s="326"/>
      <c r="M376" s="326"/>
    </row>
    <row r="377" spans="1:13" ht="30.75" customHeight="1" x14ac:dyDescent="0.25">
      <c r="A377" s="340"/>
      <c r="B377" s="315"/>
      <c r="C377" s="294" t="s">
        <v>799</v>
      </c>
      <c r="D377" s="294"/>
      <c r="E377" s="294"/>
      <c r="F377" s="300"/>
      <c r="G377" s="300"/>
      <c r="H377" s="298"/>
      <c r="I377" s="298"/>
      <c r="J377" s="298"/>
      <c r="K377" s="96">
        <f>'Isian Prodi'!B45</f>
        <v>0</v>
      </c>
      <c r="L377" s="326"/>
      <c r="M377" s="326"/>
    </row>
    <row r="378" spans="1:13" ht="30.75" customHeight="1" x14ac:dyDescent="0.25">
      <c r="A378" s="340"/>
      <c r="B378" s="315"/>
      <c r="C378" s="294" t="s">
        <v>800</v>
      </c>
      <c r="D378" s="294"/>
      <c r="E378" s="294"/>
      <c r="F378" s="300"/>
      <c r="G378" s="300"/>
      <c r="H378" s="299"/>
      <c r="I378" s="299"/>
      <c r="J378" s="299"/>
      <c r="K378" s="96">
        <f>IF(K377&gt;0,K376/K377,0)</f>
        <v>0</v>
      </c>
      <c r="L378" s="326"/>
      <c r="M378" s="326"/>
    </row>
    <row r="379" spans="1:13" ht="30" customHeight="1" x14ac:dyDescent="0.25">
      <c r="A379" s="340"/>
      <c r="B379" s="315"/>
      <c r="C379" s="304" t="s">
        <v>7</v>
      </c>
      <c r="D379" s="304"/>
      <c r="E379" s="304"/>
      <c r="F379" s="304"/>
      <c r="G379" s="183"/>
      <c r="H379" s="183"/>
      <c r="I379" s="183"/>
      <c r="J379" s="183"/>
      <c r="K379" s="96">
        <f>IF((K378/5)&lt;=4,K378/5,4)</f>
        <v>0</v>
      </c>
      <c r="L379" s="326"/>
      <c r="M379" s="326"/>
    </row>
    <row r="381" spans="1:13" ht="30" customHeight="1" x14ac:dyDescent="0.25">
      <c r="A381" s="340">
        <v>33</v>
      </c>
      <c r="B381" s="315"/>
      <c r="C381" s="291" t="s">
        <v>801</v>
      </c>
      <c r="D381" s="291"/>
      <c r="E381" s="294" t="s">
        <v>1024</v>
      </c>
      <c r="F381" s="300" t="s">
        <v>993</v>
      </c>
      <c r="G381" s="300" t="s">
        <v>994</v>
      </c>
      <c r="H381" s="203" t="s">
        <v>964</v>
      </c>
      <c r="I381" s="203">
        <v>1</v>
      </c>
      <c r="J381" s="212" t="str">
        <f>IF((IF(OR((H381&amp;"."&amp;I381)=$R$8,(H381&amp;"."&amp;I381)=$S$8,(H381&amp;"."&amp;I381)=$T$8,(H381&amp;"."&amp;I381)=$U$8,(H381&amp;"."&amp;I381)=$V$8,(H381&amp;"."&amp;I381)=$W$8),1,0))=1,"EKSTREM",IF((IF(OR((H381&amp;"."&amp;I381)=$R$9,(H381&amp;"."&amp;I381)=$S$9,(H381&amp;"."&amp;I381)=$T$9,(H381&amp;"."&amp;I381)=$U$9,(H381&amp;"."&amp;I381)=$V$9,(H381&amp;"."&amp;I381)=$W$9,(H381&amp;"."&amp;I381)=$X$9),1,0))=1,"TINGGI",IF((IF(OR((H381&amp;"."&amp;I381)=$R$10,(H381&amp;"."&amp;I381)=$S$10,(H381&amp;"."&amp;I381)=$T$10,(H381&amp;"."&amp;I381)=$U$10,(H381&amp;"."&amp;I381)=$V$10,(H381&amp;"."&amp;I381)=$W$10),1,0))=1,"MODERAT",IF((IF(OR((H381&amp;"."&amp;I381)=$R$11,(H381&amp;"."&amp;I381)=$S$11,(H381&amp;"."&amp;I381)=$T$11,(H381&amp;"."&amp;I381)=$U$11,(H381&amp;"."&amp;I381)=$V$11,(H381&amp;"."&amp;I381)=$W$11),1,0))=1,"RENDAH","-"))))</f>
        <v>RENDAH</v>
      </c>
      <c r="K381" s="7"/>
      <c r="L381" s="326" t="s">
        <v>1078</v>
      </c>
      <c r="M381" s="326" t="s">
        <v>1079</v>
      </c>
    </row>
    <row r="382" spans="1:13" ht="30.75" customHeight="1" x14ac:dyDescent="0.25">
      <c r="A382" s="340"/>
      <c r="B382" s="315"/>
      <c r="C382" s="305" t="s">
        <v>802</v>
      </c>
      <c r="D382" s="306"/>
      <c r="E382" s="294"/>
      <c r="F382" s="300"/>
      <c r="G382" s="300"/>
      <c r="H382" s="297"/>
      <c r="I382" s="297"/>
      <c r="J382" s="297"/>
      <c r="K382" s="96">
        <f>'Isian Prodi'!B82</f>
        <v>0</v>
      </c>
      <c r="L382" s="326"/>
      <c r="M382" s="326"/>
    </row>
    <row r="383" spans="1:13" ht="45.75" customHeight="1" x14ac:dyDescent="0.25">
      <c r="A383" s="340"/>
      <c r="B383" s="315"/>
      <c r="C383" s="379" t="s">
        <v>643</v>
      </c>
      <c r="D383" s="380"/>
      <c r="E383" s="294"/>
      <c r="F383" s="300"/>
      <c r="G383" s="300"/>
      <c r="H383" s="298"/>
      <c r="I383" s="298"/>
      <c r="J383" s="298"/>
      <c r="K383" s="96">
        <f>'Isian Prodi'!C59</f>
        <v>0</v>
      </c>
      <c r="L383" s="326"/>
      <c r="M383" s="326"/>
    </row>
    <row r="384" spans="1:13" ht="30.75" customHeight="1" x14ac:dyDescent="0.25">
      <c r="A384" s="340"/>
      <c r="B384" s="315"/>
      <c r="C384" s="305" t="s">
        <v>803</v>
      </c>
      <c r="D384" s="306"/>
      <c r="E384" s="294"/>
      <c r="F384" s="300"/>
      <c r="G384" s="300"/>
      <c r="H384" s="299"/>
      <c r="I384" s="299"/>
      <c r="J384" s="299"/>
      <c r="K384" s="96">
        <f>IF(K383&gt;0,K382/K383,0)</f>
        <v>0</v>
      </c>
      <c r="L384" s="326"/>
      <c r="M384" s="326"/>
    </row>
    <row r="385" spans="1:13" x14ac:dyDescent="0.25">
      <c r="A385" s="340"/>
      <c r="B385" s="315"/>
      <c r="C385" s="304" t="s">
        <v>7</v>
      </c>
      <c r="D385" s="304"/>
      <c r="E385" s="304"/>
      <c r="F385" s="304"/>
      <c r="G385" s="183"/>
      <c r="H385" s="183"/>
      <c r="I385" s="183"/>
      <c r="J385" s="183"/>
      <c r="K385" s="96">
        <f>IF(((2*K384)/5)&lt;=4,(2*K384)/5,4)</f>
        <v>0</v>
      </c>
      <c r="L385" s="326"/>
      <c r="M385" s="326"/>
    </row>
    <row r="387" spans="1:13" ht="30" customHeight="1" x14ac:dyDescent="0.25">
      <c r="A387" s="340">
        <v>34</v>
      </c>
      <c r="B387" s="315"/>
      <c r="C387" s="291" t="s">
        <v>804</v>
      </c>
      <c r="D387" s="291"/>
      <c r="E387" s="294" t="s">
        <v>1025</v>
      </c>
      <c r="F387" s="300" t="s">
        <v>993</v>
      </c>
      <c r="G387" s="300" t="s">
        <v>994</v>
      </c>
      <c r="H387" s="203" t="s">
        <v>964</v>
      </c>
      <c r="I387" s="203">
        <v>1</v>
      </c>
      <c r="J387" s="212" t="str">
        <f>IF((IF(OR((H387&amp;"."&amp;I387)=$R$8,(H387&amp;"."&amp;I387)=$S$8,(H387&amp;"."&amp;I387)=$T$8,(H387&amp;"."&amp;I387)=$U$8,(H387&amp;"."&amp;I387)=$V$8,(H387&amp;"."&amp;I387)=$W$8),1,0))=1,"EKSTREM",IF((IF(OR((H387&amp;"."&amp;I387)=$R$9,(H387&amp;"."&amp;I387)=$S$9,(H387&amp;"."&amp;I387)=$T$9,(H387&amp;"."&amp;I387)=$U$9,(H387&amp;"."&amp;I387)=$V$9,(H387&amp;"."&amp;I387)=$W$9,(H387&amp;"."&amp;I387)=$X$9),1,0))=1,"TINGGI",IF((IF(OR((H387&amp;"."&amp;I387)=$R$10,(H387&amp;"."&amp;I387)=$S$10,(H387&amp;"."&amp;I387)=$T$10,(H387&amp;"."&amp;I387)=$U$10,(H387&amp;"."&amp;I387)=$V$10,(H387&amp;"."&amp;I387)=$W$10),1,0))=1,"MODERAT",IF((IF(OR((H387&amp;"."&amp;I387)=$R$11,(H387&amp;"."&amp;I387)=$S$11,(H387&amp;"."&amp;I387)=$T$11,(H387&amp;"."&amp;I387)=$U$11,(H387&amp;"."&amp;I387)=$V$11,(H387&amp;"."&amp;I387)=$W$11),1,0))=1,"RENDAH","-"))))</f>
        <v>RENDAH</v>
      </c>
      <c r="K387" s="7"/>
      <c r="L387" s="326" t="s">
        <v>1078</v>
      </c>
      <c r="M387" s="326" t="s">
        <v>1079</v>
      </c>
    </row>
    <row r="388" spans="1:13" ht="30.75" customHeight="1" x14ac:dyDescent="0.25">
      <c r="A388" s="340"/>
      <c r="B388" s="315"/>
      <c r="C388" s="305" t="s">
        <v>805</v>
      </c>
      <c r="D388" s="306"/>
      <c r="E388" s="294"/>
      <c r="F388" s="300"/>
      <c r="G388" s="300"/>
      <c r="H388" s="297"/>
      <c r="I388" s="297"/>
      <c r="J388" s="297"/>
      <c r="K388" s="96">
        <f>'Isian Prodi'!B83</f>
        <v>0</v>
      </c>
      <c r="L388" s="326"/>
      <c r="M388" s="326"/>
    </row>
    <row r="389" spans="1:13" ht="45.75" customHeight="1" x14ac:dyDescent="0.25">
      <c r="A389" s="340"/>
      <c r="B389" s="315"/>
      <c r="C389" s="379" t="s">
        <v>643</v>
      </c>
      <c r="D389" s="380"/>
      <c r="E389" s="294"/>
      <c r="F389" s="300"/>
      <c r="G389" s="300"/>
      <c r="H389" s="298"/>
      <c r="I389" s="298"/>
      <c r="J389" s="298"/>
      <c r="K389" s="96">
        <f>'Isian Prodi'!C59</f>
        <v>0</v>
      </c>
      <c r="L389" s="326"/>
      <c r="M389" s="326"/>
    </row>
    <row r="390" spans="1:13" ht="30.75" customHeight="1" x14ac:dyDescent="0.25">
      <c r="A390" s="340"/>
      <c r="B390" s="315"/>
      <c r="C390" s="305" t="s">
        <v>806</v>
      </c>
      <c r="D390" s="306"/>
      <c r="E390" s="294"/>
      <c r="F390" s="300"/>
      <c r="G390" s="300"/>
      <c r="H390" s="299"/>
      <c r="I390" s="299"/>
      <c r="J390" s="299"/>
      <c r="K390" s="96">
        <f>IF(K389&gt;0,K388/K389,0)</f>
        <v>0</v>
      </c>
      <c r="L390" s="326"/>
      <c r="M390" s="326"/>
    </row>
    <row r="391" spans="1:13" x14ac:dyDescent="0.25">
      <c r="A391" s="340"/>
      <c r="B391" s="315"/>
      <c r="C391" s="304" t="s">
        <v>7</v>
      </c>
      <c r="D391" s="304"/>
      <c r="E391" s="304"/>
      <c r="F391" s="304"/>
      <c r="G391" s="183"/>
      <c r="H391" s="183"/>
      <c r="I391" s="183"/>
      <c r="J391" s="183"/>
      <c r="K391" s="96">
        <f>IF(((4*K390)/5)&lt;=4,(4*K390)/5,4)</f>
        <v>0</v>
      </c>
      <c r="L391" s="326"/>
      <c r="M391" s="326"/>
    </row>
    <row r="393" spans="1:13" ht="60" customHeight="1" x14ac:dyDescent="0.25">
      <c r="A393" s="340">
        <v>35</v>
      </c>
      <c r="B393" s="315"/>
      <c r="C393" s="291" t="s">
        <v>807</v>
      </c>
      <c r="D393" s="291"/>
      <c r="E393" s="294" t="s">
        <v>1026</v>
      </c>
      <c r="F393" s="300" t="s">
        <v>993</v>
      </c>
      <c r="G393" s="300" t="s">
        <v>994</v>
      </c>
      <c r="H393" s="203" t="s">
        <v>964</v>
      </c>
      <c r="I393" s="203">
        <v>1</v>
      </c>
      <c r="J393" s="212" t="str">
        <f>IF((IF(OR((H393&amp;"."&amp;I393)=$R$8,(H393&amp;"."&amp;I393)=$S$8,(H393&amp;"."&amp;I393)=$T$8,(H393&amp;"."&amp;I393)=$U$8,(H393&amp;"."&amp;I393)=$V$8,(H393&amp;"."&amp;I393)=$W$8),1,0))=1,"EKSTREM",IF((IF(OR((H393&amp;"."&amp;I393)=$R$9,(H393&amp;"."&amp;I393)=$S$9,(H393&amp;"."&amp;I393)=$T$9,(H393&amp;"."&amp;I393)=$U$9,(H393&amp;"."&amp;I393)=$V$9,(H393&amp;"."&amp;I393)=$W$9,(H393&amp;"."&amp;I393)=$X$9),1,0))=1,"TINGGI",IF((IF(OR((H393&amp;"."&amp;I393)=$R$10,(H393&amp;"."&amp;I393)=$S$10,(H393&amp;"."&amp;I393)=$T$10,(H393&amp;"."&amp;I393)=$U$10,(H393&amp;"."&amp;I393)=$V$10,(H393&amp;"."&amp;I393)=$W$10),1,0))=1,"MODERAT",IF((IF(OR((H393&amp;"."&amp;I393)=$R$11,(H393&amp;"."&amp;I393)=$S$11,(H393&amp;"."&amp;I393)=$T$11,(H393&amp;"."&amp;I393)=$U$11,(H393&amp;"."&amp;I393)=$V$11,(H393&amp;"."&amp;I393)=$W$11),1,0))=1,"RENDAH","-"))))</f>
        <v>RENDAH</v>
      </c>
      <c r="K393" s="10">
        <v>0</v>
      </c>
      <c r="L393" s="326" t="s">
        <v>1078</v>
      </c>
      <c r="M393" s="326" t="s">
        <v>1079</v>
      </c>
    </row>
    <row r="394" spans="1:13" ht="15" customHeight="1" x14ac:dyDescent="0.25">
      <c r="A394" s="340"/>
      <c r="B394" s="315"/>
      <c r="C394" s="292" t="s">
        <v>650</v>
      </c>
      <c r="D394" s="342"/>
      <c r="E394" s="294"/>
      <c r="F394" s="300"/>
      <c r="G394" s="300"/>
      <c r="H394" s="297"/>
      <c r="I394" s="297"/>
      <c r="J394" s="297"/>
      <c r="K394" s="117">
        <f>AVERAGE(K197,K203,K211,K226,K232,K236,K242,K379,K385,K391)</f>
        <v>1.2</v>
      </c>
      <c r="L394" s="326"/>
      <c r="M394" s="326"/>
    </row>
    <row r="395" spans="1:13" ht="60" x14ac:dyDescent="0.25">
      <c r="A395" s="340"/>
      <c r="B395" s="315"/>
      <c r="C395" s="13">
        <v>4</v>
      </c>
      <c r="D395" s="80" t="s">
        <v>211</v>
      </c>
      <c r="E395" s="294"/>
      <c r="F395" s="300"/>
      <c r="G395" s="300"/>
      <c r="H395" s="298"/>
      <c r="I395" s="298"/>
      <c r="J395" s="298"/>
      <c r="K395" s="297"/>
      <c r="L395" s="326"/>
      <c r="M395" s="326"/>
    </row>
    <row r="396" spans="1:13" ht="60" customHeight="1" x14ac:dyDescent="0.25">
      <c r="A396" s="340"/>
      <c r="B396" s="315"/>
      <c r="C396" s="13">
        <v>3</v>
      </c>
      <c r="D396" s="80" t="s">
        <v>212</v>
      </c>
      <c r="E396" s="294"/>
      <c r="F396" s="300"/>
      <c r="G396" s="300"/>
      <c r="H396" s="298"/>
      <c r="I396" s="298"/>
      <c r="J396" s="298"/>
      <c r="K396" s="298"/>
      <c r="L396" s="326"/>
      <c r="M396" s="326"/>
    </row>
    <row r="397" spans="1:13" ht="45" customHeight="1" x14ac:dyDescent="0.25">
      <c r="A397" s="340"/>
      <c r="B397" s="315"/>
      <c r="C397" s="13">
        <v>2</v>
      </c>
      <c r="D397" s="80" t="s">
        <v>213</v>
      </c>
      <c r="E397" s="294"/>
      <c r="F397" s="300"/>
      <c r="G397" s="300"/>
      <c r="H397" s="298"/>
      <c r="I397" s="298"/>
      <c r="J397" s="298"/>
      <c r="K397" s="298"/>
      <c r="L397" s="326"/>
      <c r="M397" s="326"/>
    </row>
    <row r="398" spans="1:13" ht="30" customHeight="1" x14ac:dyDescent="0.25">
      <c r="A398" s="340"/>
      <c r="B398" s="315"/>
      <c r="C398" s="13">
        <v>1</v>
      </c>
      <c r="D398" s="80" t="s">
        <v>214</v>
      </c>
      <c r="E398" s="294"/>
      <c r="F398" s="300"/>
      <c r="G398" s="300"/>
      <c r="H398" s="298"/>
      <c r="I398" s="298"/>
      <c r="J398" s="298"/>
      <c r="K398" s="298"/>
      <c r="L398" s="326"/>
      <c r="M398" s="326"/>
    </row>
    <row r="399" spans="1:13" ht="30" x14ac:dyDescent="0.25">
      <c r="A399" s="340"/>
      <c r="B399" s="315"/>
      <c r="C399" s="13">
        <v>0</v>
      </c>
      <c r="D399" s="80" t="s">
        <v>215</v>
      </c>
      <c r="E399" s="294"/>
      <c r="F399" s="300"/>
      <c r="G399" s="300"/>
      <c r="H399" s="299"/>
      <c r="I399" s="299"/>
      <c r="J399" s="299"/>
      <c r="K399" s="299"/>
      <c r="L399" s="326"/>
      <c r="M399" s="326"/>
    </row>
    <row r="400" spans="1:13" x14ac:dyDescent="0.25">
      <c r="A400" s="340"/>
      <c r="B400" s="315"/>
      <c r="C400" s="304" t="s">
        <v>7</v>
      </c>
      <c r="D400" s="304"/>
      <c r="E400" s="304"/>
      <c r="F400" s="304"/>
      <c r="G400" s="183"/>
      <c r="H400" s="183"/>
      <c r="I400" s="183"/>
      <c r="J400" s="183"/>
      <c r="K400" s="11">
        <f>IF(OR(ISBLANK(K393),K393&lt;0,K393&gt;4),0,IF(K394&gt;=3.5,4,K393))</f>
        <v>0</v>
      </c>
      <c r="L400" s="326"/>
      <c r="M400" s="326"/>
    </row>
    <row r="402" spans="1:13" ht="15" customHeight="1" x14ac:dyDescent="0.25">
      <c r="A402" s="340">
        <v>36</v>
      </c>
      <c r="B402" s="315"/>
      <c r="C402" s="291" t="s">
        <v>66</v>
      </c>
      <c r="D402" s="291"/>
      <c r="E402" s="294" t="s">
        <v>1027</v>
      </c>
      <c r="F402" s="300" t="s">
        <v>993</v>
      </c>
      <c r="G402" s="300" t="s">
        <v>994</v>
      </c>
      <c r="H402" s="203" t="s">
        <v>964</v>
      </c>
      <c r="I402" s="203">
        <v>1</v>
      </c>
      <c r="J402" s="212" t="str">
        <f>IF((IF(OR((H402&amp;"."&amp;I402)=$R$8,(H402&amp;"."&amp;I402)=$S$8,(H402&amp;"."&amp;I402)=$T$8,(H402&amp;"."&amp;I402)=$U$8,(H402&amp;"."&amp;I402)=$V$8,(H402&amp;"."&amp;I402)=$W$8),1,0))=1,"EKSTREM",IF((IF(OR((H402&amp;"."&amp;I402)=$R$9,(H402&amp;"."&amp;I402)=$S$9,(H402&amp;"."&amp;I402)=$T$9,(H402&amp;"."&amp;I402)=$U$9,(H402&amp;"."&amp;I402)=$V$9,(H402&amp;"."&amp;I402)=$W$9,(H402&amp;"."&amp;I402)=$X$9),1,0))=1,"TINGGI",IF((IF(OR((H402&amp;"."&amp;I402)=$R$10,(H402&amp;"."&amp;I402)=$S$10,(H402&amp;"."&amp;I402)=$T$10,(H402&amp;"."&amp;I402)=$U$10,(H402&amp;"."&amp;I402)=$V$10,(H402&amp;"."&amp;I402)=$W$10),1,0))=1,"MODERAT",IF((IF(OR((H402&amp;"."&amp;I402)=$R$11,(H402&amp;"."&amp;I402)=$S$11,(H402&amp;"."&amp;I402)=$T$11,(H402&amp;"."&amp;I402)=$U$11,(H402&amp;"."&amp;I402)=$V$11,(H402&amp;"."&amp;I402)=$W$11),1,0))=1,"RENDAH","-"))))</f>
        <v>RENDAH</v>
      </c>
      <c r="K402" s="10">
        <v>0</v>
      </c>
      <c r="L402" s="326" t="s">
        <v>1078</v>
      </c>
      <c r="M402" s="326" t="s">
        <v>1079</v>
      </c>
    </row>
    <row r="403" spans="1:13" ht="60" x14ac:dyDescent="0.25">
      <c r="A403" s="340"/>
      <c r="B403" s="315"/>
      <c r="C403" s="13">
        <v>4</v>
      </c>
      <c r="D403" s="80" t="s">
        <v>216</v>
      </c>
      <c r="E403" s="294"/>
      <c r="F403" s="300"/>
      <c r="G403" s="300"/>
      <c r="H403" s="297"/>
      <c r="I403" s="297"/>
      <c r="J403" s="297"/>
      <c r="K403" s="297"/>
      <c r="L403" s="326"/>
      <c r="M403" s="326"/>
    </row>
    <row r="404" spans="1:13" ht="30" x14ac:dyDescent="0.25">
      <c r="A404" s="340"/>
      <c r="B404" s="315"/>
      <c r="C404" s="13">
        <v>3</v>
      </c>
      <c r="D404" s="80" t="s">
        <v>217</v>
      </c>
      <c r="E404" s="294"/>
      <c r="F404" s="300"/>
      <c r="G404" s="300"/>
      <c r="H404" s="298"/>
      <c r="I404" s="298"/>
      <c r="J404" s="298"/>
      <c r="K404" s="298"/>
      <c r="L404" s="326"/>
      <c r="M404" s="326"/>
    </row>
    <row r="405" spans="1:13" ht="30" x14ac:dyDescent="0.25">
      <c r="A405" s="340"/>
      <c r="B405" s="315"/>
      <c r="C405" s="13">
        <v>2</v>
      </c>
      <c r="D405" s="80" t="s">
        <v>218</v>
      </c>
      <c r="E405" s="294"/>
      <c r="F405" s="300"/>
      <c r="G405" s="300"/>
      <c r="H405" s="298"/>
      <c r="I405" s="298"/>
      <c r="J405" s="298"/>
      <c r="K405" s="298"/>
      <c r="L405" s="326"/>
      <c r="M405" s="326"/>
    </row>
    <row r="406" spans="1:13" ht="30" x14ac:dyDescent="0.25">
      <c r="A406" s="340"/>
      <c r="B406" s="315"/>
      <c r="C406" s="13">
        <v>1</v>
      </c>
      <c r="D406" s="80" t="s">
        <v>219</v>
      </c>
      <c r="E406" s="294"/>
      <c r="F406" s="300"/>
      <c r="G406" s="300"/>
      <c r="H406" s="298"/>
      <c r="I406" s="298"/>
      <c r="J406" s="298"/>
      <c r="K406" s="298"/>
      <c r="L406" s="326"/>
      <c r="M406" s="326"/>
    </row>
    <row r="407" spans="1:13" x14ac:dyDescent="0.25">
      <c r="A407" s="340"/>
      <c r="B407" s="315"/>
      <c r="C407" s="13">
        <v>0</v>
      </c>
      <c r="D407" s="80" t="s">
        <v>220</v>
      </c>
      <c r="E407" s="294"/>
      <c r="F407" s="300"/>
      <c r="G407" s="300"/>
      <c r="H407" s="299"/>
      <c r="I407" s="299"/>
      <c r="J407" s="299"/>
      <c r="K407" s="299"/>
      <c r="L407" s="326"/>
      <c r="M407" s="326"/>
    </row>
    <row r="408" spans="1:13" x14ac:dyDescent="0.25">
      <c r="A408" s="340"/>
      <c r="B408" s="315"/>
      <c r="C408" s="304" t="s">
        <v>7</v>
      </c>
      <c r="D408" s="304"/>
      <c r="E408" s="304"/>
      <c r="F408" s="304"/>
      <c r="G408" s="183"/>
      <c r="H408" s="183"/>
      <c r="I408" s="183"/>
      <c r="J408" s="183"/>
      <c r="K408" s="11">
        <f>IF(OR(ISBLANK(K402),K402&lt;0,K402&gt;4),0,K402)</f>
        <v>0</v>
      </c>
      <c r="L408" s="326"/>
      <c r="M408" s="326"/>
    </row>
    <row r="410" spans="1:13" ht="45" customHeight="1" x14ac:dyDescent="0.25">
      <c r="A410" s="340">
        <v>37</v>
      </c>
      <c r="B410" s="369" t="s">
        <v>808</v>
      </c>
      <c r="C410" s="291" t="s">
        <v>809</v>
      </c>
      <c r="D410" s="291"/>
      <c r="E410" s="294" t="s">
        <v>221</v>
      </c>
      <c r="F410" s="300" t="s">
        <v>993</v>
      </c>
      <c r="G410" s="300" t="s">
        <v>994</v>
      </c>
      <c r="H410" s="203" t="s">
        <v>964</v>
      </c>
      <c r="I410" s="203">
        <v>1</v>
      </c>
      <c r="J410" s="212" t="str">
        <f>IF((IF(OR((H410&amp;"."&amp;I410)=$R$8,(H410&amp;"."&amp;I410)=$S$8,(H410&amp;"."&amp;I410)=$T$8,(H410&amp;"."&amp;I410)=$U$8,(H410&amp;"."&amp;I410)=$V$8,(H410&amp;"."&amp;I410)=$W$8),1,0))=1,"EKSTREM",IF((IF(OR((H410&amp;"."&amp;I410)=$R$9,(H410&amp;"."&amp;I410)=$S$9,(H410&amp;"."&amp;I410)=$T$9,(H410&amp;"."&amp;I410)=$U$9,(H410&amp;"."&amp;I410)=$V$9,(H410&amp;"."&amp;I410)=$W$9,(H410&amp;"."&amp;I410)=$X$9),1,0))=1,"TINGGI",IF((IF(OR((H410&amp;"."&amp;I410)=$R$10,(H410&amp;"."&amp;I410)=$S$10,(H410&amp;"."&amp;I410)=$T$10,(H410&amp;"."&amp;I410)=$U$10,(H410&amp;"."&amp;I410)=$V$10,(H410&amp;"."&amp;I410)=$W$10),1,0))=1,"MODERAT",IF((IF(OR((H410&amp;"."&amp;I410)=$R$11,(H410&amp;"."&amp;I410)=$S$11,(H410&amp;"."&amp;I410)=$T$11,(H410&amp;"."&amp;I410)=$U$11,(H410&amp;"."&amp;I410)=$V$11,(H410&amp;"."&amp;I410)=$W$11),1,0))=1,"RENDAH","-"))))</f>
        <v>RENDAH</v>
      </c>
      <c r="K410" s="10">
        <v>0</v>
      </c>
      <c r="L410" s="326" t="s">
        <v>1078</v>
      </c>
      <c r="M410" s="326" t="s">
        <v>1079</v>
      </c>
    </row>
    <row r="411" spans="1:13" ht="45" x14ac:dyDescent="0.25">
      <c r="A411" s="340"/>
      <c r="B411" s="369"/>
      <c r="C411" s="13">
        <v>4</v>
      </c>
      <c r="D411" s="199" t="s">
        <v>810</v>
      </c>
      <c r="E411" s="294"/>
      <c r="F411" s="300"/>
      <c r="G411" s="300"/>
      <c r="H411" s="297"/>
      <c r="I411" s="297"/>
      <c r="J411" s="297"/>
      <c r="K411" s="297"/>
      <c r="L411" s="326"/>
      <c r="M411" s="326"/>
    </row>
    <row r="412" spans="1:13" ht="45" x14ac:dyDescent="0.25">
      <c r="A412" s="340"/>
      <c r="B412" s="369"/>
      <c r="C412" s="13">
        <v>3</v>
      </c>
      <c r="D412" s="199" t="s">
        <v>811</v>
      </c>
      <c r="E412" s="294"/>
      <c r="F412" s="300"/>
      <c r="G412" s="300"/>
      <c r="H412" s="298"/>
      <c r="I412" s="298"/>
      <c r="J412" s="298"/>
      <c r="K412" s="298"/>
      <c r="L412" s="326"/>
      <c r="M412" s="326"/>
    </row>
    <row r="413" spans="1:13" ht="30" customHeight="1" x14ac:dyDescent="0.25">
      <c r="A413" s="340"/>
      <c r="B413" s="369"/>
      <c r="C413" s="13">
        <v>2</v>
      </c>
      <c r="D413" s="199" t="s">
        <v>812</v>
      </c>
      <c r="E413" s="294"/>
      <c r="F413" s="300"/>
      <c r="G413" s="300"/>
      <c r="H413" s="298"/>
      <c r="I413" s="298"/>
      <c r="J413" s="298"/>
      <c r="K413" s="298"/>
      <c r="L413" s="326"/>
      <c r="M413" s="326"/>
    </row>
    <row r="414" spans="1:13" ht="30" customHeight="1" x14ac:dyDescent="0.25">
      <c r="A414" s="340"/>
      <c r="B414" s="369"/>
      <c r="C414" s="13">
        <v>1</v>
      </c>
      <c r="D414" s="199" t="s">
        <v>813</v>
      </c>
      <c r="E414" s="294"/>
      <c r="F414" s="300"/>
      <c r="G414" s="300"/>
      <c r="H414" s="298"/>
      <c r="I414" s="298"/>
      <c r="J414" s="298"/>
      <c r="K414" s="298"/>
      <c r="L414" s="326"/>
      <c r="M414" s="326"/>
    </row>
    <row r="415" spans="1:13" x14ac:dyDescent="0.25">
      <c r="A415" s="340"/>
      <c r="B415" s="369"/>
      <c r="C415" s="13">
        <v>0</v>
      </c>
      <c r="D415" s="199" t="s">
        <v>814</v>
      </c>
      <c r="E415" s="294"/>
      <c r="F415" s="300"/>
      <c r="G415" s="300"/>
      <c r="H415" s="299"/>
      <c r="I415" s="299"/>
      <c r="J415" s="299"/>
      <c r="K415" s="299"/>
      <c r="L415" s="326"/>
      <c r="M415" s="326"/>
    </row>
    <row r="416" spans="1:13" x14ac:dyDescent="0.25">
      <c r="A416" s="340"/>
      <c r="B416" s="369"/>
      <c r="C416" s="304" t="s">
        <v>7</v>
      </c>
      <c r="D416" s="304"/>
      <c r="E416" s="304"/>
      <c r="F416" s="304"/>
      <c r="G416" s="183"/>
      <c r="H416" s="183"/>
      <c r="I416" s="183"/>
      <c r="J416" s="183"/>
      <c r="K416" s="11">
        <f>IF(OR(ISBLANK(K410),K410&lt;0,K410&gt;4),0,K410)</f>
        <v>0</v>
      </c>
      <c r="L416" s="326"/>
      <c r="M416" s="326"/>
    </row>
    <row r="417" spans="1:13" ht="15.75" thickBot="1" x14ac:dyDescent="0.3"/>
    <row r="418" spans="1:13" ht="75" hidden="1" customHeight="1" x14ac:dyDescent="0.3">
      <c r="A418" s="340"/>
      <c r="B418" s="374" t="s">
        <v>222</v>
      </c>
      <c r="C418" s="291" t="s">
        <v>223</v>
      </c>
      <c r="D418" s="291"/>
      <c r="E418" s="294" t="s">
        <v>229</v>
      </c>
      <c r="F418" s="322"/>
      <c r="G418" s="187"/>
      <c r="H418" s="187"/>
      <c r="I418" s="187"/>
      <c r="J418" s="187"/>
      <c r="K418" s="10">
        <v>0</v>
      </c>
      <c r="L418" s="373"/>
      <c r="M418" s="326"/>
    </row>
    <row r="419" spans="1:13" ht="45" hidden="1" customHeight="1" x14ac:dyDescent="0.3">
      <c r="A419" s="340"/>
      <c r="B419" s="374"/>
      <c r="C419" s="13">
        <v>4</v>
      </c>
      <c r="D419" s="80" t="s">
        <v>224</v>
      </c>
      <c r="E419" s="294"/>
      <c r="F419" s="322"/>
      <c r="G419" s="187"/>
      <c r="H419" s="187"/>
      <c r="I419" s="187"/>
      <c r="J419" s="187"/>
      <c r="K419" s="7"/>
      <c r="L419" s="373"/>
      <c r="M419" s="326"/>
    </row>
    <row r="420" spans="1:13" ht="45.75" hidden="1" thickBot="1" x14ac:dyDescent="0.3">
      <c r="A420" s="340"/>
      <c r="B420" s="374"/>
      <c r="C420" s="13">
        <v>3</v>
      </c>
      <c r="D420" s="80" t="s">
        <v>225</v>
      </c>
      <c r="E420" s="294"/>
      <c r="F420" s="322"/>
      <c r="G420" s="187"/>
      <c r="H420" s="187"/>
      <c r="I420" s="187"/>
      <c r="J420" s="187"/>
      <c r="K420" s="7"/>
      <c r="L420" s="373"/>
      <c r="M420" s="326"/>
    </row>
    <row r="421" spans="1:13" ht="30.75" hidden="1" thickBot="1" x14ac:dyDescent="0.3">
      <c r="A421" s="340"/>
      <c r="B421" s="374"/>
      <c r="C421" s="13">
        <v>2</v>
      </c>
      <c r="D421" s="80" t="s">
        <v>226</v>
      </c>
      <c r="E421" s="294"/>
      <c r="F421" s="322"/>
      <c r="G421" s="187"/>
      <c r="H421" s="187"/>
      <c r="I421" s="187"/>
      <c r="J421" s="187"/>
      <c r="K421" s="7"/>
      <c r="L421" s="373"/>
      <c r="M421" s="326"/>
    </row>
    <row r="422" spans="1:13" ht="30.75" hidden="1" thickBot="1" x14ac:dyDescent="0.3">
      <c r="A422" s="340"/>
      <c r="B422" s="374"/>
      <c r="C422" s="13">
        <v>1</v>
      </c>
      <c r="D422" s="80" t="s">
        <v>227</v>
      </c>
      <c r="E422" s="294"/>
      <c r="F422" s="322"/>
      <c r="G422" s="187"/>
      <c r="H422" s="187"/>
      <c r="I422" s="187"/>
      <c r="J422" s="187"/>
      <c r="K422" s="7"/>
      <c r="L422" s="373"/>
      <c r="M422" s="326"/>
    </row>
    <row r="423" spans="1:13" ht="30.75" hidden="1" thickBot="1" x14ac:dyDescent="0.3">
      <c r="A423" s="340"/>
      <c r="B423" s="374"/>
      <c r="C423" s="13">
        <v>0</v>
      </c>
      <c r="D423" s="80" t="s">
        <v>228</v>
      </c>
      <c r="E423" s="294"/>
      <c r="F423" s="322"/>
      <c r="G423" s="187"/>
      <c r="H423" s="187"/>
      <c r="I423" s="187"/>
      <c r="J423" s="187"/>
      <c r="K423" s="7"/>
      <c r="L423" s="373"/>
      <c r="M423" s="326"/>
    </row>
    <row r="424" spans="1:13" ht="15.75" hidden="1" thickBot="1" x14ac:dyDescent="0.3">
      <c r="A424" s="340"/>
      <c r="B424" s="374"/>
      <c r="C424" s="304" t="s">
        <v>7</v>
      </c>
      <c r="D424" s="304"/>
      <c r="E424" s="304"/>
      <c r="F424" s="304"/>
      <c r="G424" s="183"/>
      <c r="H424" s="183"/>
      <c r="I424" s="183"/>
      <c r="J424" s="183"/>
      <c r="K424" s="11">
        <f>IF(OR(ISBLANK(K418),K418&lt;0,K418&gt;4),0,K418)</f>
        <v>0</v>
      </c>
      <c r="L424" s="373"/>
      <c r="M424" s="326"/>
    </row>
    <row r="425" spans="1:13" ht="15.75" hidden="1" thickBot="1" x14ac:dyDescent="0.3"/>
    <row r="426" spans="1:13" ht="45" hidden="1" customHeight="1" x14ac:dyDescent="0.3">
      <c r="A426" s="340"/>
      <c r="B426" s="374" t="s">
        <v>230</v>
      </c>
      <c r="C426" s="291" t="s">
        <v>231</v>
      </c>
      <c r="D426" s="291"/>
      <c r="E426" s="294" t="s">
        <v>232</v>
      </c>
      <c r="F426" s="322"/>
      <c r="G426" s="187"/>
      <c r="H426" s="187"/>
      <c r="I426" s="187"/>
      <c r="J426" s="187"/>
      <c r="K426" s="10">
        <v>0</v>
      </c>
      <c r="L426" s="373"/>
      <c r="M426" s="326"/>
    </row>
    <row r="427" spans="1:13" ht="45.75" hidden="1" thickBot="1" x14ac:dyDescent="0.3">
      <c r="A427" s="340"/>
      <c r="B427" s="374"/>
      <c r="C427" s="13">
        <v>4</v>
      </c>
      <c r="D427" s="14" t="s">
        <v>233</v>
      </c>
      <c r="E427" s="294"/>
      <c r="F427" s="322"/>
      <c r="G427" s="187"/>
      <c r="H427" s="187"/>
      <c r="I427" s="187"/>
      <c r="J427" s="187"/>
      <c r="K427" s="7"/>
      <c r="L427" s="373"/>
      <c r="M427" s="326"/>
    </row>
    <row r="428" spans="1:13" ht="45.75" hidden="1" thickBot="1" x14ac:dyDescent="0.3">
      <c r="A428" s="340"/>
      <c r="B428" s="374"/>
      <c r="C428" s="13">
        <v>3</v>
      </c>
      <c r="D428" s="14" t="s">
        <v>234</v>
      </c>
      <c r="E428" s="294"/>
      <c r="F428" s="322"/>
      <c r="G428" s="187"/>
      <c r="H428" s="187"/>
      <c r="I428" s="187"/>
      <c r="J428" s="187"/>
      <c r="K428" s="7"/>
      <c r="L428" s="373"/>
      <c r="M428" s="326"/>
    </row>
    <row r="429" spans="1:13" ht="45.75" hidden="1" thickBot="1" x14ac:dyDescent="0.3">
      <c r="A429" s="340"/>
      <c r="B429" s="374"/>
      <c r="C429" s="13">
        <v>2</v>
      </c>
      <c r="D429" s="14" t="s">
        <v>235</v>
      </c>
      <c r="E429" s="294"/>
      <c r="F429" s="322"/>
      <c r="G429" s="187"/>
      <c r="H429" s="187"/>
      <c r="I429" s="187"/>
      <c r="J429" s="187"/>
      <c r="K429" s="7"/>
      <c r="L429" s="373"/>
      <c r="M429" s="326"/>
    </row>
    <row r="430" spans="1:13" ht="15.75" hidden="1" thickBot="1" x14ac:dyDescent="0.3">
      <c r="A430" s="340"/>
      <c r="B430" s="374"/>
      <c r="C430" s="13">
        <v>1</v>
      </c>
      <c r="D430" s="375" t="s">
        <v>236</v>
      </c>
      <c r="E430" s="294"/>
      <c r="F430" s="322"/>
      <c r="G430" s="187"/>
      <c r="H430" s="187"/>
      <c r="I430" s="187"/>
      <c r="J430" s="187"/>
      <c r="K430" s="7"/>
      <c r="L430" s="373"/>
      <c r="M430" s="326"/>
    </row>
    <row r="431" spans="1:13" ht="15.75" hidden="1" thickBot="1" x14ac:dyDescent="0.3">
      <c r="A431" s="340"/>
      <c r="B431" s="374"/>
      <c r="C431" s="13">
        <v>0</v>
      </c>
      <c r="D431" s="375"/>
      <c r="E431" s="294"/>
      <c r="F431" s="322"/>
      <c r="G431" s="187"/>
      <c r="H431" s="187"/>
      <c r="I431" s="187"/>
      <c r="J431" s="187"/>
      <c r="K431" s="7"/>
      <c r="L431" s="373"/>
      <c r="M431" s="326"/>
    </row>
    <row r="432" spans="1:13" ht="15.75" hidden="1" thickBot="1" x14ac:dyDescent="0.3">
      <c r="A432" s="340"/>
      <c r="B432" s="374"/>
      <c r="C432" s="304" t="s">
        <v>7</v>
      </c>
      <c r="D432" s="304"/>
      <c r="E432" s="304"/>
      <c r="F432" s="304"/>
      <c r="G432" s="183"/>
      <c r="H432" s="183"/>
      <c r="I432" s="183"/>
      <c r="J432" s="183"/>
      <c r="K432" s="11">
        <f>IF(OR(ISBLANK(K426),K426&lt;0,K426&gt;4),0,K426)</f>
        <v>0</v>
      </c>
      <c r="L432" s="373"/>
      <c r="M432" s="326"/>
    </row>
    <row r="433" spans="1:13" ht="15.75" hidden="1" thickBot="1" x14ac:dyDescent="0.3"/>
    <row r="434" spans="1:13" ht="60" hidden="1" customHeight="1" x14ac:dyDescent="0.3">
      <c r="A434" s="340"/>
      <c r="B434" s="374" t="s">
        <v>237</v>
      </c>
      <c r="C434" s="291" t="s">
        <v>238</v>
      </c>
      <c r="D434" s="291"/>
      <c r="E434" s="294" t="s">
        <v>242</v>
      </c>
      <c r="F434" s="322"/>
      <c r="G434" s="187"/>
      <c r="H434" s="187"/>
      <c r="I434" s="187"/>
      <c r="J434" s="187"/>
      <c r="K434" s="10">
        <v>0</v>
      </c>
      <c r="L434" s="373"/>
      <c r="M434" s="326"/>
    </row>
    <row r="435" spans="1:13" ht="60.75" hidden="1" thickBot="1" x14ac:dyDescent="0.3">
      <c r="A435" s="340"/>
      <c r="B435" s="374"/>
      <c r="C435" s="13">
        <v>4</v>
      </c>
      <c r="D435" s="80" t="s">
        <v>239</v>
      </c>
      <c r="E435" s="294"/>
      <c r="F435" s="322"/>
      <c r="G435" s="187"/>
      <c r="H435" s="187"/>
      <c r="I435" s="187"/>
      <c r="J435" s="187"/>
      <c r="K435" s="7"/>
      <c r="L435" s="373"/>
      <c r="M435" s="326"/>
    </row>
    <row r="436" spans="1:13" ht="45.75" hidden="1" thickBot="1" x14ac:dyDescent="0.3">
      <c r="A436" s="340"/>
      <c r="B436" s="374"/>
      <c r="C436" s="13">
        <v>3</v>
      </c>
      <c r="D436" s="80" t="s">
        <v>240</v>
      </c>
      <c r="E436" s="294"/>
      <c r="F436" s="322"/>
      <c r="G436" s="187"/>
      <c r="H436" s="187"/>
      <c r="I436" s="187"/>
      <c r="J436" s="187"/>
      <c r="K436" s="7"/>
      <c r="L436" s="373"/>
      <c r="M436" s="326"/>
    </row>
    <row r="437" spans="1:13" ht="45.75" hidden="1" thickBot="1" x14ac:dyDescent="0.3">
      <c r="A437" s="340"/>
      <c r="B437" s="374"/>
      <c r="C437" s="13">
        <v>2</v>
      </c>
      <c r="D437" s="80" t="s">
        <v>241</v>
      </c>
      <c r="E437" s="294"/>
      <c r="F437" s="322"/>
      <c r="G437" s="187"/>
      <c r="H437" s="187"/>
      <c r="I437" s="187"/>
      <c r="J437" s="187"/>
      <c r="K437" s="7"/>
      <c r="L437" s="373"/>
      <c r="M437" s="326"/>
    </row>
    <row r="438" spans="1:13" ht="15.75" hidden="1" thickBot="1" x14ac:dyDescent="0.3">
      <c r="A438" s="340"/>
      <c r="B438" s="374"/>
      <c r="C438" s="13">
        <v>1</v>
      </c>
      <c r="D438" s="375" t="s">
        <v>236</v>
      </c>
      <c r="E438" s="294"/>
      <c r="F438" s="322"/>
      <c r="G438" s="187"/>
      <c r="H438" s="187"/>
      <c r="I438" s="187"/>
      <c r="J438" s="187"/>
      <c r="K438" s="7"/>
      <c r="L438" s="373"/>
      <c r="M438" s="326"/>
    </row>
    <row r="439" spans="1:13" ht="15.75" hidden="1" thickBot="1" x14ac:dyDescent="0.3">
      <c r="A439" s="340"/>
      <c r="B439" s="374"/>
      <c r="C439" s="13">
        <v>0</v>
      </c>
      <c r="D439" s="375"/>
      <c r="E439" s="294"/>
      <c r="F439" s="322"/>
      <c r="G439" s="187"/>
      <c r="H439" s="187"/>
      <c r="I439" s="187"/>
      <c r="J439" s="187"/>
      <c r="K439" s="7"/>
      <c r="L439" s="373"/>
      <c r="M439" s="326"/>
    </row>
    <row r="440" spans="1:13" ht="15.75" hidden="1" thickBot="1" x14ac:dyDescent="0.3">
      <c r="A440" s="340"/>
      <c r="B440" s="374"/>
      <c r="C440" s="304" t="s">
        <v>7</v>
      </c>
      <c r="D440" s="304"/>
      <c r="E440" s="304"/>
      <c r="F440" s="304"/>
      <c r="G440" s="183"/>
      <c r="H440" s="183"/>
      <c r="I440" s="183"/>
      <c r="J440" s="183"/>
      <c r="K440" s="11">
        <f>IF(OR(ISBLANK(K434),K434&lt;0,K434&gt;4),0,K434)</f>
        <v>0</v>
      </c>
      <c r="L440" s="373"/>
      <c r="M440" s="326"/>
    </row>
    <row r="441" spans="1:13" ht="15.75" hidden="1" thickBot="1" x14ac:dyDescent="0.3"/>
    <row r="442" spans="1:13" ht="60" hidden="1" customHeight="1" x14ac:dyDescent="0.3">
      <c r="A442" s="340"/>
      <c r="B442" s="374" t="s">
        <v>243</v>
      </c>
      <c r="C442" s="291" t="s">
        <v>244</v>
      </c>
      <c r="D442" s="291"/>
      <c r="E442" s="294" t="s">
        <v>245</v>
      </c>
      <c r="F442" s="322"/>
      <c r="G442" s="187"/>
      <c r="H442" s="187"/>
      <c r="I442" s="187"/>
      <c r="J442" s="187"/>
      <c r="K442" s="10">
        <v>0</v>
      </c>
      <c r="L442" s="373"/>
      <c r="M442" s="326"/>
    </row>
    <row r="443" spans="1:13" ht="60.75" hidden="1" thickBot="1" x14ac:dyDescent="0.3">
      <c r="A443" s="340"/>
      <c r="B443" s="374"/>
      <c r="C443" s="13">
        <v>4</v>
      </c>
      <c r="D443" s="80" t="s">
        <v>246</v>
      </c>
      <c r="E443" s="294"/>
      <c r="F443" s="322"/>
      <c r="G443" s="187"/>
      <c r="H443" s="187"/>
      <c r="I443" s="187"/>
      <c r="J443" s="187"/>
      <c r="K443" s="7"/>
      <c r="L443" s="373"/>
      <c r="M443" s="326"/>
    </row>
    <row r="444" spans="1:13" ht="60.75" hidden="1" thickBot="1" x14ac:dyDescent="0.3">
      <c r="A444" s="340"/>
      <c r="B444" s="374"/>
      <c r="C444" s="13">
        <v>3</v>
      </c>
      <c r="D444" s="80" t="s">
        <v>247</v>
      </c>
      <c r="E444" s="294"/>
      <c r="F444" s="322"/>
      <c r="G444" s="187"/>
      <c r="H444" s="187"/>
      <c r="I444" s="187"/>
      <c r="J444" s="187"/>
      <c r="K444" s="7"/>
      <c r="L444" s="373"/>
      <c r="M444" s="326"/>
    </row>
    <row r="445" spans="1:13" ht="45.75" hidden="1" thickBot="1" x14ac:dyDescent="0.3">
      <c r="A445" s="340"/>
      <c r="B445" s="374"/>
      <c r="C445" s="13">
        <v>2</v>
      </c>
      <c r="D445" s="80" t="s">
        <v>248</v>
      </c>
      <c r="E445" s="294"/>
      <c r="F445" s="322"/>
      <c r="G445" s="187"/>
      <c r="H445" s="187"/>
      <c r="I445" s="187"/>
      <c r="J445" s="187"/>
      <c r="K445" s="7"/>
      <c r="L445" s="373"/>
      <c r="M445" s="326"/>
    </row>
    <row r="446" spans="1:13" ht="45.75" hidden="1" thickBot="1" x14ac:dyDescent="0.3">
      <c r="A446" s="340"/>
      <c r="B446" s="374"/>
      <c r="C446" s="13">
        <v>1</v>
      </c>
      <c r="D446" s="80" t="s">
        <v>249</v>
      </c>
      <c r="E446" s="294"/>
      <c r="F446" s="322"/>
      <c r="G446" s="187"/>
      <c r="H446" s="187"/>
      <c r="I446" s="187"/>
      <c r="J446" s="187"/>
      <c r="K446" s="7"/>
      <c r="L446" s="373"/>
      <c r="M446" s="326"/>
    </row>
    <row r="447" spans="1:13" ht="30.75" hidden="1" thickBot="1" x14ac:dyDescent="0.3">
      <c r="A447" s="340"/>
      <c r="B447" s="374"/>
      <c r="C447" s="13">
        <v>0</v>
      </c>
      <c r="D447" s="80" t="s">
        <v>250</v>
      </c>
      <c r="E447" s="294"/>
      <c r="F447" s="322"/>
      <c r="G447" s="187"/>
      <c r="H447" s="187"/>
      <c r="I447" s="187"/>
      <c r="J447" s="187"/>
      <c r="K447" s="7"/>
      <c r="L447" s="373"/>
      <c r="M447" s="326"/>
    </row>
    <row r="448" spans="1:13" ht="15.75" hidden="1" thickBot="1" x14ac:dyDescent="0.3">
      <c r="A448" s="340"/>
      <c r="B448" s="374"/>
      <c r="C448" s="304" t="s">
        <v>7</v>
      </c>
      <c r="D448" s="304"/>
      <c r="E448" s="304"/>
      <c r="F448" s="304"/>
      <c r="G448" s="183"/>
      <c r="H448" s="183"/>
      <c r="I448" s="183"/>
      <c r="J448" s="183"/>
      <c r="K448" s="11">
        <f>IF(OR(ISBLANK(K442),K442&lt;0,K442&gt;4),0,K442)</f>
        <v>0</v>
      </c>
      <c r="L448" s="373"/>
      <c r="M448" s="326"/>
    </row>
    <row r="449" spans="1:13" ht="15.75" hidden="1" thickBot="1" x14ac:dyDescent="0.3"/>
    <row r="450" spans="1:13" ht="90" hidden="1" customHeight="1" x14ac:dyDescent="0.3">
      <c r="A450" s="340"/>
      <c r="B450" s="374" t="s">
        <v>251</v>
      </c>
      <c r="C450" s="291" t="s">
        <v>252</v>
      </c>
      <c r="D450" s="291"/>
      <c r="E450" s="294" t="s">
        <v>253</v>
      </c>
      <c r="F450" s="322"/>
      <c r="G450" s="187"/>
      <c r="H450" s="187"/>
      <c r="I450" s="187"/>
      <c r="J450" s="187"/>
      <c r="K450" s="10">
        <v>0</v>
      </c>
      <c r="L450" s="373"/>
      <c r="M450" s="326"/>
    </row>
    <row r="451" spans="1:13" ht="75.75" hidden="1" thickBot="1" x14ac:dyDescent="0.3">
      <c r="A451" s="340"/>
      <c r="B451" s="374"/>
      <c r="C451" s="13">
        <v>4</v>
      </c>
      <c r="D451" s="14" t="s">
        <v>254</v>
      </c>
      <c r="E451" s="294"/>
      <c r="F451" s="322"/>
      <c r="G451" s="187"/>
      <c r="H451" s="187"/>
      <c r="I451" s="187"/>
      <c r="J451" s="187"/>
      <c r="K451" s="7"/>
      <c r="L451" s="373"/>
      <c r="M451" s="326"/>
    </row>
    <row r="452" spans="1:13" ht="60.75" hidden="1" thickBot="1" x14ac:dyDescent="0.3">
      <c r="A452" s="340"/>
      <c r="B452" s="374"/>
      <c r="C452" s="13">
        <v>3</v>
      </c>
      <c r="D452" s="14" t="s">
        <v>255</v>
      </c>
      <c r="E452" s="294"/>
      <c r="F452" s="322"/>
      <c r="G452" s="187"/>
      <c r="H452" s="187"/>
      <c r="I452" s="187"/>
      <c r="J452" s="187"/>
      <c r="K452" s="7"/>
      <c r="L452" s="373"/>
      <c r="M452" s="326"/>
    </row>
    <row r="453" spans="1:13" ht="60.75" hidden="1" thickBot="1" x14ac:dyDescent="0.3">
      <c r="A453" s="340"/>
      <c r="B453" s="374"/>
      <c r="C453" s="13">
        <v>2</v>
      </c>
      <c r="D453" s="14" t="s">
        <v>256</v>
      </c>
      <c r="E453" s="294"/>
      <c r="F453" s="322"/>
      <c r="G453" s="187"/>
      <c r="H453" s="187"/>
      <c r="I453" s="187"/>
      <c r="J453" s="187"/>
      <c r="K453" s="7"/>
      <c r="L453" s="373"/>
      <c r="M453" s="326"/>
    </row>
    <row r="454" spans="1:13" ht="60.75" hidden="1" thickBot="1" x14ac:dyDescent="0.3">
      <c r="A454" s="340"/>
      <c r="B454" s="374"/>
      <c r="C454" s="13">
        <v>1</v>
      </c>
      <c r="D454" s="14" t="s">
        <v>257</v>
      </c>
      <c r="E454" s="294"/>
      <c r="F454" s="322"/>
      <c r="G454" s="187"/>
      <c r="H454" s="187"/>
      <c r="I454" s="187"/>
      <c r="J454" s="187"/>
      <c r="K454" s="7"/>
      <c r="L454" s="373"/>
      <c r="M454" s="326"/>
    </row>
    <row r="455" spans="1:13" ht="45.75" hidden="1" thickBot="1" x14ac:dyDescent="0.3">
      <c r="A455" s="340"/>
      <c r="B455" s="374"/>
      <c r="C455" s="13">
        <v>0</v>
      </c>
      <c r="D455" s="14" t="s">
        <v>258</v>
      </c>
      <c r="E455" s="294"/>
      <c r="F455" s="322"/>
      <c r="G455" s="187"/>
      <c r="H455" s="187"/>
      <c r="I455" s="187"/>
      <c r="J455" s="187"/>
      <c r="K455" s="7"/>
      <c r="L455" s="373"/>
      <c r="M455" s="326"/>
    </row>
    <row r="456" spans="1:13" ht="15.75" hidden="1" thickBot="1" x14ac:dyDescent="0.3">
      <c r="A456" s="340"/>
      <c r="B456" s="374"/>
      <c r="C456" s="304" t="s">
        <v>7</v>
      </c>
      <c r="D456" s="304"/>
      <c r="E456" s="304"/>
      <c r="F456" s="304"/>
      <c r="G456" s="183"/>
      <c r="H456" s="183"/>
      <c r="I456" s="183"/>
      <c r="J456" s="183"/>
      <c r="K456" s="11">
        <f>IF(OR(ISBLANK(K450),K450&lt;0,K450&gt;4),0,K450)</f>
        <v>0</v>
      </c>
      <c r="L456" s="373"/>
      <c r="M456" s="326"/>
    </row>
    <row r="457" spans="1:13" ht="15.75" hidden="1" thickBot="1" x14ac:dyDescent="0.3"/>
    <row r="458" spans="1:13" ht="30" customHeight="1" x14ac:dyDescent="0.25">
      <c r="A458" s="345">
        <v>38</v>
      </c>
      <c r="B458" s="376" t="s">
        <v>815</v>
      </c>
      <c r="C458" s="291" t="s">
        <v>816</v>
      </c>
      <c r="D458" s="291"/>
      <c r="E458" s="294" t="s">
        <v>1028</v>
      </c>
      <c r="F458" s="301" t="s">
        <v>993</v>
      </c>
      <c r="G458" s="301" t="s">
        <v>994</v>
      </c>
      <c r="H458" s="203" t="s">
        <v>964</v>
      </c>
      <c r="I458" s="203">
        <v>1</v>
      </c>
      <c r="J458" s="212" t="str">
        <f>IF((IF(OR((H458&amp;"."&amp;I458)=$R$8,(H458&amp;"."&amp;I458)=$S$8,(H458&amp;"."&amp;I458)=$T$8,(H458&amp;"."&amp;I458)=$U$8,(H458&amp;"."&amp;I458)=$V$8,(H458&amp;"."&amp;I458)=$W$8),1,0))=1,"EKSTREM",IF((IF(OR((H458&amp;"."&amp;I458)=$R$9,(H458&amp;"."&amp;I458)=$S$9,(H458&amp;"."&amp;I458)=$T$9,(H458&amp;"."&amp;I458)=$U$9,(H458&amp;"."&amp;I458)=$V$9,(H458&amp;"."&amp;I458)=$W$9,(H458&amp;"."&amp;I458)=$X$9),1,0))=1,"TINGGI",IF((IF(OR((H458&amp;"."&amp;I458)=$R$10,(H458&amp;"."&amp;I458)=$S$10,(H458&amp;"."&amp;I458)=$T$10,(H458&amp;"."&amp;I458)=$U$10,(H458&amp;"."&amp;I458)=$V$10,(H458&amp;"."&amp;I458)=$W$10),1,0))=1,"MODERAT",IF((IF(OR((H458&amp;"."&amp;I458)=$R$11,(H458&amp;"."&amp;I458)=$S$11,(H458&amp;"."&amp;I458)=$T$11,(H458&amp;"."&amp;I458)=$U$11,(H458&amp;"."&amp;I458)=$V$11,(H458&amp;"."&amp;I458)=$W$11),1,0))=1,"RENDAH","-"))))</f>
        <v>RENDAH</v>
      </c>
      <c r="K458" s="10">
        <v>0</v>
      </c>
      <c r="L458" s="354" t="s">
        <v>1078</v>
      </c>
      <c r="M458" s="354" t="s">
        <v>1079</v>
      </c>
    </row>
    <row r="459" spans="1:13" ht="75" x14ac:dyDescent="0.25">
      <c r="A459" s="346"/>
      <c r="B459" s="377"/>
      <c r="C459" s="13">
        <v>4</v>
      </c>
      <c r="D459" s="80" t="s">
        <v>259</v>
      </c>
      <c r="E459" s="294"/>
      <c r="F459" s="302"/>
      <c r="G459" s="302"/>
      <c r="H459" s="297"/>
      <c r="I459" s="297"/>
      <c r="J459" s="297"/>
      <c r="K459" s="297"/>
      <c r="L459" s="355"/>
      <c r="M459" s="355"/>
    </row>
    <row r="460" spans="1:13" ht="45" x14ac:dyDescent="0.25">
      <c r="A460" s="346"/>
      <c r="B460" s="377"/>
      <c r="C460" s="13">
        <v>3</v>
      </c>
      <c r="D460" s="80" t="s">
        <v>260</v>
      </c>
      <c r="E460" s="294"/>
      <c r="F460" s="302"/>
      <c r="G460" s="302"/>
      <c r="H460" s="298"/>
      <c r="I460" s="298"/>
      <c r="J460" s="298"/>
      <c r="K460" s="298"/>
      <c r="L460" s="355"/>
      <c r="M460" s="355"/>
    </row>
    <row r="461" spans="1:13" ht="30" x14ac:dyDescent="0.25">
      <c r="A461" s="346"/>
      <c r="B461" s="377"/>
      <c r="C461" s="13">
        <v>2</v>
      </c>
      <c r="D461" s="80" t="s">
        <v>261</v>
      </c>
      <c r="E461" s="294"/>
      <c r="F461" s="302"/>
      <c r="G461" s="302"/>
      <c r="H461" s="298"/>
      <c r="I461" s="298"/>
      <c r="J461" s="298"/>
      <c r="K461" s="298"/>
      <c r="L461" s="355"/>
      <c r="M461" s="355"/>
    </row>
    <row r="462" spans="1:13" ht="30" x14ac:dyDescent="0.25">
      <c r="A462" s="346"/>
      <c r="B462" s="377"/>
      <c r="C462" s="13">
        <v>1</v>
      </c>
      <c r="D462" s="80" t="s">
        <v>262</v>
      </c>
      <c r="E462" s="294"/>
      <c r="F462" s="302"/>
      <c r="G462" s="302"/>
      <c r="H462" s="298"/>
      <c r="I462" s="298"/>
      <c r="J462" s="298"/>
      <c r="K462" s="298"/>
      <c r="L462" s="355"/>
      <c r="M462" s="355"/>
    </row>
    <row r="463" spans="1:13" ht="30" x14ac:dyDescent="0.25">
      <c r="A463" s="346"/>
      <c r="B463" s="377"/>
      <c r="C463" s="13">
        <v>0</v>
      </c>
      <c r="D463" s="80" t="s">
        <v>263</v>
      </c>
      <c r="E463" s="294"/>
      <c r="F463" s="302"/>
      <c r="G463" s="302"/>
      <c r="H463" s="298"/>
      <c r="I463" s="298"/>
      <c r="J463" s="298"/>
      <c r="K463" s="299"/>
      <c r="L463" s="355"/>
      <c r="M463" s="355"/>
    </row>
    <row r="464" spans="1:13" ht="31.5" customHeight="1" x14ac:dyDescent="0.25">
      <c r="A464" s="346"/>
      <c r="B464" s="377"/>
      <c r="C464" s="291" t="s">
        <v>817</v>
      </c>
      <c r="D464" s="291"/>
      <c r="E464" s="294" t="s">
        <v>1029</v>
      </c>
      <c r="F464" s="302"/>
      <c r="G464" s="302"/>
      <c r="H464" s="298"/>
      <c r="I464" s="298"/>
      <c r="J464" s="298"/>
      <c r="K464" s="10">
        <v>0</v>
      </c>
      <c r="L464" s="355"/>
      <c r="M464" s="355"/>
    </row>
    <row r="465" spans="1:13" ht="75" customHeight="1" x14ac:dyDescent="0.25">
      <c r="A465" s="346"/>
      <c r="B465" s="377"/>
      <c r="C465" s="13">
        <v>4</v>
      </c>
      <c r="D465" s="94" t="s">
        <v>818</v>
      </c>
      <c r="E465" s="294"/>
      <c r="F465" s="302"/>
      <c r="G465" s="302"/>
      <c r="H465" s="298"/>
      <c r="I465" s="298"/>
      <c r="J465" s="298"/>
      <c r="K465" s="297"/>
      <c r="L465" s="355"/>
      <c r="M465" s="355"/>
    </row>
    <row r="466" spans="1:13" ht="60" x14ac:dyDescent="0.25">
      <c r="A466" s="346"/>
      <c r="B466" s="377"/>
      <c r="C466" s="13">
        <v>3</v>
      </c>
      <c r="D466" s="80" t="s">
        <v>819</v>
      </c>
      <c r="E466" s="294"/>
      <c r="F466" s="302"/>
      <c r="G466" s="302"/>
      <c r="H466" s="298"/>
      <c r="I466" s="298"/>
      <c r="J466" s="298"/>
      <c r="K466" s="298"/>
      <c r="L466" s="355"/>
      <c r="M466" s="355"/>
    </row>
    <row r="467" spans="1:13" ht="30" x14ac:dyDescent="0.25">
      <c r="A467" s="346"/>
      <c r="B467" s="377"/>
      <c r="C467" s="13">
        <v>2</v>
      </c>
      <c r="D467" s="80" t="s">
        <v>264</v>
      </c>
      <c r="E467" s="294"/>
      <c r="F467" s="302"/>
      <c r="G467" s="302"/>
      <c r="H467" s="298"/>
      <c r="I467" s="298"/>
      <c r="J467" s="298"/>
      <c r="K467" s="298"/>
      <c r="L467" s="355"/>
      <c r="M467" s="355"/>
    </row>
    <row r="468" spans="1:13" ht="30" x14ac:dyDescent="0.25">
      <c r="A468" s="346"/>
      <c r="B468" s="377"/>
      <c r="C468" s="13">
        <v>1</v>
      </c>
      <c r="D468" s="80" t="s">
        <v>820</v>
      </c>
      <c r="E468" s="294"/>
      <c r="F468" s="302"/>
      <c r="G468" s="302"/>
      <c r="H468" s="298"/>
      <c r="I468" s="298"/>
      <c r="J468" s="298"/>
      <c r="K468" s="298"/>
      <c r="L468" s="355"/>
      <c r="M468" s="355"/>
    </row>
    <row r="469" spans="1:13" ht="30" x14ac:dyDescent="0.25">
      <c r="A469" s="346"/>
      <c r="B469" s="377"/>
      <c r="C469" s="13">
        <v>0</v>
      </c>
      <c r="D469" s="80" t="s">
        <v>821</v>
      </c>
      <c r="E469" s="294"/>
      <c r="F469" s="302"/>
      <c r="G469" s="302"/>
      <c r="H469" s="298"/>
      <c r="I469" s="298"/>
      <c r="J469" s="298"/>
      <c r="K469" s="299"/>
      <c r="L469" s="355"/>
      <c r="M469" s="355"/>
    </row>
    <row r="470" spans="1:13" ht="30" customHeight="1" x14ac:dyDescent="0.25">
      <c r="A470" s="346"/>
      <c r="B470" s="377"/>
      <c r="C470" s="291" t="s">
        <v>822</v>
      </c>
      <c r="D470" s="291"/>
      <c r="E470" s="294" t="s">
        <v>1030</v>
      </c>
      <c r="F470" s="302"/>
      <c r="G470" s="302"/>
      <c r="H470" s="298"/>
      <c r="I470" s="298"/>
      <c r="J470" s="298"/>
      <c r="K470" s="10">
        <v>0</v>
      </c>
      <c r="L470" s="355"/>
      <c r="M470" s="355"/>
    </row>
    <row r="471" spans="1:13" ht="90" x14ac:dyDescent="0.25">
      <c r="A471" s="346"/>
      <c r="B471" s="377"/>
      <c r="C471" s="13">
        <v>4</v>
      </c>
      <c r="D471" s="80" t="s">
        <v>265</v>
      </c>
      <c r="E471" s="294"/>
      <c r="F471" s="302"/>
      <c r="G471" s="302"/>
      <c r="H471" s="298"/>
      <c r="I471" s="298"/>
      <c r="J471" s="298"/>
      <c r="K471" s="297"/>
      <c r="L471" s="355"/>
      <c r="M471" s="355"/>
    </row>
    <row r="472" spans="1:13" ht="60" x14ac:dyDescent="0.25">
      <c r="A472" s="346"/>
      <c r="B472" s="377"/>
      <c r="C472" s="13">
        <v>3</v>
      </c>
      <c r="D472" s="80" t="s">
        <v>266</v>
      </c>
      <c r="E472" s="294"/>
      <c r="F472" s="302"/>
      <c r="G472" s="302"/>
      <c r="H472" s="298"/>
      <c r="I472" s="298"/>
      <c r="J472" s="298"/>
      <c r="K472" s="298"/>
      <c r="L472" s="355"/>
      <c r="M472" s="355"/>
    </row>
    <row r="473" spans="1:13" ht="45" x14ac:dyDescent="0.25">
      <c r="A473" s="346"/>
      <c r="B473" s="377"/>
      <c r="C473" s="13">
        <v>2</v>
      </c>
      <c r="D473" s="80" t="s">
        <v>267</v>
      </c>
      <c r="E473" s="294"/>
      <c r="F473" s="302"/>
      <c r="G473" s="302"/>
      <c r="H473" s="298"/>
      <c r="I473" s="298"/>
      <c r="J473" s="298"/>
      <c r="K473" s="298"/>
      <c r="L473" s="355"/>
      <c r="M473" s="355"/>
    </row>
    <row r="474" spans="1:13" ht="30" x14ac:dyDescent="0.25">
      <c r="A474" s="346"/>
      <c r="B474" s="377"/>
      <c r="C474" s="13">
        <v>1</v>
      </c>
      <c r="D474" s="80" t="s">
        <v>268</v>
      </c>
      <c r="E474" s="294"/>
      <c r="F474" s="302"/>
      <c r="G474" s="302"/>
      <c r="H474" s="298"/>
      <c r="I474" s="298"/>
      <c r="J474" s="298"/>
      <c r="K474" s="298"/>
      <c r="L474" s="355"/>
      <c r="M474" s="355"/>
    </row>
    <row r="475" spans="1:13" x14ac:dyDescent="0.25">
      <c r="A475" s="346"/>
      <c r="B475" s="377"/>
      <c r="C475" s="13">
        <v>0</v>
      </c>
      <c r="D475" s="80" t="s">
        <v>8</v>
      </c>
      <c r="E475" s="294"/>
      <c r="F475" s="303"/>
      <c r="G475" s="303"/>
      <c r="H475" s="299"/>
      <c r="I475" s="299"/>
      <c r="J475" s="299"/>
      <c r="K475" s="299"/>
      <c r="L475" s="355"/>
      <c r="M475" s="355"/>
    </row>
    <row r="476" spans="1:13" ht="15.75" thickBot="1" x14ac:dyDescent="0.3">
      <c r="A476" s="347"/>
      <c r="B476" s="378"/>
      <c r="C476" s="304" t="s">
        <v>291</v>
      </c>
      <c r="D476" s="304"/>
      <c r="E476" s="304"/>
      <c r="F476" s="304"/>
      <c r="G476" s="183"/>
      <c r="H476" s="183"/>
      <c r="I476" s="183"/>
      <c r="J476" s="183"/>
      <c r="K476" s="11">
        <f>IF(OR(ISBLANK(K458),K458&lt;0,K458&gt;4,ISBLANK(K464),K464&lt;0,K464&gt;4,ISBLANK(K470),K470&lt;0,K470&gt;4),0,(K458+2*K464+2*K470)/5)</f>
        <v>0</v>
      </c>
      <c r="L476" s="356"/>
      <c r="M476" s="356"/>
    </row>
    <row r="477" spans="1:13" ht="15.75" thickBot="1" x14ac:dyDescent="0.3"/>
    <row r="478" spans="1:13" ht="45.75" customHeight="1" x14ac:dyDescent="0.25">
      <c r="A478" s="340">
        <v>39</v>
      </c>
      <c r="B478" s="320" t="s">
        <v>823</v>
      </c>
      <c r="C478" s="291" t="s">
        <v>824</v>
      </c>
      <c r="D478" s="291"/>
      <c r="E478" s="294" t="s">
        <v>1031</v>
      </c>
      <c r="F478" s="300" t="s">
        <v>993</v>
      </c>
      <c r="G478" s="300" t="s">
        <v>994</v>
      </c>
      <c r="H478" s="203" t="s">
        <v>964</v>
      </c>
      <c r="I478" s="203">
        <v>1</v>
      </c>
      <c r="J478" s="212" t="str">
        <f>IF((IF(OR((H478&amp;"."&amp;I478)=$R$8,(H478&amp;"."&amp;I478)=$S$8,(H478&amp;"."&amp;I478)=$T$8,(H478&amp;"."&amp;I478)=$U$8,(H478&amp;"."&amp;I478)=$V$8,(H478&amp;"."&amp;I478)=$W$8),1,0))=1,"EKSTREM",IF((IF(OR((H478&amp;"."&amp;I478)=$R$9,(H478&amp;"."&amp;I478)=$S$9,(H478&amp;"."&amp;I478)=$T$9,(H478&amp;"."&amp;I478)=$U$9,(H478&amp;"."&amp;I478)=$V$9,(H478&amp;"."&amp;I478)=$W$9,(H478&amp;"."&amp;I478)=$X$9),1,0))=1,"TINGGI",IF((IF(OR((H478&amp;"."&amp;I478)=$R$10,(H478&amp;"."&amp;I478)=$S$10,(H478&amp;"."&amp;I478)=$T$10,(H478&amp;"."&amp;I478)=$U$10,(H478&amp;"."&amp;I478)=$V$10,(H478&amp;"."&amp;I478)=$W$10),1,0))=1,"MODERAT",IF((IF(OR((H478&amp;"."&amp;I478)=$R$11,(H478&amp;"."&amp;I478)=$S$11,(H478&amp;"."&amp;I478)=$T$11,(H478&amp;"."&amp;I478)=$U$11,(H478&amp;"."&amp;I478)=$V$11,(H478&amp;"."&amp;I478)=$W$11),1,0))=1,"RENDAH","-"))))</f>
        <v>RENDAH</v>
      </c>
      <c r="K478" s="10">
        <v>0</v>
      </c>
      <c r="L478" s="326" t="s">
        <v>1078</v>
      </c>
      <c r="M478" s="326" t="s">
        <v>1079</v>
      </c>
    </row>
    <row r="479" spans="1:13" ht="45" x14ac:dyDescent="0.25">
      <c r="A479" s="340"/>
      <c r="B479" s="318"/>
      <c r="C479" s="13">
        <v>4</v>
      </c>
      <c r="D479" s="80" t="s">
        <v>269</v>
      </c>
      <c r="E479" s="294"/>
      <c r="F479" s="300"/>
      <c r="G479" s="300"/>
      <c r="H479" s="297"/>
      <c r="I479" s="297"/>
      <c r="J479" s="297"/>
      <c r="K479" s="297"/>
      <c r="L479" s="326"/>
      <c r="M479" s="326"/>
    </row>
    <row r="480" spans="1:13" ht="45" x14ac:dyDescent="0.25">
      <c r="A480" s="340"/>
      <c r="B480" s="318"/>
      <c r="C480" s="13">
        <v>3</v>
      </c>
      <c r="D480" s="80" t="s">
        <v>270</v>
      </c>
      <c r="E480" s="294"/>
      <c r="F480" s="300"/>
      <c r="G480" s="300"/>
      <c r="H480" s="298"/>
      <c r="I480" s="298"/>
      <c r="J480" s="298"/>
      <c r="K480" s="298"/>
      <c r="L480" s="326"/>
      <c r="M480" s="326"/>
    </row>
    <row r="481" spans="1:13" ht="30" x14ac:dyDescent="0.25">
      <c r="A481" s="340"/>
      <c r="B481" s="318"/>
      <c r="C481" s="13">
        <v>2</v>
      </c>
      <c r="D481" s="80" t="s">
        <v>271</v>
      </c>
      <c r="E481" s="294"/>
      <c r="F481" s="300"/>
      <c r="G481" s="300"/>
      <c r="H481" s="298"/>
      <c r="I481" s="298"/>
      <c r="J481" s="298"/>
      <c r="K481" s="298"/>
      <c r="L481" s="326"/>
      <c r="M481" s="326"/>
    </row>
    <row r="482" spans="1:13" ht="30" x14ac:dyDescent="0.25">
      <c r="A482" s="340"/>
      <c r="B482" s="318"/>
      <c r="C482" s="13">
        <v>1</v>
      </c>
      <c r="D482" s="80" t="s">
        <v>272</v>
      </c>
      <c r="E482" s="294"/>
      <c r="F482" s="300"/>
      <c r="G482" s="300"/>
      <c r="H482" s="298"/>
      <c r="I482" s="298"/>
      <c r="J482" s="298"/>
      <c r="K482" s="298"/>
      <c r="L482" s="326"/>
      <c r="M482" s="326"/>
    </row>
    <row r="483" spans="1:13" x14ac:dyDescent="0.25">
      <c r="A483" s="340"/>
      <c r="B483" s="318"/>
      <c r="C483" s="13">
        <v>0</v>
      </c>
      <c r="D483" s="80" t="s">
        <v>8</v>
      </c>
      <c r="E483" s="294"/>
      <c r="F483" s="300"/>
      <c r="G483" s="300"/>
      <c r="H483" s="299"/>
      <c r="I483" s="299"/>
      <c r="J483" s="299"/>
      <c r="K483" s="299"/>
      <c r="L483" s="326"/>
      <c r="M483" s="326"/>
    </row>
    <row r="484" spans="1:13" ht="15.75" thickBot="1" x14ac:dyDescent="0.3">
      <c r="A484" s="340"/>
      <c r="B484" s="321"/>
      <c r="C484" s="304" t="s">
        <v>7</v>
      </c>
      <c r="D484" s="304"/>
      <c r="E484" s="304"/>
      <c r="F484" s="304"/>
      <c r="G484" s="183"/>
      <c r="H484" s="183"/>
      <c r="I484" s="183"/>
      <c r="J484" s="183"/>
      <c r="K484" s="11">
        <f>IF(OR(ISBLANK(K478),K478&lt;0,K478&gt;4),0,K478)</f>
        <v>0</v>
      </c>
      <c r="L484" s="326"/>
      <c r="M484" s="326"/>
    </row>
    <row r="485" spans="1:13" ht="15.75" thickBot="1" x14ac:dyDescent="0.3"/>
    <row r="486" spans="1:13" ht="30.75" customHeight="1" x14ac:dyDescent="0.25">
      <c r="A486" s="345">
        <v>40</v>
      </c>
      <c r="B486" s="320" t="s">
        <v>825</v>
      </c>
      <c r="C486" s="291" t="s">
        <v>826</v>
      </c>
      <c r="D486" s="291"/>
      <c r="E486" s="294" t="s">
        <v>1032</v>
      </c>
      <c r="F486" s="301" t="s">
        <v>993</v>
      </c>
      <c r="G486" s="301" t="s">
        <v>994</v>
      </c>
      <c r="H486" s="203" t="s">
        <v>964</v>
      </c>
      <c r="I486" s="203">
        <v>1</v>
      </c>
      <c r="J486" s="212" t="str">
        <f>IF((IF(OR((H486&amp;"."&amp;I486)=$R$8,(H486&amp;"."&amp;I486)=$S$8,(H486&amp;"."&amp;I486)=$T$8,(H486&amp;"."&amp;I486)=$U$8,(H486&amp;"."&amp;I486)=$V$8,(H486&amp;"."&amp;I486)=$W$8),1,0))=1,"EKSTREM",IF((IF(OR((H486&amp;"."&amp;I486)=$R$9,(H486&amp;"."&amp;I486)=$S$9,(H486&amp;"."&amp;I486)=$T$9,(H486&amp;"."&amp;I486)=$U$9,(H486&amp;"."&amp;I486)=$V$9,(H486&amp;"."&amp;I486)=$W$9,(H486&amp;"."&amp;I486)=$X$9),1,0))=1,"TINGGI",IF((IF(OR((H486&amp;"."&amp;I486)=$R$10,(H486&amp;"."&amp;I486)=$S$10,(H486&amp;"."&amp;I486)=$T$10,(H486&amp;"."&amp;I486)=$U$10,(H486&amp;"."&amp;I486)=$V$10,(H486&amp;"."&amp;I486)=$W$10),1,0))=1,"MODERAT",IF((IF(OR((H486&amp;"."&amp;I486)=$R$11,(H486&amp;"."&amp;I486)=$S$11,(H486&amp;"."&amp;I486)=$T$11,(H486&amp;"."&amp;I486)=$U$11,(H486&amp;"."&amp;I486)=$V$11,(H486&amp;"."&amp;I486)=$W$11),1,0))=1,"RENDAH","-"))))</f>
        <v>RENDAH</v>
      </c>
      <c r="K486" s="10">
        <v>0</v>
      </c>
      <c r="L486" s="354" t="s">
        <v>1078</v>
      </c>
      <c r="M486" s="354" t="s">
        <v>1079</v>
      </c>
    </row>
    <row r="487" spans="1:13" ht="75" x14ac:dyDescent="0.25">
      <c r="A487" s="346"/>
      <c r="B487" s="318"/>
      <c r="C487" s="13">
        <v>4</v>
      </c>
      <c r="D487" s="80" t="s">
        <v>273</v>
      </c>
      <c r="E487" s="294"/>
      <c r="F487" s="302"/>
      <c r="G487" s="302"/>
      <c r="H487" s="297"/>
      <c r="I487" s="297"/>
      <c r="J487" s="297"/>
      <c r="K487" s="297"/>
      <c r="L487" s="355"/>
      <c r="M487" s="355"/>
    </row>
    <row r="488" spans="1:13" ht="60" x14ac:dyDescent="0.25">
      <c r="A488" s="346"/>
      <c r="B488" s="318"/>
      <c r="C488" s="13">
        <v>3</v>
      </c>
      <c r="D488" s="80" t="s">
        <v>274</v>
      </c>
      <c r="E488" s="294"/>
      <c r="F488" s="302"/>
      <c r="G488" s="302"/>
      <c r="H488" s="298"/>
      <c r="I488" s="298"/>
      <c r="J488" s="298"/>
      <c r="K488" s="298"/>
      <c r="L488" s="355"/>
      <c r="M488" s="355"/>
    </row>
    <row r="489" spans="1:13" ht="60" x14ac:dyDescent="0.25">
      <c r="A489" s="346"/>
      <c r="B489" s="318"/>
      <c r="C489" s="13">
        <v>2</v>
      </c>
      <c r="D489" s="80" t="s">
        <v>275</v>
      </c>
      <c r="E489" s="294"/>
      <c r="F489" s="302"/>
      <c r="G489" s="302"/>
      <c r="H489" s="298"/>
      <c r="I489" s="298"/>
      <c r="J489" s="298"/>
      <c r="K489" s="298"/>
      <c r="L489" s="355"/>
      <c r="M489" s="355"/>
    </row>
    <row r="490" spans="1:13" ht="60" x14ac:dyDescent="0.25">
      <c r="A490" s="346"/>
      <c r="B490" s="318"/>
      <c r="C490" s="13">
        <v>1</v>
      </c>
      <c r="D490" s="80" t="s">
        <v>276</v>
      </c>
      <c r="E490" s="294"/>
      <c r="F490" s="302"/>
      <c r="G490" s="302"/>
      <c r="H490" s="298"/>
      <c r="I490" s="298"/>
      <c r="J490" s="298"/>
      <c r="K490" s="298"/>
      <c r="L490" s="355"/>
      <c r="M490" s="355"/>
    </row>
    <row r="491" spans="1:13" x14ac:dyDescent="0.25">
      <c r="A491" s="346"/>
      <c r="B491" s="318"/>
      <c r="C491" s="13">
        <v>0</v>
      </c>
      <c r="D491" s="80" t="s">
        <v>277</v>
      </c>
      <c r="E491" s="294"/>
      <c r="F491" s="302"/>
      <c r="G491" s="302"/>
      <c r="H491" s="298"/>
      <c r="I491" s="298"/>
      <c r="J491" s="298"/>
      <c r="K491" s="299"/>
      <c r="L491" s="355"/>
      <c r="M491" s="355"/>
    </row>
    <row r="492" spans="1:13" ht="30" customHeight="1" x14ac:dyDescent="0.25">
      <c r="A492" s="346"/>
      <c r="B492" s="318"/>
      <c r="C492" s="291" t="s">
        <v>827</v>
      </c>
      <c r="D492" s="291"/>
      <c r="E492" s="294" t="s">
        <v>1033</v>
      </c>
      <c r="F492" s="302"/>
      <c r="G492" s="302"/>
      <c r="H492" s="298"/>
      <c r="I492" s="298"/>
      <c r="J492" s="298"/>
      <c r="K492" s="10">
        <v>0</v>
      </c>
      <c r="L492" s="355"/>
      <c r="M492" s="355"/>
    </row>
    <row r="493" spans="1:13" ht="45" x14ac:dyDescent="0.25">
      <c r="A493" s="346"/>
      <c r="B493" s="318"/>
      <c r="C493" s="13">
        <v>4</v>
      </c>
      <c r="D493" s="94" t="s">
        <v>278</v>
      </c>
      <c r="E493" s="294"/>
      <c r="F493" s="302"/>
      <c r="G493" s="302"/>
      <c r="H493" s="298"/>
      <c r="I493" s="298"/>
      <c r="J493" s="298"/>
      <c r="K493" s="297"/>
      <c r="L493" s="355"/>
      <c r="M493" s="355"/>
    </row>
    <row r="494" spans="1:13" ht="45" x14ac:dyDescent="0.25">
      <c r="A494" s="346"/>
      <c r="B494" s="318"/>
      <c r="C494" s="13">
        <v>3</v>
      </c>
      <c r="D494" s="94" t="s">
        <v>279</v>
      </c>
      <c r="E494" s="294"/>
      <c r="F494" s="302"/>
      <c r="G494" s="302"/>
      <c r="H494" s="298"/>
      <c r="I494" s="298"/>
      <c r="J494" s="298"/>
      <c r="K494" s="298"/>
      <c r="L494" s="355"/>
      <c r="M494" s="355"/>
    </row>
    <row r="495" spans="1:13" ht="30" x14ac:dyDescent="0.25">
      <c r="A495" s="346"/>
      <c r="B495" s="318"/>
      <c r="C495" s="13">
        <v>2</v>
      </c>
      <c r="D495" s="94" t="s">
        <v>280</v>
      </c>
      <c r="E495" s="294"/>
      <c r="F495" s="302"/>
      <c r="G495" s="302"/>
      <c r="H495" s="298"/>
      <c r="I495" s="298"/>
      <c r="J495" s="298"/>
      <c r="K495" s="298"/>
      <c r="L495" s="355"/>
      <c r="M495" s="355"/>
    </row>
    <row r="496" spans="1:13" ht="45" x14ac:dyDescent="0.25">
      <c r="A496" s="346"/>
      <c r="B496" s="318"/>
      <c r="C496" s="13">
        <v>1</v>
      </c>
      <c r="D496" s="94" t="s">
        <v>281</v>
      </c>
      <c r="E496" s="294"/>
      <c r="F496" s="302"/>
      <c r="G496" s="302"/>
      <c r="H496" s="298"/>
      <c r="I496" s="298"/>
      <c r="J496" s="298"/>
      <c r="K496" s="298"/>
      <c r="L496" s="355"/>
      <c r="M496" s="355"/>
    </row>
    <row r="497" spans="1:13" ht="30" x14ac:dyDescent="0.25">
      <c r="A497" s="346"/>
      <c r="B497" s="318"/>
      <c r="C497" s="13">
        <v>0</v>
      </c>
      <c r="D497" s="94" t="s">
        <v>282</v>
      </c>
      <c r="E497" s="294"/>
      <c r="F497" s="303"/>
      <c r="G497" s="303"/>
      <c r="H497" s="299"/>
      <c r="I497" s="299"/>
      <c r="J497" s="299"/>
      <c r="K497" s="299"/>
      <c r="L497" s="355"/>
      <c r="M497" s="355"/>
    </row>
    <row r="498" spans="1:13" ht="15.75" thickBot="1" x14ac:dyDescent="0.3">
      <c r="A498" s="347"/>
      <c r="B498" s="321"/>
      <c r="C498" s="304" t="s">
        <v>9</v>
      </c>
      <c r="D498" s="304"/>
      <c r="E498" s="304"/>
      <c r="F498" s="304"/>
      <c r="G498" s="183"/>
      <c r="H498" s="183"/>
      <c r="I498" s="183"/>
      <c r="J498" s="183"/>
      <c r="K498" s="11">
        <f>IF(OR(ISBLANK(K486),K486&lt;0,K486&gt;4,ISBLANK(K492),K492&lt;0,K492&gt;4),0,(K486+2*K492)/3)</f>
        <v>0</v>
      </c>
      <c r="L498" s="356"/>
      <c r="M498" s="356"/>
    </row>
    <row r="500" spans="1:13" ht="15" customHeight="1" x14ac:dyDescent="0.25">
      <c r="A500" s="340">
        <v>41</v>
      </c>
      <c r="B500" s="317" t="s">
        <v>828</v>
      </c>
      <c r="C500" s="291" t="s">
        <v>829</v>
      </c>
      <c r="D500" s="291"/>
      <c r="E500" s="294" t="s">
        <v>1034</v>
      </c>
      <c r="F500" s="301" t="s">
        <v>993</v>
      </c>
      <c r="G500" s="301" t="s">
        <v>994</v>
      </c>
      <c r="H500" s="203" t="s">
        <v>964</v>
      </c>
      <c r="I500" s="203">
        <v>1</v>
      </c>
      <c r="J500" s="212" t="str">
        <f>IF((IF(OR((H500&amp;"."&amp;I500)=$R$8,(H500&amp;"."&amp;I500)=$S$8,(H500&amp;"."&amp;I500)=$T$8,(H500&amp;"."&amp;I500)=$U$8,(H500&amp;"."&amp;I500)=$V$8,(H500&amp;"."&amp;I500)=$W$8),1,0))=1,"EKSTREM",IF((IF(OR((H500&amp;"."&amp;I500)=$R$9,(H500&amp;"."&amp;I500)=$S$9,(H500&amp;"."&amp;I500)=$T$9,(H500&amp;"."&amp;I500)=$U$9,(H500&amp;"."&amp;I500)=$V$9,(H500&amp;"."&amp;I500)=$W$9,(H500&amp;"."&amp;I500)=$X$9),1,0))=1,"TINGGI",IF((IF(OR((H500&amp;"."&amp;I500)=$R$10,(H500&amp;"."&amp;I500)=$S$10,(H500&amp;"."&amp;I500)=$T$10,(H500&amp;"."&amp;I500)=$U$10,(H500&amp;"."&amp;I500)=$V$10,(H500&amp;"."&amp;I500)=$W$10),1,0))=1,"MODERAT",IF((IF(OR((H500&amp;"."&amp;I500)=$R$11,(H500&amp;"."&amp;I500)=$S$11,(H500&amp;"."&amp;I500)=$T$11,(H500&amp;"."&amp;I500)=$U$11,(H500&amp;"."&amp;I500)=$V$11,(H500&amp;"."&amp;I500)=$W$11),1,0))=1,"RENDAH","-"))))</f>
        <v>RENDAH</v>
      </c>
      <c r="K500" s="10">
        <v>0</v>
      </c>
      <c r="L500" s="354" t="s">
        <v>1078</v>
      </c>
      <c r="M500" s="354" t="s">
        <v>1079</v>
      </c>
    </row>
    <row r="501" spans="1:13" ht="60" x14ac:dyDescent="0.25">
      <c r="A501" s="340"/>
      <c r="B501" s="318"/>
      <c r="C501" s="13">
        <v>4</v>
      </c>
      <c r="D501" s="94" t="s">
        <v>286</v>
      </c>
      <c r="E501" s="294"/>
      <c r="F501" s="302"/>
      <c r="G501" s="302"/>
      <c r="H501" s="297"/>
      <c r="I501" s="297"/>
      <c r="J501" s="297"/>
      <c r="K501" s="297"/>
      <c r="L501" s="355"/>
      <c r="M501" s="355"/>
    </row>
    <row r="502" spans="1:13" ht="45" x14ac:dyDescent="0.25">
      <c r="A502" s="340"/>
      <c r="B502" s="318"/>
      <c r="C502" s="13">
        <v>3</v>
      </c>
      <c r="D502" s="94" t="s">
        <v>287</v>
      </c>
      <c r="E502" s="294"/>
      <c r="F502" s="302"/>
      <c r="G502" s="302"/>
      <c r="H502" s="298"/>
      <c r="I502" s="298"/>
      <c r="J502" s="298"/>
      <c r="K502" s="298"/>
      <c r="L502" s="355"/>
      <c r="M502" s="355"/>
    </row>
    <row r="503" spans="1:13" ht="45" x14ac:dyDescent="0.25">
      <c r="A503" s="340"/>
      <c r="B503" s="318"/>
      <c r="C503" s="13">
        <v>2</v>
      </c>
      <c r="D503" s="94" t="s">
        <v>288</v>
      </c>
      <c r="E503" s="294"/>
      <c r="F503" s="302"/>
      <c r="G503" s="302"/>
      <c r="H503" s="298"/>
      <c r="I503" s="298"/>
      <c r="J503" s="298"/>
      <c r="K503" s="298"/>
      <c r="L503" s="355"/>
      <c r="M503" s="355"/>
    </row>
    <row r="504" spans="1:13" ht="45" x14ac:dyDescent="0.25">
      <c r="A504" s="340"/>
      <c r="B504" s="318"/>
      <c r="C504" s="13">
        <v>1</v>
      </c>
      <c r="D504" s="94" t="s">
        <v>289</v>
      </c>
      <c r="E504" s="294"/>
      <c r="F504" s="302"/>
      <c r="G504" s="302"/>
      <c r="H504" s="298"/>
      <c r="I504" s="298"/>
      <c r="J504" s="298"/>
      <c r="K504" s="298"/>
      <c r="L504" s="355"/>
      <c r="M504" s="355"/>
    </row>
    <row r="505" spans="1:13" ht="30" x14ac:dyDescent="0.25">
      <c r="A505" s="340"/>
      <c r="B505" s="318"/>
      <c r="C505" s="13">
        <v>0</v>
      </c>
      <c r="D505" s="94" t="s">
        <v>290</v>
      </c>
      <c r="E505" s="294"/>
      <c r="F505" s="302"/>
      <c r="G505" s="302"/>
      <c r="H505" s="298"/>
      <c r="I505" s="298"/>
      <c r="J505" s="298"/>
      <c r="K505" s="299"/>
      <c r="L505" s="355"/>
      <c r="M505" s="355"/>
    </row>
    <row r="506" spans="1:13" ht="15" customHeight="1" x14ac:dyDescent="0.25">
      <c r="A506" s="340"/>
      <c r="B506" s="318"/>
      <c r="C506" s="291" t="s">
        <v>830</v>
      </c>
      <c r="D506" s="291"/>
      <c r="E506" s="294" t="s">
        <v>1035</v>
      </c>
      <c r="F506" s="302"/>
      <c r="G506" s="302"/>
      <c r="H506" s="298"/>
      <c r="I506" s="298"/>
      <c r="J506" s="298"/>
      <c r="K506" s="10">
        <v>0</v>
      </c>
      <c r="L506" s="355"/>
      <c r="M506" s="355"/>
    </row>
    <row r="507" spans="1:13" ht="90" x14ac:dyDescent="0.25">
      <c r="A507" s="340"/>
      <c r="B507" s="318"/>
      <c r="C507" s="13">
        <v>4</v>
      </c>
      <c r="D507" s="196" t="s">
        <v>292</v>
      </c>
      <c r="E507" s="294"/>
      <c r="F507" s="302"/>
      <c r="G507" s="302"/>
      <c r="H507" s="298"/>
      <c r="I507" s="298"/>
      <c r="J507" s="298"/>
      <c r="K507" s="297"/>
      <c r="L507" s="355"/>
      <c r="M507" s="355"/>
    </row>
    <row r="508" spans="1:13" ht="75" x14ac:dyDescent="0.25">
      <c r="A508" s="340"/>
      <c r="B508" s="318"/>
      <c r="C508" s="13">
        <v>3</v>
      </c>
      <c r="D508" s="196" t="s">
        <v>293</v>
      </c>
      <c r="E508" s="294"/>
      <c r="F508" s="302"/>
      <c r="G508" s="302"/>
      <c r="H508" s="298"/>
      <c r="I508" s="298"/>
      <c r="J508" s="298"/>
      <c r="K508" s="298"/>
      <c r="L508" s="355"/>
      <c r="M508" s="355"/>
    </row>
    <row r="509" spans="1:13" ht="45" x14ac:dyDescent="0.25">
      <c r="A509" s="340"/>
      <c r="B509" s="318"/>
      <c r="C509" s="13">
        <v>2</v>
      </c>
      <c r="D509" s="196" t="s">
        <v>294</v>
      </c>
      <c r="E509" s="294"/>
      <c r="F509" s="302"/>
      <c r="G509" s="302"/>
      <c r="H509" s="298"/>
      <c r="I509" s="298"/>
      <c r="J509" s="298"/>
      <c r="K509" s="298"/>
      <c r="L509" s="355"/>
      <c r="M509" s="355"/>
    </row>
    <row r="510" spans="1:13" ht="30" x14ac:dyDescent="0.25">
      <c r="A510" s="340"/>
      <c r="B510" s="318"/>
      <c r="C510" s="13">
        <v>1</v>
      </c>
      <c r="D510" s="196" t="s">
        <v>295</v>
      </c>
      <c r="E510" s="294"/>
      <c r="F510" s="302"/>
      <c r="G510" s="302"/>
      <c r="H510" s="298"/>
      <c r="I510" s="298"/>
      <c r="J510" s="298"/>
      <c r="K510" s="298"/>
      <c r="L510" s="355"/>
      <c r="M510" s="355"/>
    </row>
    <row r="511" spans="1:13" ht="30" x14ac:dyDescent="0.25">
      <c r="A511" s="340"/>
      <c r="B511" s="318"/>
      <c r="C511" s="13">
        <v>0</v>
      </c>
      <c r="D511" s="196" t="s">
        <v>296</v>
      </c>
      <c r="E511" s="294"/>
      <c r="F511" s="302"/>
      <c r="G511" s="302"/>
      <c r="H511" s="298"/>
      <c r="I511" s="298"/>
      <c r="J511" s="298"/>
      <c r="K511" s="299"/>
      <c r="L511" s="355"/>
      <c r="M511" s="355"/>
    </row>
    <row r="512" spans="1:13" ht="120.75" customHeight="1" x14ac:dyDescent="0.25">
      <c r="A512" s="340"/>
      <c r="B512" s="318"/>
      <c r="C512" s="291" t="s">
        <v>831</v>
      </c>
      <c r="D512" s="291"/>
      <c r="E512" s="294" t="s">
        <v>1035</v>
      </c>
      <c r="F512" s="302"/>
      <c r="G512" s="302"/>
      <c r="H512" s="298"/>
      <c r="I512" s="298"/>
      <c r="J512" s="298"/>
      <c r="K512" s="10">
        <v>0</v>
      </c>
      <c r="L512" s="355"/>
      <c r="M512" s="355"/>
    </row>
    <row r="513" spans="1:13" ht="60" x14ac:dyDescent="0.25">
      <c r="A513" s="340"/>
      <c r="B513" s="318"/>
      <c r="C513" s="13">
        <v>4</v>
      </c>
      <c r="D513" s="200" t="s">
        <v>832</v>
      </c>
      <c r="E513" s="294"/>
      <c r="F513" s="302"/>
      <c r="G513" s="302"/>
      <c r="H513" s="298"/>
      <c r="I513" s="298"/>
      <c r="J513" s="298"/>
      <c r="K513" s="297"/>
      <c r="L513" s="355"/>
      <c r="M513" s="355"/>
    </row>
    <row r="514" spans="1:13" x14ac:dyDescent="0.25">
      <c r="A514" s="340"/>
      <c r="B514" s="318"/>
      <c r="C514" s="13">
        <v>3</v>
      </c>
      <c r="D514" s="150" t="s">
        <v>833</v>
      </c>
      <c r="E514" s="294"/>
      <c r="F514" s="302"/>
      <c r="G514" s="302"/>
      <c r="H514" s="298"/>
      <c r="I514" s="298"/>
      <c r="J514" s="298"/>
      <c r="K514" s="298"/>
      <c r="L514" s="355"/>
      <c r="M514" s="355"/>
    </row>
    <row r="515" spans="1:13" ht="60" x14ac:dyDescent="0.25">
      <c r="A515" s="340"/>
      <c r="B515" s="318"/>
      <c r="C515" s="13">
        <v>2</v>
      </c>
      <c r="D515" s="200" t="s">
        <v>834</v>
      </c>
      <c r="E515" s="294"/>
      <c r="F515" s="302"/>
      <c r="G515" s="302"/>
      <c r="H515" s="298"/>
      <c r="I515" s="298"/>
      <c r="J515" s="298"/>
      <c r="K515" s="298"/>
      <c r="L515" s="355"/>
      <c r="M515" s="355"/>
    </row>
    <row r="516" spans="1:13" x14ac:dyDescent="0.25">
      <c r="A516" s="340"/>
      <c r="B516" s="318"/>
      <c r="C516" s="13">
        <v>1</v>
      </c>
      <c r="D516" s="371" t="s">
        <v>655</v>
      </c>
      <c r="E516" s="294"/>
      <c r="F516" s="302"/>
      <c r="G516" s="302"/>
      <c r="H516" s="298"/>
      <c r="I516" s="298"/>
      <c r="J516" s="298"/>
      <c r="K516" s="298"/>
      <c r="L516" s="355"/>
      <c r="M516" s="355"/>
    </row>
    <row r="517" spans="1:13" x14ac:dyDescent="0.25">
      <c r="A517" s="340"/>
      <c r="B517" s="318"/>
      <c r="C517" s="13">
        <v>0</v>
      </c>
      <c r="D517" s="372"/>
      <c r="E517" s="294"/>
      <c r="F517" s="302"/>
      <c r="G517" s="302"/>
      <c r="H517" s="298"/>
      <c r="I517" s="298"/>
      <c r="J517" s="298"/>
      <c r="K517" s="299"/>
      <c r="L517" s="355"/>
      <c r="M517" s="355"/>
    </row>
    <row r="518" spans="1:13" ht="105" customHeight="1" x14ac:dyDescent="0.25">
      <c r="A518" s="340"/>
      <c r="B518" s="318"/>
      <c r="C518" s="291" t="s">
        <v>835</v>
      </c>
      <c r="D518" s="291"/>
      <c r="E518" s="294" t="s">
        <v>1035</v>
      </c>
      <c r="F518" s="302"/>
      <c r="G518" s="302"/>
      <c r="H518" s="298"/>
      <c r="I518" s="298"/>
      <c r="J518" s="298"/>
      <c r="K518" s="10">
        <v>0</v>
      </c>
      <c r="L518" s="355"/>
      <c r="M518" s="355"/>
    </row>
    <row r="519" spans="1:13" ht="45" x14ac:dyDescent="0.25">
      <c r="A519" s="340"/>
      <c r="B519" s="318"/>
      <c r="C519" s="13">
        <v>4</v>
      </c>
      <c r="D519" s="150" t="s">
        <v>836</v>
      </c>
      <c r="E519" s="294"/>
      <c r="F519" s="302"/>
      <c r="G519" s="302"/>
      <c r="H519" s="298"/>
      <c r="I519" s="298"/>
      <c r="J519" s="298"/>
      <c r="K519" s="297"/>
      <c r="L519" s="355"/>
      <c r="M519" s="355"/>
    </row>
    <row r="520" spans="1:13" x14ac:dyDescent="0.25">
      <c r="A520" s="340"/>
      <c r="B520" s="318"/>
      <c r="C520" s="13">
        <v>3</v>
      </c>
      <c r="D520" s="150" t="s">
        <v>833</v>
      </c>
      <c r="E520" s="294"/>
      <c r="F520" s="302"/>
      <c r="G520" s="302"/>
      <c r="H520" s="298"/>
      <c r="I520" s="298"/>
      <c r="J520" s="298"/>
      <c r="K520" s="298"/>
      <c r="L520" s="355"/>
      <c r="M520" s="355"/>
    </row>
    <row r="521" spans="1:13" ht="45" x14ac:dyDescent="0.25">
      <c r="A521" s="340"/>
      <c r="B521" s="318"/>
      <c r="C521" s="13">
        <v>2</v>
      </c>
      <c r="D521" s="150" t="s">
        <v>837</v>
      </c>
      <c r="E521" s="294"/>
      <c r="F521" s="302"/>
      <c r="G521" s="302"/>
      <c r="H521" s="298"/>
      <c r="I521" s="298"/>
      <c r="J521" s="298"/>
      <c r="K521" s="298"/>
      <c r="L521" s="355"/>
      <c r="M521" s="355"/>
    </row>
    <row r="522" spans="1:13" x14ac:dyDescent="0.25">
      <c r="A522" s="340"/>
      <c r="B522" s="318"/>
      <c r="C522" s="13">
        <v>1</v>
      </c>
      <c r="D522" s="371" t="s">
        <v>655</v>
      </c>
      <c r="E522" s="294"/>
      <c r="F522" s="302"/>
      <c r="G522" s="302"/>
      <c r="H522" s="298"/>
      <c r="I522" s="298"/>
      <c r="J522" s="298"/>
      <c r="K522" s="298"/>
      <c r="L522" s="355"/>
      <c r="M522" s="355"/>
    </row>
    <row r="523" spans="1:13" x14ac:dyDescent="0.25">
      <c r="A523" s="340"/>
      <c r="B523" s="318"/>
      <c r="C523" s="13">
        <v>0</v>
      </c>
      <c r="D523" s="372"/>
      <c r="E523" s="294"/>
      <c r="F523" s="302"/>
      <c r="G523" s="302"/>
      <c r="H523" s="298"/>
      <c r="I523" s="298"/>
      <c r="J523" s="298"/>
      <c r="K523" s="299"/>
      <c r="L523" s="355"/>
      <c r="M523" s="355"/>
    </row>
    <row r="524" spans="1:13" ht="45" customHeight="1" x14ac:dyDescent="0.25">
      <c r="A524" s="340"/>
      <c r="B524" s="318"/>
      <c r="C524" s="291" t="s">
        <v>838</v>
      </c>
      <c r="D524" s="291"/>
      <c r="E524" s="294" t="s">
        <v>1035</v>
      </c>
      <c r="F524" s="302"/>
      <c r="G524" s="302"/>
      <c r="H524" s="298"/>
      <c r="I524" s="298"/>
      <c r="J524" s="298"/>
      <c r="K524" s="10">
        <v>0</v>
      </c>
      <c r="L524" s="355"/>
      <c r="M524" s="355"/>
    </row>
    <row r="525" spans="1:13" ht="45" x14ac:dyDescent="0.25">
      <c r="A525" s="340"/>
      <c r="B525" s="318"/>
      <c r="C525" s="13">
        <v>4</v>
      </c>
      <c r="D525" s="150" t="s">
        <v>839</v>
      </c>
      <c r="E525" s="294"/>
      <c r="F525" s="302"/>
      <c r="G525" s="302"/>
      <c r="H525" s="298"/>
      <c r="I525" s="298"/>
      <c r="J525" s="298"/>
      <c r="K525" s="297"/>
      <c r="L525" s="355"/>
      <c r="M525" s="355"/>
    </row>
    <row r="526" spans="1:13" ht="45" x14ac:dyDescent="0.25">
      <c r="A526" s="340"/>
      <c r="B526" s="318"/>
      <c r="C526" s="13">
        <v>3</v>
      </c>
      <c r="D526" s="150" t="s">
        <v>840</v>
      </c>
      <c r="E526" s="294"/>
      <c r="F526" s="302"/>
      <c r="G526" s="302"/>
      <c r="H526" s="298"/>
      <c r="I526" s="298"/>
      <c r="J526" s="298"/>
      <c r="K526" s="298"/>
      <c r="L526" s="355"/>
      <c r="M526" s="355"/>
    </row>
    <row r="527" spans="1:13" ht="45" x14ac:dyDescent="0.25">
      <c r="A527" s="340"/>
      <c r="B527" s="318"/>
      <c r="C527" s="13">
        <v>2</v>
      </c>
      <c r="D527" s="150" t="s">
        <v>841</v>
      </c>
      <c r="E527" s="294"/>
      <c r="F527" s="302"/>
      <c r="G527" s="302"/>
      <c r="H527" s="298"/>
      <c r="I527" s="298"/>
      <c r="J527" s="298"/>
      <c r="K527" s="298"/>
      <c r="L527" s="355"/>
      <c r="M527" s="355"/>
    </row>
    <row r="528" spans="1:13" ht="45" x14ac:dyDescent="0.25">
      <c r="A528" s="340"/>
      <c r="B528" s="318"/>
      <c r="C528" s="13">
        <v>1</v>
      </c>
      <c r="D528" s="150" t="s">
        <v>842</v>
      </c>
      <c r="E528" s="294"/>
      <c r="F528" s="302"/>
      <c r="G528" s="302"/>
      <c r="H528" s="298"/>
      <c r="I528" s="298"/>
      <c r="J528" s="298"/>
      <c r="K528" s="298"/>
      <c r="L528" s="355"/>
      <c r="M528" s="355"/>
    </row>
    <row r="529" spans="1:13" ht="45" x14ac:dyDescent="0.25">
      <c r="A529" s="340"/>
      <c r="B529" s="318"/>
      <c r="C529" s="13">
        <v>0</v>
      </c>
      <c r="D529" s="150" t="s">
        <v>843</v>
      </c>
      <c r="E529" s="294"/>
      <c r="F529" s="303"/>
      <c r="G529" s="303"/>
      <c r="H529" s="299"/>
      <c r="I529" s="299"/>
      <c r="J529" s="299"/>
      <c r="K529" s="299"/>
      <c r="L529" s="355"/>
      <c r="M529" s="355"/>
    </row>
    <row r="530" spans="1:13" x14ac:dyDescent="0.25">
      <c r="A530" s="340"/>
      <c r="B530" s="319"/>
      <c r="C530" s="304" t="s">
        <v>844</v>
      </c>
      <c r="D530" s="304"/>
      <c r="E530" s="304"/>
      <c r="F530" s="304"/>
      <c r="G530" s="183"/>
      <c r="H530" s="183"/>
      <c r="I530" s="183"/>
      <c r="J530" s="183"/>
      <c r="K530" s="11">
        <f>IF(OR(ISBLANK(K500),K500&lt;0,K500&gt;4,ISBLANK(K524),K524&lt;0,K524&gt;4),0,(K500+2*K506+2*K512+2*K518+2*K524)/9)</f>
        <v>0</v>
      </c>
      <c r="L530" s="356"/>
      <c r="M530" s="356"/>
    </row>
    <row r="532" spans="1:13" ht="30" customHeight="1" x14ac:dyDescent="0.25">
      <c r="A532" s="340">
        <v>42</v>
      </c>
      <c r="B532" s="315"/>
      <c r="C532" s="291" t="s">
        <v>845</v>
      </c>
      <c r="D532" s="291"/>
      <c r="E532" s="294" t="s">
        <v>1036</v>
      </c>
      <c r="F532" s="300" t="s">
        <v>993</v>
      </c>
      <c r="G532" s="300" t="s">
        <v>994</v>
      </c>
      <c r="H532" s="203" t="s">
        <v>964</v>
      </c>
      <c r="I532" s="203">
        <v>1</v>
      </c>
      <c r="J532" s="212" t="str">
        <f>IF((IF(OR((H532&amp;"."&amp;I532)=$R$8,(H532&amp;"."&amp;I532)=$S$8,(H532&amp;"."&amp;I532)=$T$8,(H532&amp;"."&amp;I532)=$U$8,(H532&amp;"."&amp;I532)=$V$8,(H532&amp;"."&amp;I532)=$W$8),1,0))=1,"EKSTREM",IF((IF(OR((H532&amp;"."&amp;I532)=$R$9,(H532&amp;"."&amp;I532)=$S$9,(H532&amp;"."&amp;I532)=$T$9,(H532&amp;"."&amp;I532)=$U$9,(H532&amp;"."&amp;I532)=$V$9,(H532&amp;"."&amp;I532)=$W$9,(H532&amp;"."&amp;I532)=$X$9),1,0))=1,"TINGGI",IF((IF(OR((H532&amp;"."&amp;I532)=$R$10,(H532&amp;"."&amp;I532)=$S$10,(H532&amp;"."&amp;I532)=$T$10,(H532&amp;"."&amp;I532)=$U$10,(H532&amp;"."&amp;I532)=$V$10,(H532&amp;"."&amp;I532)=$W$10),1,0))=1,"MODERAT",IF((IF(OR((H532&amp;"."&amp;I532)=$R$11,(H532&amp;"."&amp;I532)=$S$11,(H532&amp;"."&amp;I532)=$T$11,(H532&amp;"."&amp;I532)=$U$11,(H532&amp;"."&amp;I532)=$V$11,(H532&amp;"."&amp;I532)=$W$11),1,0))=1,"RENDAH","-"))))</f>
        <v>RENDAH</v>
      </c>
      <c r="K532" s="7"/>
      <c r="L532" s="326" t="s">
        <v>1078</v>
      </c>
      <c r="M532" s="326" t="s">
        <v>1079</v>
      </c>
    </row>
    <row r="533" spans="1:13" ht="30" customHeight="1" x14ac:dyDescent="0.25">
      <c r="A533" s="340"/>
      <c r="B533" s="315"/>
      <c r="C533" s="294" t="s">
        <v>297</v>
      </c>
      <c r="D533" s="294"/>
      <c r="E533" s="294"/>
      <c r="F533" s="300"/>
      <c r="G533" s="300"/>
      <c r="H533" s="297"/>
      <c r="I533" s="297"/>
      <c r="J533" s="297"/>
      <c r="K533" s="96">
        <f>'Isian Prodi'!B130</f>
        <v>0</v>
      </c>
      <c r="L533" s="326"/>
      <c r="M533" s="326"/>
    </row>
    <row r="534" spans="1:13" x14ac:dyDescent="0.25">
      <c r="A534" s="340"/>
      <c r="B534" s="315"/>
      <c r="C534" s="327" t="s">
        <v>298</v>
      </c>
      <c r="D534" s="327"/>
      <c r="E534" s="294"/>
      <c r="F534" s="300"/>
      <c r="G534" s="300"/>
      <c r="H534" s="298"/>
      <c r="I534" s="298"/>
      <c r="J534" s="298"/>
      <c r="K534" s="96">
        <f>'Isian Prodi'!B131</f>
        <v>0</v>
      </c>
      <c r="L534" s="326"/>
      <c r="M534" s="326"/>
    </row>
    <row r="535" spans="1:13" x14ac:dyDescent="0.25">
      <c r="A535" s="340"/>
      <c r="B535" s="315"/>
      <c r="C535" s="327" t="s">
        <v>301</v>
      </c>
      <c r="D535" s="327"/>
      <c r="E535" s="294"/>
      <c r="F535" s="300"/>
      <c r="G535" s="300"/>
      <c r="H535" s="299"/>
      <c r="I535" s="299"/>
      <c r="J535" s="299"/>
      <c r="K535" s="97">
        <f>IF(K534&gt;0,K533/K534,0)</f>
        <v>0</v>
      </c>
      <c r="L535" s="326"/>
      <c r="M535" s="326"/>
    </row>
    <row r="536" spans="1:13" x14ac:dyDescent="0.25">
      <c r="A536" s="340"/>
      <c r="B536" s="315"/>
      <c r="C536" s="304" t="s">
        <v>7</v>
      </c>
      <c r="D536" s="304"/>
      <c r="E536" s="304"/>
      <c r="F536" s="304"/>
      <c r="G536" s="183"/>
      <c r="H536" s="183"/>
      <c r="I536" s="183"/>
      <c r="J536" s="183"/>
      <c r="K536" s="96">
        <f>IF((IF(K535&gt;=20%,4,20*K535))&lt;=4,IF(K535&gt;=20%,4,20*K535),4)</f>
        <v>0</v>
      </c>
      <c r="L536" s="326"/>
      <c r="M536" s="326"/>
    </row>
    <row r="537" spans="1:13" ht="15.75" thickBot="1" x14ac:dyDescent="0.3"/>
    <row r="538" spans="1:13" ht="60" customHeight="1" x14ac:dyDescent="0.25">
      <c r="A538" s="370">
        <v>43</v>
      </c>
      <c r="B538" s="320" t="s">
        <v>846</v>
      </c>
      <c r="C538" s="291" t="s">
        <v>847</v>
      </c>
      <c r="D538" s="291"/>
      <c r="E538" s="294" t="s">
        <v>1037</v>
      </c>
      <c r="F538" s="300" t="s">
        <v>993</v>
      </c>
      <c r="G538" s="300" t="s">
        <v>994</v>
      </c>
      <c r="H538" s="203" t="s">
        <v>964</v>
      </c>
      <c r="I538" s="203">
        <v>1</v>
      </c>
      <c r="J538" s="212" t="str">
        <f>IF((IF(OR((H538&amp;"."&amp;I538)=$R$8,(H538&amp;"."&amp;I538)=$S$8,(H538&amp;"."&amp;I538)=$T$8,(H538&amp;"."&amp;I538)=$U$8,(H538&amp;"."&amp;I538)=$V$8,(H538&amp;"."&amp;I538)=$W$8),1,0))=1,"EKSTREM",IF((IF(OR((H538&amp;"."&amp;I538)=$R$9,(H538&amp;"."&amp;I538)=$S$9,(H538&amp;"."&amp;I538)=$T$9,(H538&amp;"."&amp;I538)=$U$9,(H538&amp;"."&amp;I538)=$V$9,(H538&amp;"."&amp;I538)=$W$9,(H538&amp;"."&amp;I538)=$X$9),1,0))=1,"TINGGI",IF((IF(OR((H538&amp;"."&amp;I538)=$R$10,(H538&amp;"."&amp;I538)=$S$10,(H538&amp;"."&amp;I538)=$T$10,(H538&amp;"."&amp;I538)=$U$10,(H538&amp;"."&amp;I538)=$V$10,(H538&amp;"."&amp;I538)=$W$10),1,0))=1,"MODERAT",IF((IF(OR((H538&amp;"."&amp;I538)=$R$11,(H538&amp;"."&amp;I538)=$S$11,(H538&amp;"."&amp;I538)=$T$11,(H538&amp;"."&amp;I538)=$U$11,(H538&amp;"."&amp;I538)=$V$11,(H538&amp;"."&amp;I538)=$W$11),1,0))=1,"RENDAH","-"))))</f>
        <v>RENDAH</v>
      </c>
      <c r="K538" s="10">
        <v>0</v>
      </c>
      <c r="L538" s="326" t="s">
        <v>1078</v>
      </c>
      <c r="M538" s="326" t="s">
        <v>1079</v>
      </c>
    </row>
    <row r="539" spans="1:13" ht="75" x14ac:dyDescent="0.25">
      <c r="A539" s="370"/>
      <c r="B539" s="318"/>
      <c r="C539" s="13">
        <v>4</v>
      </c>
      <c r="D539" s="174" t="s">
        <v>848</v>
      </c>
      <c r="E539" s="294"/>
      <c r="F539" s="300"/>
      <c r="G539" s="300"/>
      <c r="H539" s="297"/>
      <c r="I539" s="297"/>
      <c r="J539" s="297"/>
      <c r="K539" s="297"/>
      <c r="L539" s="326"/>
      <c r="M539" s="326"/>
    </row>
    <row r="540" spans="1:13" ht="75" x14ac:dyDescent="0.25">
      <c r="A540" s="370"/>
      <c r="B540" s="318"/>
      <c r="C540" s="13">
        <v>3</v>
      </c>
      <c r="D540" s="174" t="s">
        <v>849</v>
      </c>
      <c r="E540" s="294"/>
      <c r="F540" s="300"/>
      <c r="G540" s="300"/>
      <c r="H540" s="298"/>
      <c r="I540" s="298"/>
      <c r="J540" s="298"/>
      <c r="K540" s="298"/>
      <c r="L540" s="326"/>
      <c r="M540" s="326"/>
    </row>
    <row r="541" spans="1:13" ht="60" x14ac:dyDescent="0.25">
      <c r="A541" s="370"/>
      <c r="B541" s="318"/>
      <c r="C541" s="13">
        <v>2</v>
      </c>
      <c r="D541" s="174" t="s">
        <v>850</v>
      </c>
      <c r="E541" s="294"/>
      <c r="F541" s="300"/>
      <c r="G541" s="300"/>
      <c r="H541" s="298"/>
      <c r="I541" s="298"/>
      <c r="J541" s="298"/>
      <c r="K541" s="298"/>
      <c r="L541" s="326"/>
      <c r="M541" s="326"/>
    </row>
    <row r="542" spans="1:13" ht="60" x14ac:dyDescent="0.25">
      <c r="A542" s="370"/>
      <c r="B542" s="318"/>
      <c r="C542" s="13">
        <v>1</v>
      </c>
      <c r="D542" s="174" t="s">
        <v>851</v>
      </c>
      <c r="E542" s="294"/>
      <c r="F542" s="300"/>
      <c r="G542" s="300"/>
      <c r="H542" s="298"/>
      <c r="I542" s="298"/>
      <c r="J542" s="298"/>
      <c r="K542" s="298"/>
      <c r="L542" s="326"/>
      <c r="M542" s="326"/>
    </row>
    <row r="543" spans="1:13" ht="60" x14ac:dyDescent="0.25">
      <c r="A543" s="370"/>
      <c r="B543" s="318"/>
      <c r="C543" s="13">
        <v>0</v>
      </c>
      <c r="D543" s="174" t="s">
        <v>852</v>
      </c>
      <c r="E543" s="294"/>
      <c r="F543" s="300"/>
      <c r="G543" s="300"/>
      <c r="H543" s="299"/>
      <c r="I543" s="299"/>
      <c r="J543" s="299"/>
      <c r="K543" s="299"/>
      <c r="L543" s="326"/>
      <c r="M543" s="326"/>
    </row>
    <row r="544" spans="1:13" ht="15.75" thickBot="1" x14ac:dyDescent="0.3">
      <c r="A544" s="370"/>
      <c r="B544" s="321"/>
      <c r="C544" s="304" t="s">
        <v>7</v>
      </c>
      <c r="D544" s="304"/>
      <c r="E544" s="304"/>
      <c r="F544" s="304"/>
      <c r="G544" s="183"/>
      <c r="H544" s="183"/>
      <c r="I544" s="183"/>
      <c r="J544" s="183"/>
      <c r="K544" s="11">
        <f>IF(OR(ISBLANK(K538),K538&lt;0,K538&gt;4),0,K538)</f>
        <v>0</v>
      </c>
      <c r="L544" s="326"/>
      <c r="M544" s="326"/>
    </row>
    <row r="546" spans="1:13" ht="75" customHeight="1" x14ac:dyDescent="0.25">
      <c r="A546" s="345">
        <v>44</v>
      </c>
      <c r="B546" s="369" t="s">
        <v>853</v>
      </c>
      <c r="C546" s="291" t="s">
        <v>854</v>
      </c>
      <c r="D546" s="291"/>
      <c r="E546" s="294" t="s">
        <v>1038</v>
      </c>
      <c r="F546" s="301" t="s">
        <v>993</v>
      </c>
      <c r="G546" s="301" t="s">
        <v>994</v>
      </c>
      <c r="H546" s="203" t="s">
        <v>964</v>
      </c>
      <c r="I546" s="203">
        <v>1</v>
      </c>
      <c r="J546" s="212" t="str">
        <f>IF((IF(OR((H546&amp;"."&amp;I546)=$R$8,(H546&amp;"."&amp;I546)=$S$8,(H546&amp;"."&amp;I546)=$T$8,(H546&amp;"."&amp;I546)=$U$8,(H546&amp;"."&amp;I546)=$V$8,(H546&amp;"."&amp;I546)=$W$8),1,0))=1,"EKSTREM",IF((IF(OR((H546&amp;"."&amp;I546)=$R$9,(H546&amp;"."&amp;I546)=$S$9,(H546&amp;"."&amp;I546)=$T$9,(H546&amp;"."&amp;I546)=$U$9,(H546&amp;"."&amp;I546)=$V$9,(H546&amp;"."&amp;I546)=$W$9,(H546&amp;"."&amp;I546)=$X$9),1,0))=1,"TINGGI",IF((IF(OR((H546&amp;"."&amp;I546)=$R$10,(H546&amp;"."&amp;I546)=$S$10,(H546&amp;"."&amp;I546)=$T$10,(H546&amp;"."&amp;I546)=$U$10,(H546&amp;"."&amp;I546)=$V$10,(H546&amp;"."&amp;I546)=$W$10),1,0))=1,"MODERAT",IF((IF(OR((H546&amp;"."&amp;I546)=$R$11,(H546&amp;"."&amp;I546)=$S$11,(H546&amp;"."&amp;I546)=$T$11,(H546&amp;"."&amp;I546)=$U$11,(H546&amp;"."&amp;I546)=$V$11,(H546&amp;"."&amp;I546)=$W$11),1,0))=1,"RENDAH","-"))))</f>
        <v>RENDAH</v>
      </c>
      <c r="K546" s="10">
        <v>0</v>
      </c>
      <c r="L546" s="354" t="s">
        <v>1078</v>
      </c>
      <c r="M546" s="354" t="s">
        <v>1079</v>
      </c>
    </row>
    <row r="547" spans="1:13" ht="45" x14ac:dyDescent="0.25">
      <c r="A547" s="346"/>
      <c r="B547" s="369"/>
      <c r="C547" s="13">
        <v>4</v>
      </c>
      <c r="D547" s="94" t="s">
        <v>302</v>
      </c>
      <c r="E547" s="294"/>
      <c r="F547" s="302"/>
      <c r="G547" s="302"/>
      <c r="H547" s="297"/>
      <c r="I547" s="297"/>
      <c r="J547" s="297"/>
      <c r="K547" s="297"/>
      <c r="L547" s="355"/>
      <c r="M547" s="355"/>
    </row>
    <row r="548" spans="1:13" ht="45" x14ac:dyDescent="0.25">
      <c r="A548" s="346"/>
      <c r="B548" s="369"/>
      <c r="C548" s="13">
        <v>3</v>
      </c>
      <c r="D548" s="94" t="s">
        <v>303</v>
      </c>
      <c r="E548" s="294"/>
      <c r="F548" s="302"/>
      <c r="G548" s="302"/>
      <c r="H548" s="298"/>
      <c r="I548" s="298"/>
      <c r="J548" s="298"/>
      <c r="K548" s="298"/>
      <c r="L548" s="355"/>
      <c r="M548" s="355"/>
    </row>
    <row r="549" spans="1:13" ht="30" x14ac:dyDescent="0.25">
      <c r="A549" s="346"/>
      <c r="B549" s="369"/>
      <c r="C549" s="13">
        <v>2</v>
      </c>
      <c r="D549" s="94" t="s">
        <v>304</v>
      </c>
      <c r="E549" s="294"/>
      <c r="F549" s="302"/>
      <c r="G549" s="302"/>
      <c r="H549" s="298"/>
      <c r="I549" s="298"/>
      <c r="J549" s="298"/>
      <c r="K549" s="298"/>
      <c r="L549" s="355"/>
      <c r="M549" s="355"/>
    </row>
    <row r="550" spans="1:13" ht="30" x14ac:dyDescent="0.25">
      <c r="A550" s="346"/>
      <c r="B550" s="369"/>
      <c r="C550" s="13">
        <v>1</v>
      </c>
      <c r="D550" s="94" t="s">
        <v>305</v>
      </c>
      <c r="E550" s="294"/>
      <c r="F550" s="302"/>
      <c r="G550" s="302"/>
      <c r="H550" s="298"/>
      <c r="I550" s="298"/>
      <c r="J550" s="298"/>
      <c r="K550" s="298"/>
      <c r="L550" s="355"/>
      <c r="M550" s="355"/>
    </row>
    <row r="551" spans="1:13" ht="30" x14ac:dyDescent="0.25">
      <c r="A551" s="346"/>
      <c r="B551" s="369"/>
      <c r="C551" s="13">
        <v>0</v>
      </c>
      <c r="D551" s="94" t="s">
        <v>306</v>
      </c>
      <c r="E551" s="294"/>
      <c r="F551" s="302"/>
      <c r="G551" s="302"/>
      <c r="H551" s="298"/>
      <c r="I551" s="298"/>
      <c r="J551" s="298"/>
      <c r="K551" s="299"/>
      <c r="L551" s="355"/>
      <c r="M551" s="355"/>
    </row>
    <row r="552" spans="1:13" ht="90" customHeight="1" x14ac:dyDescent="0.25">
      <c r="A552" s="346"/>
      <c r="B552" s="369"/>
      <c r="C552" s="291" t="s">
        <v>855</v>
      </c>
      <c r="D552" s="291"/>
      <c r="E552" s="294" t="s">
        <v>1039</v>
      </c>
      <c r="F552" s="302"/>
      <c r="G552" s="302"/>
      <c r="H552" s="298"/>
      <c r="I552" s="298"/>
      <c r="J552" s="298"/>
      <c r="K552" s="10">
        <v>0</v>
      </c>
      <c r="L552" s="355"/>
      <c r="M552" s="355"/>
    </row>
    <row r="553" spans="1:13" ht="45" x14ac:dyDescent="0.25">
      <c r="A553" s="346"/>
      <c r="B553" s="369"/>
      <c r="C553" s="13">
        <v>4</v>
      </c>
      <c r="D553" s="150" t="s">
        <v>856</v>
      </c>
      <c r="E553" s="294"/>
      <c r="F553" s="302"/>
      <c r="G553" s="302"/>
      <c r="H553" s="298"/>
      <c r="I553" s="298"/>
      <c r="J553" s="298"/>
      <c r="K553" s="297"/>
      <c r="L553" s="355"/>
      <c r="M553" s="355"/>
    </row>
    <row r="554" spans="1:13" ht="45" x14ac:dyDescent="0.25">
      <c r="A554" s="346"/>
      <c r="B554" s="369"/>
      <c r="C554" s="13">
        <v>3</v>
      </c>
      <c r="D554" s="150" t="s">
        <v>857</v>
      </c>
      <c r="E554" s="294"/>
      <c r="F554" s="302"/>
      <c r="G554" s="302"/>
      <c r="H554" s="298"/>
      <c r="I554" s="298"/>
      <c r="J554" s="298"/>
      <c r="K554" s="298"/>
      <c r="L554" s="355"/>
      <c r="M554" s="355"/>
    </row>
    <row r="555" spans="1:13" ht="45" x14ac:dyDescent="0.25">
      <c r="A555" s="346"/>
      <c r="B555" s="369"/>
      <c r="C555" s="13">
        <v>2</v>
      </c>
      <c r="D555" s="150" t="s">
        <v>858</v>
      </c>
      <c r="E555" s="294"/>
      <c r="F555" s="302"/>
      <c r="G555" s="302"/>
      <c r="H555" s="298"/>
      <c r="I555" s="298"/>
      <c r="J555" s="298"/>
      <c r="K555" s="298"/>
      <c r="L555" s="355"/>
      <c r="M555" s="355"/>
    </row>
    <row r="556" spans="1:13" ht="45" x14ac:dyDescent="0.25">
      <c r="A556" s="346"/>
      <c r="B556" s="369"/>
      <c r="C556" s="13">
        <v>1</v>
      </c>
      <c r="D556" s="150" t="s">
        <v>859</v>
      </c>
      <c r="E556" s="294"/>
      <c r="F556" s="302"/>
      <c r="G556" s="302"/>
      <c r="H556" s="298"/>
      <c r="I556" s="298"/>
      <c r="J556" s="298"/>
      <c r="K556" s="298"/>
      <c r="L556" s="355"/>
      <c r="M556" s="355"/>
    </row>
    <row r="557" spans="1:13" ht="45" x14ac:dyDescent="0.25">
      <c r="A557" s="346"/>
      <c r="B557" s="369"/>
      <c r="C557" s="13">
        <v>0</v>
      </c>
      <c r="D557" s="150" t="s">
        <v>307</v>
      </c>
      <c r="E557" s="294"/>
      <c r="F557" s="302"/>
      <c r="G557" s="302"/>
      <c r="H557" s="298"/>
      <c r="I557" s="298"/>
      <c r="J557" s="298"/>
      <c r="K557" s="299"/>
      <c r="L557" s="355"/>
      <c r="M557" s="355"/>
    </row>
    <row r="558" spans="1:13" ht="180.75" customHeight="1" x14ac:dyDescent="0.25">
      <c r="A558" s="346"/>
      <c r="B558" s="369"/>
      <c r="C558" s="291" t="s">
        <v>860</v>
      </c>
      <c r="D558" s="291"/>
      <c r="E558" s="294" t="s">
        <v>1040</v>
      </c>
      <c r="F558" s="302"/>
      <c r="G558" s="302"/>
      <c r="H558" s="298"/>
      <c r="I558" s="298"/>
      <c r="J558" s="298"/>
      <c r="K558" s="10">
        <v>0</v>
      </c>
      <c r="L558" s="355"/>
      <c r="M558" s="355"/>
    </row>
    <row r="559" spans="1:13" x14ac:dyDescent="0.25">
      <c r="A559" s="346"/>
      <c r="B559" s="369"/>
      <c r="C559" s="13">
        <v>4</v>
      </c>
      <c r="D559" s="94" t="s">
        <v>308</v>
      </c>
      <c r="E559" s="294"/>
      <c r="F559" s="302"/>
      <c r="G559" s="302"/>
      <c r="H559" s="298"/>
      <c r="I559" s="298"/>
      <c r="J559" s="298"/>
      <c r="K559" s="297"/>
      <c r="L559" s="355"/>
      <c r="M559" s="355"/>
    </row>
    <row r="560" spans="1:13" ht="30" x14ac:dyDescent="0.25">
      <c r="A560" s="346"/>
      <c r="B560" s="369"/>
      <c r="C560" s="13">
        <v>3</v>
      </c>
      <c r="D560" s="94" t="s">
        <v>309</v>
      </c>
      <c r="E560" s="294"/>
      <c r="F560" s="302"/>
      <c r="G560" s="302"/>
      <c r="H560" s="298"/>
      <c r="I560" s="298"/>
      <c r="J560" s="298"/>
      <c r="K560" s="298"/>
      <c r="L560" s="355"/>
      <c r="M560" s="355"/>
    </row>
    <row r="561" spans="1:13" ht="30" x14ac:dyDescent="0.25">
      <c r="A561" s="346"/>
      <c r="B561" s="369"/>
      <c r="C561" s="13">
        <v>2</v>
      </c>
      <c r="D561" s="94" t="s">
        <v>310</v>
      </c>
      <c r="E561" s="294"/>
      <c r="F561" s="302"/>
      <c r="G561" s="302"/>
      <c r="H561" s="298"/>
      <c r="I561" s="298"/>
      <c r="J561" s="298"/>
      <c r="K561" s="298"/>
      <c r="L561" s="355"/>
      <c r="M561" s="355"/>
    </row>
    <row r="562" spans="1:13" ht="30" x14ac:dyDescent="0.25">
      <c r="A562" s="346"/>
      <c r="B562" s="369"/>
      <c r="C562" s="13">
        <v>1</v>
      </c>
      <c r="D562" s="94" t="s">
        <v>311</v>
      </c>
      <c r="E562" s="294"/>
      <c r="F562" s="302"/>
      <c r="G562" s="302"/>
      <c r="H562" s="298"/>
      <c r="I562" s="298"/>
      <c r="J562" s="298"/>
      <c r="K562" s="298"/>
      <c r="L562" s="355"/>
      <c r="M562" s="355"/>
    </row>
    <row r="563" spans="1:13" x14ac:dyDescent="0.25">
      <c r="A563" s="346"/>
      <c r="B563" s="369"/>
      <c r="C563" s="13">
        <v>0</v>
      </c>
      <c r="D563" s="94" t="s">
        <v>8</v>
      </c>
      <c r="E563" s="294"/>
      <c r="F563" s="303"/>
      <c r="G563" s="303"/>
      <c r="H563" s="299"/>
      <c r="I563" s="299"/>
      <c r="J563" s="299"/>
      <c r="K563" s="299"/>
      <c r="L563" s="355"/>
      <c r="M563" s="355"/>
    </row>
    <row r="564" spans="1:13" x14ac:dyDescent="0.25">
      <c r="A564" s="347"/>
      <c r="B564" s="369"/>
      <c r="C564" s="304" t="s">
        <v>291</v>
      </c>
      <c r="D564" s="304"/>
      <c r="E564" s="304"/>
      <c r="F564" s="304"/>
      <c r="G564" s="183"/>
      <c r="H564" s="183"/>
      <c r="I564" s="183"/>
      <c r="J564" s="183"/>
      <c r="K564" s="11">
        <f>IF(OR(ISBLANK(K546),K546&lt;0,K546&gt;4,ISBLANK(K552),K552&lt;0,K552&gt;4,ISBLANK(K558),K558&lt;0,K558&gt;4),0,(K546+2*K552+2*K558)/5)</f>
        <v>0</v>
      </c>
      <c r="L564" s="356"/>
      <c r="M564" s="356"/>
    </row>
    <row r="565" spans="1:13" x14ac:dyDescent="0.25">
      <c r="B565" s="201"/>
    </row>
    <row r="566" spans="1:13" ht="60" customHeight="1" x14ac:dyDescent="0.25">
      <c r="A566" s="340">
        <v>45</v>
      </c>
      <c r="B566" s="369" t="s">
        <v>861</v>
      </c>
      <c r="C566" s="291" t="s">
        <v>863</v>
      </c>
      <c r="D566" s="291"/>
      <c r="E566" s="294" t="s">
        <v>1041</v>
      </c>
      <c r="F566" s="300" t="s">
        <v>993</v>
      </c>
      <c r="G566" s="300" t="s">
        <v>994</v>
      </c>
      <c r="H566" s="203" t="s">
        <v>964</v>
      </c>
      <c r="I566" s="203">
        <v>1</v>
      </c>
      <c r="J566" s="212" t="str">
        <f>IF((IF(OR((H566&amp;"."&amp;I566)=$R$8,(H566&amp;"."&amp;I566)=$S$8,(H566&amp;"."&amp;I566)=$T$8,(H566&amp;"."&amp;I566)=$U$8,(H566&amp;"."&amp;I566)=$V$8,(H566&amp;"."&amp;I566)=$W$8),1,0))=1,"EKSTREM",IF((IF(OR((H566&amp;"."&amp;I566)=$R$9,(H566&amp;"."&amp;I566)=$S$9,(H566&amp;"."&amp;I566)=$T$9,(H566&amp;"."&amp;I566)=$U$9,(H566&amp;"."&amp;I566)=$V$9,(H566&amp;"."&amp;I566)=$W$9,(H566&amp;"."&amp;I566)=$X$9),1,0))=1,"TINGGI",IF((IF(OR((H566&amp;"."&amp;I566)=$R$10,(H566&amp;"."&amp;I566)=$S$10,(H566&amp;"."&amp;I566)=$T$10,(H566&amp;"."&amp;I566)=$U$10,(H566&amp;"."&amp;I566)=$V$10,(H566&amp;"."&amp;I566)=$W$10),1,0))=1,"MODERAT",IF((IF(OR((H566&amp;"."&amp;I566)=$R$11,(H566&amp;"."&amp;I566)=$S$11,(H566&amp;"."&amp;I566)=$T$11,(H566&amp;"."&amp;I566)=$U$11,(H566&amp;"."&amp;I566)=$V$11,(H566&amp;"."&amp;I566)=$W$11),1,0))=1,"RENDAH","-"))))</f>
        <v>RENDAH</v>
      </c>
      <c r="K566" s="7"/>
      <c r="L566" s="326" t="s">
        <v>1078</v>
      </c>
      <c r="M566" s="326" t="s">
        <v>1079</v>
      </c>
    </row>
    <row r="567" spans="1:13" ht="30" customHeight="1" x14ac:dyDescent="0.25">
      <c r="A567" s="340"/>
      <c r="B567" s="369"/>
      <c r="C567" s="305" t="s">
        <v>862</v>
      </c>
      <c r="D567" s="306"/>
      <c r="E567" s="294"/>
      <c r="F567" s="300"/>
      <c r="G567" s="300"/>
      <c r="H567" s="7"/>
      <c r="I567" s="7"/>
      <c r="J567" s="7"/>
      <c r="K567" s="96">
        <f>'Isian Prodi'!B132</f>
        <v>0</v>
      </c>
      <c r="L567" s="326"/>
      <c r="M567" s="326"/>
    </row>
    <row r="568" spans="1:13" ht="30" customHeight="1" x14ac:dyDescent="0.25">
      <c r="A568" s="340"/>
      <c r="B568" s="369"/>
      <c r="C568" s="391" t="s">
        <v>7</v>
      </c>
      <c r="D568" s="391"/>
      <c r="E568" s="391"/>
      <c r="F568" s="391"/>
      <c r="G568" s="183"/>
      <c r="H568" s="183"/>
      <c r="I568" s="183"/>
      <c r="J568" s="183"/>
      <c r="K568" s="96">
        <f>IF(K567&gt;3,4,IF(K567&gt;=2,3,2))</f>
        <v>2</v>
      </c>
      <c r="L568" s="326"/>
      <c r="M568" s="326"/>
    </row>
    <row r="569" spans="1:13" x14ac:dyDescent="0.25">
      <c r="B569" s="201"/>
    </row>
    <row r="570" spans="1:13" ht="60" customHeight="1" x14ac:dyDescent="0.25">
      <c r="A570" s="340">
        <v>46</v>
      </c>
      <c r="B570" s="369" t="s">
        <v>864</v>
      </c>
      <c r="C570" s="291" t="s">
        <v>865</v>
      </c>
      <c r="D570" s="291"/>
      <c r="E570" s="310" t="s">
        <v>1042</v>
      </c>
      <c r="F570" s="300" t="s">
        <v>993</v>
      </c>
      <c r="G570" s="300" t="s">
        <v>994</v>
      </c>
      <c r="H570" s="203" t="s">
        <v>964</v>
      </c>
      <c r="I570" s="203">
        <v>1</v>
      </c>
      <c r="J570" s="212" t="str">
        <f>IF((IF(OR((H570&amp;"."&amp;I570)=$R$8,(H570&amp;"."&amp;I570)=$S$8,(H570&amp;"."&amp;I570)=$T$8,(H570&amp;"."&amp;I570)=$U$8,(H570&amp;"."&amp;I570)=$V$8,(H570&amp;"."&amp;I570)=$W$8),1,0))=1,"EKSTREM",IF((IF(OR((H570&amp;"."&amp;I570)=$R$9,(H570&amp;"."&amp;I570)=$S$9,(H570&amp;"."&amp;I570)=$T$9,(H570&amp;"."&amp;I570)=$U$9,(H570&amp;"."&amp;I570)=$V$9,(H570&amp;"."&amp;I570)=$W$9,(H570&amp;"."&amp;I570)=$X$9),1,0))=1,"TINGGI",IF((IF(OR((H570&amp;"."&amp;I570)=$R$10,(H570&amp;"."&amp;I570)=$S$10,(H570&amp;"."&amp;I570)=$T$10,(H570&amp;"."&amp;I570)=$U$10,(H570&amp;"."&amp;I570)=$V$10,(H570&amp;"."&amp;I570)=$W$10),1,0))=1,"MODERAT",IF((IF(OR((H570&amp;"."&amp;I570)=$R$11,(H570&amp;"."&amp;I570)=$S$11,(H570&amp;"."&amp;I570)=$T$11,(H570&amp;"."&amp;I570)=$U$11,(H570&amp;"."&amp;I570)=$V$11,(H570&amp;"."&amp;I570)=$W$11),1,0))=1,"RENDAH","-"))))</f>
        <v>RENDAH</v>
      </c>
      <c r="K570" s="10">
        <v>0</v>
      </c>
      <c r="L570" s="326" t="s">
        <v>1078</v>
      </c>
      <c r="M570" s="326" t="s">
        <v>1079</v>
      </c>
    </row>
    <row r="571" spans="1:13" x14ac:dyDescent="0.25">
      <c r="A571" s="340"/>
      <c r="B571" s="369"/>
      <c r="C571" s="13">
        <v>4</v>
      </c>
      <c r="D571" s="174" t="s">
        <v>313</v>
      </c>
      <c r="E571" s="313"/>
      <c r="F571" s="300"/>
      <c r="G571" s="300"/>
      <c r="H571" s="297"/>
      <c r="I571" s="297"/>
      <c r="J571" s="297"/>
      <c r="K571" s="297"/>
      <c r="L571" s="326"/>
      <c r="M571" s="326"/>
    </row>
    <row r="572" spans="1:13" ht="30" x14ac:dyDescent="0.25">
      <c r="A572" s="340"/>
      <c r="B572" s="369"/>
      <c r="C572" s="13">
        <v>3</v>
      </c>
      <c r="D572" s="174" t="s">
        <v>866</v>
      </c>
      <c r="E572" s="313"/>
      <c r="F572" s="300"/>
      <c r="G572" s="300"/>
      <c r="H572" s="298"/>
      <c r="I572" s="298"/>
      <c r="J572" s="298"/>
      <c r="K572" s="298"/>
      <c r="L572" s="326"/>
      <c r="M572" s="326"/>
    </row>
    <row r="573" spans="1:13" ht="30" x14ac:dyDescent="0.25">
      <c r="A573" s="340"/>
      <c r="B573" s="369"/>
      <c r="C573" s="13">
        <v>2</v>
      </c>
      <c r="D573" s="174" t="s">
        <v>867</v>
      </c>
      <c r="E573" s="313"/>
      <c r="F573" s="300"/>
      <c r="G573" s="300"/>
      <c r="H573" s="298"/>
      <c r="I573" s="298"/>
      <c r="J573" s="298"/>
      <c r="K573" s="298"/>
      <c r="L573" s="326"/>
      <c r="M573" s="326"/>
    </row>
    <row r="574" spans="1:13" ht="30" x14ac:dyDescent="0.25">
      <c r="A574" s="340"/>
      <c r="B574" s="369"/>
      <c r="C574" s="13">
        <v>1</v>
      </c>
      <c r="D574" s="174" t="s">
        <v>868</v>
      </c>
      <c r="E574" s="313"/>
      <c r="F574" s="300"/>
      <c r="G574" s="300"/>
      <c r="H574" s="298"/>
      <c r="I574" s="298"/>
      <c r="J574" s="298"/>
      <c r="K574" s="298"/>
      <c r="L574" s="326"/>
      <c r="M574" s="326"/>
    </row>
    <row r="575" spans="1:13" x14ac:dyDescent="0.25">
      <c r="A575" s="340"/>
      <c r="B575" s="369"/>
      <c r="C575" s="13">
        <v>0</v>
      </c>
      <c r="D575" s="174" t="s">
        <v>8</v>
      </c>
      <c r="E575" s="314"/>
      <c r="F575" s="300"/>
      <c r="G575" s="300"/>
      <c r="H575" s="299"/>
      <c r="I575" s="299"/>
      <c r="J575" s="299"/>
      <c r="K575" s="299"/>
      <c r="L575" s="326"/>
      <c r="M575" s="326"/>
    </row>
    <row r="576" spans="1:13" x14ac:dyDescent="0.25">
      <c r="A576" s="340"/>
      <c r="B576" s="369"/>
      <c r="C576" s="304" t="s">
        <v>7</v>
      </c>
      <c r="D576" s="304"/>
      <c r="E576" s="304"/>
      <c r="F576" s="304"/>
      <c r="G576" s="183"/>
      <c r="H576" s="183"/>
      <c r="I576" s="183"/>
      <c r="J576" s="183"/>
      <c r="K576" s="11">
        <f>IF(OR(ISBLANK(K570),K570&lt;0,K570&gt;4),0,K570)</f>
        <v>0</v>
      </c>
      <c r="L576" s="326"/>
      <c r="M576" s="326"/>
    </row>
    <row r="578" spans="1:13" ht="180" customHeight="1" x14ac:dyDescent="0.25">
      <c r="A578" s="340">
        <v>47</v>
      </c>
      <c r="B578" s="317" t="s">
        <v>869</v>
      </c>
      <c r="C578" s="291" t="s">
        <v>870</v>
      </c>
      <c r="D578" s="291"/>
      <c r="E578" s="94" t="s">
        <v>1043</v>
      </c>
      <c r="F578" s="301" t="s">
        <v>993</v>
      </c>
      <c r="G578" s="301" t="s">
        <v>994</v>
      </c>
      <c r="H578" s="203" t="s">
        <v>964</v>
      </c>
      <c r="I578" s="203">
        <v>1</v>
      </c>
      <c r="J578" s="212" t="str">
        <f>IF((IF(OR((H578&amp;"."&amp;I578)=$R$8,(H578&amp;"."&amp;I578)=$S$8,(H578&amp;"."&amp;I578)=$T$8,(H578&amp;"."&amp;I578)=$U$8,(H578&amp;"."&amp;I578)=$V$8,(H578&amp;"."&amp;I578)=$W$8),1,0))=1,"EKSTREM",IF((IF(OR((H578&amp;"."&amp;I578)=$R$9,(H578&amp;"."&amp;I578)=$S$9,(H578&amp;"."&amp;I578)=$T$9,(H578&amp;"."&amp;I578)=$U$9,(H578&amp;"."&amp;I578)=$V$9,(H578&amp;"."&amp;I578)=$W$9,(H578&amp;"."&amp;I578)=$X$9),1,0))=1,"TINGGI",IF((IF(OR((H578&amp;"."&amp;I578)=$R$10,(H578&amp;"."&amp;I578)=$S$10,(H578&amp;"."&amp;I578)=$T$10,(H578&amp;"."&amp;I578)=$U$10,(H578&amp;"."&amp;I578)=$V$10,(H578&amp;"."&amp;I578)=$W$10),1,0))=1,"MODERAT",IF((IF(OR((H578&amp;"."&amp;I578)=$R$11,(H578&amp;"."&amp;I578)=$S$11,(H578&amp;"."&amp;I578)=$T$11,(H578&amp;"."&amp;I578)=$U$11,(H578&amp;"."&amp;I578)=$V$11,(H578&amp;"."&amp;I578)=$W$11),1,0))=1,"RENDAH","-"))))</f>
        <v>RENDAH</v>
      </c>
      <c r="K578" s="7"/>
      <c r="L578" s="410" t="s">
        <v>1078</v>
      </c>
      <c r="M578" s="354" t="s">
        <v>1079</v>
      </c>
    </row>
    <row r="579" spans="1:13" x14ac:dyDescent="0.25">
      <c r="A579" s="340"/>
      <c r="B579" s="318"/>
      <c r="C579" s="304" t="s">
        <v>329</v>
      </c>
      <c r="D579" s="304"/>
      <c r="E579" s="95"/>
      <c r="F579" s="302"/>
      <c r="G579" s="302"/>
      <c r="H579" s="297"/>
      <c r="I579" s="297"/>
      <c r="J579" s="297"/>
      <c r="K579" s="97">
        <f>AVERAGE('Isian Prodi'!B141,'Isian Prodi'!B147,'Isian Prodi'!B153,'Isian Prodi'!B159,'Isian Prodi'!B165)</f>
        <v>0</v>
      </c>
      <c r="L579" s="411"/>
      <c r="M579" s="355"/>
    </row>
    <row r="580" spans="1:13" x14ac:dyDescent="0.25">
      <c r="A580" s="340"/>
      <c r="B580" s="318"/>
      <c r="C580" s="323" t="s">
        <v>110</v>
      </c>
      <c r="D580" s="324"/>
      <c r="E580" s="325"/>
      <c r="F580" s="302"/>
      <c r="G580" s="302"/>
      <c r="H580" s="298"/>
      <c r="I580" s="298"/>
      <c r="J580" s="298"/>
      <c r="K580" s="96">
        <f>IF(K579&gt;=75%,4,IF(K579&gt;=25%,(8*K579)-2,0))</f>
        <v>0</v>
      </c>
      <c r="L580" s="411"/>
      <c r="M580" s="355"/>
    </row>
    <row r="581" spans="1:13" ht="30.75" customHeight="1" x14ac:dyDescent="0.25">
      <c r="A581" s="340"/>
      <c r="B581" s="318"/>
      <c r="C581" s="291" t="s">
        <v>871</v>
      </c>
      <c r="D581" s="291"/>
      <c r="E581" s="294" t="s">
        <v>1044</v>
      </c>
      <c r="F581" s="302"/>
      <c r="G581" s="302"/>
      <c r="H581" s="298"/>
      <c r="I581" s="298"/>
      <c r="J581" s="298"/>
      <c r="K581" s="10">
        <v>0</v>
      </c>
      <c r="L581" s="411"/>
      <c r="M581" s="355"/>
    </row>
    <row r="582" spans="1:13" ht="60" x14ac:dyDescent="0.25">
      <c r="A582" s="340"/>
      <c r="B582" s="318"/>
      <c r="C582" s="13">
        <v>4</v>
      </c>
      <c r="D582" s="94" t="s">
        <v>330</v>
      </c>
      <c r="E582" s="294"/>
      <c r="F582" s="302"/>
      <c r="G582" s="302"/>
      <c r="H582" s="298"/>
      <c r="I582" s="298"/>
      <c r="J582" s="298"/>
      <c r="K582" s="297"/>
      <c r="L582" s="411"/>
      <c r="M582" s="355"/>
    </row>
    <row r="583" spans="1:13" ht="60" x14ac:dyDescent="0.25">
      <c r="A583" s="340"/>
      <c r="B583" s="318"/>
      <c r="C583" s="13">
        <v>3</v>
      </c>
      <c r="D583" s="94" t="s">
        <v>331</v>
      </c>
      <c r="E583" s="294"/>
      <c r="F583" s="302"/>
      <c r="G583" s="302"/>
      <c r="H583" s="298"/>
      <c r="I583" s="298"/>
      <c r="J583" s="298"/>
      <c r="K583" s="298"/>
      <c r="L583" s="411"/>
      <c r="M583" s="355"/>
    </row>
    <row r="584" spans="1:13" ht="30" x14ac:dyDescent="0.25">
      <c r="A584" s="340"/>
      <c r="B584" s="318"/>
      <c r="C584" s="13">
        <v>2</v>
      </c>
      <c r="D584" s="94" t="s">
        <v>332</v>
      </c>
      <c r="E584" s="294"/>
      <c r="F584" s="302"/>
      <c r="G584" s="302"/>
      <c r="H584" s="298"/>
      <c r="I584" s="298"/>
      <c r="J584" s="298"/>
      <c r="K584" s="298"/>
      <c r="L584" s="411"/>
      <c r="M584" s="355"/>
    </row>
    <row r="585" spans="1:13" ht="45" x14ac:dyDescent="0.25">
      <c r="A585" s="340"/>
      <c r="B585" s="318"/>
      <c r="C585" s="13">
        <v>1</v>
      </c>
      <c r="D585" s="94" t="s">
        <v>333</v>
      </c>
      <c r="E585" s="294"/>
      <c r="F585" s="302"/>
      <c r="G585" s="302"/>
      <c r="H585" s="298"/>
      <c r="I585" s="298"/>
      <c r="J585" s="298"/>
      <c r="K585" s="298"/>
      <c r="L585" s="411"/>
      <c r="M585" s="355"/>
    </row>
    <row r="586" spans="1:13" ht="30" x14ac:dyDescent="0.25">
      <c r="A586" s="340"/>
      <c r="B586" s="318"/>
      <c r="C586" s="13">
        <v>0</v>
      </c>
      <c r="D586" s="94" t="s">
        <v>334</v>
      </c>
      <c r="E586" s="294"/>
      <c r="F586" s="302"/>
      <c r="G586" s="302"/>
      <c r="H586" s="298"/>
      <c r="I586" s="298"/>
      <c r="J586" s="298"/>
      <c r="K586" s="299"/>
      <c r="L586" s="411"/>
      <c r="M586" s="355"/>
    </row>
    <row r="587" spans="1:13" x14ac:dyDescent="0.25">
      <c r="A587" s="340"/>
      <c r="B587" s="318"/>
      <c r="C587" s="323" t="s">
        <v>119</v>
      </c>
      <c r="D587" s="324"/>
      <c r="E587" s="325"/>
      <c r="F587" s="303"/>
      <c r="G587" s="303"/>
      <c r="H587" s="299"/>
      <c r="I587" s="299"/>
      <c r="J587" s="299"/>
      <c r="K587" s="11">
        <f>IF(OR(ISBLANK(K581),K581&lt;0,K581&gt;4),0,K581)</f>
        <v>0</v>
      </c>
      <c r="L587" s="411"/>
      <c r="M587" s="355"/>
    </row>
    <row r="588" spans="1:13" x14ac:dyDescent="0.25">
      <c r="A588" s="340"/>
      <c r="B588" s="319"/>
      <c r="C588" s="304" t="s">
        <v>9</v>
      </c>
      <c r="D588" s="304"/>
      <c r="E588" s="304"/>
      <c r="F588" s="304"/>
      <c r="G588" s="183"/>
      <c r="H588" s="183"/>
      <c r="I588" s="183"/>
      <c r="J588" s="183"/>
      <c r="K588" s="11">
        <f>(K580+2*K587)/3</f>
        <v>0</v>
      </c>
      <c r="L588" s="412"/>
      <c r="M588" s="356"/>
    </row>
    <row r="589" spans="1:13" ht="15.75" thickBot="1" x14ac:dyDescent="0.3"/>
    <row r="590" spans="1:13" ht="150" customHeight="1" x14ac:dyDescent="0.25">
      <c r="A590" s="370">
        <v>48</v>
      </c>
      <c r="B590" s="376" t="s">
        <v>872</v>
      </c>
      <c r="C590" s="291" t="s">
        <v>878</v>
      </c>
      <c r="D590" s="291"/>
      <c r="E590" s="294" t="s">
        <v>1045</v>
      </c>
      <c r="F590" s="300" t="s">
        <v>993</v>
      </c>
      <c r="G590" s="300" t="s">
        <v>994</v>
      </c>
      <c r="H590" s="203" t="s">
        <v>964</v>
      </c>
      <c r="I590" s="203">
        <v>1</v>
      </c>
      <c r="J590" s="212" t="str">
        <f>IF((IF(OR((H590&amp;"."&amp;I590)=$R$8,(H590&amp;"."&amp;I590)=$S$8,(H590&amp;"."&amp;I590)=$T$8,(H590&amp;"."&amp;I590)=$U$8,(H590&amp;"."&amp;I590)=$V$8,(H590&amp;"."&amp;I590)=$W$8),1,0))=1,"EKSTREM",IF((IF(OR((H590&amp;"."&amp;I590)=$R$9,(H590&amp;"."&amp;I590)=$S$9,(H590&amp;"."&amp;I590)=$T$9,(H590&amp;"."&amp;I590)=$U$9,(H590&amp;"."&amp;I590)=$V$9,(H590&amp;"."&amp;I590)=$W$9,(H590&amp;"."&amp;I590)=$X$9),1,0))=1,"TINGGI",IF((IF(OR((H590&amp;"."&amp;I590)=$R$10,(H590&amp;"."&amp;I590)=$S$10,(H590&amp;"."&amp;I590)=$T$10,(H590&amp;"."&amp;I590)=$U$10,(H590&amp;"."&amp;I590)=$V$10,(H590&amp;"."&amp;I590)=$W$10),1,0))=1,"MODERAT",IF((IF(OR((H590&amp;"."&amp;I590)=$R$11,(H590&amp;"."&amp;I590)=$S$11,(H590&amp;"."&amp;I590)=$T$11,(H590&amp;"."&amp;I590)=$U$11,(H590&amp;"."&amp;I590)=$V$11,(H590&amp;"."&amp;I590)=$W$11),1,0))=1,"RENDAH","-"))))</f>
        <v>RENDAH</v>
      </c>
      <c r="K590" s="10">
        <v>0</v>
      </c>
      <c r="L590" s="326" t="s">
        <v>1078</v>
      </c>
      <c r="M590" s="326" t="s">
        <v>1079</v>
      </c>
    </row>
    <row r="591" spans="1:13" ht="30" x14ac:dyDescent="0.25">
      <c r="A591" s="370"/>
      <c r="B591" s="377"/>
      <c r="C591" s="13">
        <v>4</v>
      </c>
      <c r="D591" s="202" t="s">
        <v>873</v>
      </c>
      <c r="E591" s="294"/>
      <c r="F591" s="300"/>
      <c r="G591" s="300"/>
      <c r="H591" s="297"/>
      <c r="I591" s="297"/>
      <c r="J591" s="297"/>
      <c r="K591" s="297"/>
      <c r="L591" s="326"/>
      <c r="M591" s="326"/>
    </row>
    <row r="592" spans="1:13" ht="30" x14ac:dyDescent="0.25">
      <c r="A592" s="370"/>
      <c r="B592" s="377"/>
      <c r="C592" s="13">
        <v>3</v>
      </c>
      <c r="D592" s="202" t="s">
        <v>874</v>
      </c>
      <c r="E592" s="294"/>
      <c r="F592" s="300"/>
      <c r="G592" s="300"/>
      <c r="H592" s="298"/>
      <c r="I592" s="298"/>
      <c r="J592" s="298"/>
      <c r="K592" s="298"/>
      <c r="L592" s="326"/>
      <c r="M592" s="326"/>
    </row>
    <row r="593" spans="1:13" ht="30" x14ac:dyDescent="0.25">
      <c r="A593" s="370"/>
      <c r="B593" s="377"/>
      <c r="C593" s="13">
        <v>2</v>
      </c>
      <c r="D593" s="202" t="s">
        <v>875</v>
      </c>
      <c r="E593" s="294"/>
      <c r="F593" s="300"/>
      <c r="G593" s="300"/>
      <c r="H593" s="298"/>
      <c r="I593" s="298"/>
      <c r="J593" s="298"/>
      <c r="K593" s="298"/>
      <c r="L593" s="326"/>
      <c r="M593" s="326"/>
    </row>
    <row r="594" spans="1:13" ht="30" x14ac:dyDescent="0.25">
      <c r="A594" s="370"/>
      <c r="B594" s="377"/>
      <c r="C594" s="13">
        <v>1</v>
      </c>
      <c r="D594" s="202" t="s">
        <v>876</v>
      </c>
      <c r="E594" s="294"/>
      <c r="F594" s="300"/>
      <c r="G594" s="300"/>
      <c r="H594" s="298"/>
      <c r="I594" s="298"/>
      <c r="J594" s="298"/>
      <c r="K594" s="298"/>
      <c r="L594" s="326"/>
      <c r="M594" s="326"/>
    </row>
    <row r="595" spans="1:13" ht="30" x14ac:dyDescent="0.25">
      <c r="A595" s="370"/>
      <c r="B595" s="377"/>
      <c r="C595" s="13">
        <v>0</v>
      </c>
      <c r="D595" s="199" t="s">
        <v>877</v>
      </c>
      <c r="E595" s="294"/>
      <c r="F595" s="300"/>
      <c r="G595" s="300"/>
      <c r="H595" s="299"/>
      <c r="I595" s="299"/>
      <c r="J595" s="299"/>
      <c r="K595" s="299"/>
      <c r="L595" s="326"/>
      <c r="M595" s="326"/>
    </row>
    <row r="596" spans="1:13" ht="15.75" thickBot="1" x14ac:dyDescent="0.3">
      <c r="A596" s="370"/>
      <c r="B596" s="378"/>
      <c r="C596" s="304" t="s">
        <v>7</v>
      </c>
      <c r="D596" s="304"/>
      <c r="E596" s="304"/>
      <c r="F596" s="304"/>
      <c r="G596" s="183"/>
      <c r="H596" s="183"/>
      <c r="I596" s="183"/>
      <c r="J596" s="183"/>
      <c r="K596" s="11">
        <f>IF(OR(ISBLANK(K590),K590&lt;0,K590&gt;4),0,K590)</f>
        <v>0</v>
      </c>
      <c r="L596" s="326"/>
      <c r="M596" s="326"/>
    </row>
    <row r="598" spans="1:13" ht="75" hidden="1" customHeight="1" x14ac:dyDescent="0.25">
      <c r="A598" s="340"/>
      <c r="B598" s="374" t="s">
        <v>335</v>
      </c>
      <c r="C598" s="291" t="s">
        <v>336</v>
      </c>
      <c r="D598" s="291"/>
      <c r="E598" s="294" t="s">
        <v>337</v>
      </c>
      <c r="F598" s="300"/>
      <c r="G598" s="184"/>
      <c r="H598" s="184"/>
      <c r="I598" s="184"/>
      <c r="J598" s="184"/>
      <c r="K598" s="10">
        <v>0</v>
      </c>
      <c r="L598" s="373"/>
      <c r="M598" s="326"/>
    </row>
    <row r="599" spans="1:13" ht="75" hidden="1" x14ac:dyDescent="0.25">
      <c r="A599" s="340"/>
      <c r="B599" s="374"/>
      <c r="C599" s="13">
        <v>4</v>
      </c>
      <c r="D599" s="94" t="s">
        <v>338</v>
      </c>
      <c r="E599" s="294"/>
      <c r="F599" s="300"/>
      <c r="G599" s="184"/>
      <c r="H599" s="184"/>
      <c r="I599" s="184"/>
      <c r="J599" s="184"/>
      <c r="K599" s="7"/>
      <c r="L599" s="373"/>
      <c r="M599" s="326"/>
    </row>
    <row r="600" spans="1:13" ht="75" hidden="1" x14ac:dyDescent="0.25">
      <c r="A600" s="340"/>
      <c r="B600" s="374"/>
      <c r="C600" s="13">
        <v>3</v>
      </c>
      <c r="D600" s="94" t="s">
        <v>339</v>
      </c>
      <c r="E600" s="294"/>
      <c r="F600" s="300"/>
      <c r="G600" s="184"/>
      <c r="H600" s="184"/>
      <c r="I600" s="184"/>
      <c r="J600" s="184"/>
      <c r="K600" s="7"/>
      <c r="L600" s="373"/>
      <c r="M600" s="326"/>
    </row>
    <row r="601" spans="1:13" ht="60" hidden="1" x14ac:dyDescent="0.25">
      <c r="A601" s="340"/>
      <c r="B601" s="374"/>
      <c r="C601" s="13">
        <v>2</v>
      </c>
      <c r="D601" s="94" t="s">
        <v>340</v>
      </c>
      <c r="E601" s="294"/>
      <c r="F601" s="300"/>
      <c r="G601" s="184"/>
      <c r="H601" s="184"/>
      <c r="I601" s="184"/>
      <c r="J601" s="184"/>
      <c r="K601" s="7"/>
      <c r="L601" s="373"/>
      <c r="M601" s="326"/>
    </row>
    <row r="602" spans="1:13" ht="45" hidden="1" x14ac:dyDescent="0.25">
      <c r="A602" s="340"/>
      <c r="B602" s="374"/>
      <c r="C602" s="13">
        <v>1</v>
      </c>
      <c r="D602" s="94" t="s">
        <v>341</v>
      </c>
      <c r="E602" s="294"/>
      <c r="F602" s="300"/>
      <c r="G602" s="184"/>
      <c r="H602" s="184"/>
      <c r="I602" s="184"/>
      <c r="J602" s="184"/>
      <c r="K602" s="7"/>
      <c r="L602" s="373"/>
      <c r="M602" s="326"/>
    </row>
    <row r="603" spans="1:13" ht="30" hidden="1" x14ac:dyDescent="0.25">
      <c r="A603" s="340"/>
      <c r="B603" s="374"/>
      <c r="C603" s="13">
        <v>0</v>
      </c>
      <c r="D603" s="94" t="s">
        <v>342</v>
      </c>
      <c r="E603" s="294"/>
      <c r="F603" s="300"/>
      <c r="G603" s="184"/>
      <c r="H603" s="184"/>
      <c r="I603" s="184"/>
      <c r="J603" s="184"/>
      <c r="K603" s="7"/>
      <c r="L603" s="373"/>
      <c r="M603" s="326"/>
    </row>
    <row r="604" spans="1:13" hidden="1" x14ac:dyDescent="0.25">
      <c r="A604" s="340"/>
      <c r="B604" s="374"/>
      <c r="C604" s="304" t="s">
        <v>7</v>
      </c>
      <c r="D604" s="304"/>
      <c r="E604" s="304"/>
      <c r="F604" s="304"/>
      <c r="G604" s="183"/>
      <c r="H604" s="183"/>
      <c r="I604" s="183"/>
      <c r="J604" s="183"/>
      <c r="K604" s="11">
        <f>IF(OR(ISBLANK(K598),K598&lt;0,K598&gt;4),0,K598)</f>
        <v>0</v>
      </c>
      <c r="L604" s="373"/>
      <c r="M604" s="326"/>
    </row>
    <row r="605" spans="1:13" hidden="1" x14ac:dyDescent="0.25"/>
    <row r="606" spans="1:13" ht="30" hidden="1" customHeight="1" x14ac:dyDescent="0.25">
      <c r="A606" s="340"/>
      <c r="B606" s="374" t="s">
        <v>343</v>
      </c>
      <c r="C606" s="291" t="s">
        <v>344</v>
      </c>
      <c r="D606" s="291"/>
      <c r="E606" s="294" t="s">
        <v>349</v>
      </c>
      <c r="F606" s="300"/>
      <c r="G606" s="184"/>
      <c r="H606" s="184"/>
      <c r="I606" s="184"/>
      <c r="J606" s="184"/>
      <c r="K606" s="10">
        <v>0</v>
      </c>
      <c r="L606" s="373"/>
      <c r="M606" s="326"/>
    </row>
    <row r="607" spans="1:13" ht="30" hidden="1" x14ac:dyDescent="0.25">
      <c r="A607" s="340"/>
      <c r="B607" s="374"/>
      <c r="C607" s="13">
        <v>4</v>
      </c>
      <c r="D607" s="94" t="s">
        <v>345</v>
      </c>
      <c r="E607" s="294"/>
      <c r="F607" s="300"/>
      <c r="G607" s="184"/>
      <c r="H607" s="184"/>
      <c r="I607" s="184"/>
      <c r="J607" s="184"/>
      <c r="K607" s="7"/>
      <c r="L607" s="373"/>
      <c r="M607" s="326"/>
    </row>
    <row r="608" spans="1:13" ht="30" hidden="1" x14ac:dyDescent="0.25">
      <c r="A608" s="340"/>
      <c r="B608" s="374"/>
      <c r="C608" s="13">
        <v>3</v>
      </c>
      <c r="D608" s="94" t="s">
        <v>346</v>
      </c>
      <c r="E608" s="294"/>
      <c r="F608" s="300"/>
      <c r="G608" s="184"/>
      <c r="H608" s="184"/>
      <c r="I608" s="184"/>
      <c r="J608" s="184"/>
      <c r="K608" s="7"/>
      <c r="L608" s="373"/>
      <c r="M608" s="326"/>
    </row>
    <row r="609" spans="1:13" ht="30" hidden="1" x14ac:dyDescent="0.25">
      <c r="A609" s="340"/>
      <c r="B609" s="374"/>
      <c r="C609" s="13">
        <v>2</v>
      </c>
      <c r="D609" s="94" t="s">
        <v>347</v>
      </c>
      <c r="E609" s="294"/>
      <c r="F609" s="300"/>
      <c r="G609" s="184"/>
      <c r="H609" s="184"/>
      <c r="I609" s="184"/>
      <c r="J609" s="184"/>
      <c r="K609" s="7"/>
      <c r="L609" s="373"/>
      <c r="M609" s="326"/>
    </row>
    <row r="610" spans="1:13" ht="30" hidden="1" x14ac:dyDescent="0.25">
      <c r="A610" s="340"/>
      <c r="B610" s="374"/>
      <c r="C610" s="13">
        <v>1</v>
      </c>
      <c r="D610" s="94" t="s">
        <v>348</v>
      </c>
      <c r="E610" s="294"/>
      <c r="F610" s="300"/>
      <c r="G610" s="184"/>
      <c r="H610" s="184"/>
      <c r="I610" s="184"/>
      <c r="J610" s="184"/>
      <c r="K610" s="7"/>
      <c r="L610" s="373"/>
      <c r="M610" s="326"/>
    </row>
    <row r="611" spans="1:13" hidden="1" x14ac:dyDescent="0.25">
      <c r="A611" s="340"/>
      <c r="B611" s="374"/>
      <c r="C611" s="13">
        <v>0</v>
      </c>
      <c r="D611" s="94" t="s">
        <v>314</v>
      </c>
      <c r="E611" s="294"/>
      <c r="F611" s="300"/>
      <c r="G611" s="184"/>
      <c r="H611" s="184"/>
      <c r="I611" s="184"/>
      <c r="J611" s="184"/>
      <c r="K611" s="7"/>
      <c r="L611" s="373"/>
      <c r="M611" s="326"/>
    </row>
    <row r="612" spans="1:13" hidden="1" x14ac:dyDescent="0.25">
      <c r="A612" s="340"/>
      <c r="B612" s="374"/>
      <c r="C612" s="304" t="s">
        <v>7</v>
      </c>
      <c r="D612" s="304"/>
      <c r="E612" s="304"/>
      <c r="F612" s="304"/>
      <c r="G612" s="183"/>
      <c r="H612" s="183"/>
      <c r="I612" s="183"/>
      <c r="J612" s="183"/>
      <c r="K612" s="11">
        <f>IF(OR(ISBLANK(K606),K606&lt;0,K606&gt;4),0,K606)</f>
        <v>0</v>
      </c>
      <c r="L612" s="373"/>
      <c r="M612" s="326"/>
    </row>
    <row r="613" spans="1:13" hidden="1" x14ac:dyDescent="0.25"/>
    <row r="614" spans="1:13" ht="30" customHeight="1" x14ac:dyDescent="0.25">
      <c r="A614" s="340">
        <v>49</v>
      </c>
      <c r="B614" s="369" t="s">
        <v>881</v>
      </c>
      <c r="C614" s="291" t="s">
        <v>880</v>
      </c>
      <c r="D614" s="291"/>
      <c r="E614" s="294" t="s">
        <v>1046</v>
      </c>
      <c r="F614" s="300" t="s">
        <v>993</v>
      </c>
      <c r="G614" s="300" t="s">
        <v>994</v>
      </c>
      <c r="H614" s="203" t="s">
        <v>964</v>
      </c>
      <c r="I614" s="203">
        <v>1</v>
      </c>
      <c r="J614" s="212" t="str">
        <f>IF((IF(OR((H614&amp;"."&amp;I614)=$R$8,(H614&amp;"."&amp;I614)=$S$8,(H614&amp;"."&amp;I614)=$T$8,(H614&amp;"."&amp;I614)=$U$8,(H614&amp;"."&amp;I614)=$V$8,(H614&amp;"."&amp;I614)=$W$8),1,0))=1,"EKSTREM",IF((IF(OR((H614&amp;"."&amp;I614)=$R$9,(H614&amp;"."&amp;I614)=$S$9,(H614&amp;"."&amp;I614)=$T$9,(H614&amp;"."&amp;I614)=$U$9,(H614&amp;"."&amp;I614)=$V$9,(H614&amp;"."&amp;I614)=$W$9,(H614&amp;"."&amp;I614)=$X$9),1,0))=1,"TINGGI",IF((IF(OR((H614&amp;"."&amp;I614)=$R$10,(H614&amp;"."&amp;I614)=$S$10,(H614&amp;"."&amp;I614)=$T$10,(H614&amp;"."&amp;I614)=$U$10,(H614&amp;"."&amp;I614)=$V$10,(H614&amp;"."&amp;I614)=$W$10),1,0))=1,"MODERAT",IF((IF(OR((H614&amp;"."&amp;I614)=$R$11,(H614&amp;"."&amp;I614)=$S$11,(H614&amp;"."&amp;I614)=$T$11,(H614&amp;"."&amp;I614)=$U$11,(H614&amp;"."&amp;I614)=$V$11,(H614&amp;"."&amp;I614)=$W$11),1,0))=1,"RENDAH","-"))))</f>
        <v>RENDAH</v>
      </c>
      <c r="K614" s="7"/>
      <c r="L614" s="326" t="s">
        <v>1078</v>
      </c>
      <c r="M614" s="326" t="s">
        <v>1079</v>
      </c>
    </row>
    <row r="615" spans="1:13" ht="30.75" customHeight="1" x14ac:dyDescent="0.25">
      <c r="A615" s="340"/>
      <c r="B615" s="369"/>
      <c r="C615" s="292" t="s">
        <v>879</v>
      </c>
      <c r="D615" s="293"/>
      <c r="E615" s="294"/>
      <c r="F615" s="300"/>
      <c r="G615" s="300"/>
      <c r="H615" s="7"/>
      <c r="I615" s="7"/>
      <c r="J615" s="7"/>
      <c r="K615" s="97">
        <f>IF('Isian Prodi'!B170&gt;0,'Isian Prodi'!B169/'Isian Prodi'!B170,0)</f>
        <v>0</v>
      </c>
      <c r="L615" s="326"/>
      <c r="M615" s="326"/>
    </row>
    <row r="616" spans="1:13" x14ac:dyDescent="0.25">
      <c r="A616" s="340"/>
      <c r="B616" s="369"/>
      <c r="C616" s="304" t="s">
        <v>7</v>
      </c>
      <c r="D616" s="304"/>
      <c r="E616" s="304"/>
      <c r="F616" s="304"/>
      <c r="G616" s="183"/>
      <c r="H616" s="183"/>
      <c r="I616" s="183"/>
      <c r="J616" s="183"/>
      <c r="K616" s="96">
        <f>IF(K615&gt;=25%,4,2+(8*K615))</f>
        <v>2</v>
      </c>
      <c r="L616" s="326"/>
      <c r="M616" s="326"/>
    </row>
    <row r="618" spans="1:13" ht="30" hidden="1" customHeight="1" x14ac:dyDescent="0.25">
      <c r="A618" s="340"/>
      <c r="B618" s="374" t="s">
        <v>353</v>
      </c>
      <c r="C618" s="291" t="s">
        <v>352</v>
      </c>
      <c r="D618" s="291"/>
      <c r="E618" s="294" t="s">
        <v>359</v>
      </c>
      <c r="F618" s="300"/>
      <c r="G618" s="184"/>
      <c r="H618" s="184"/>
      <c r="I618" s="184"/>
      <c r="J618" s="184"/>
      <c r="K618" s="10">
        <v>0</v>
      </c>
      <c r="L618" s="373"/>
      <c r="M618" s="326"/>
    </row>
    <row r="619" spans="1:13" ht="30" hidden="1" x14ac:dyDescent="0.25">
      <c r="A619" s="340"/>
      <c r="B619" s="374"/>
      <c r="C619" s="13">
        <v>4</v>
      </c>
      <c r="D619" s="94" t="s">
        <v>354</v>
      </c>
      <c r="E619" s="294"/>
      <c r="F619" s="300"/>
      <c r="G619" s="184"/>
      <c r="H619" s="184"/>
      <c r="I619" s="184"/>
      <c r="J619" s="184"/>
      <c r="K619" s="7"/>
      <c r="L619" s="373"/>
      <c r="M619" s="326"/>
    </row>
    <row r="620" spans="1:13" ht="45" hidden="1" x14ac:dyDescent="0.25">
      <c r="A620" s="340"/>
      <c r="B620" s="374"/>
      <c r="C620" s="13">
        <v>3</v>
      </c>
      <c r="D620" s="94" t="s">
        <v>355</v>
      </c>
      <c r="E620" s="294"/>
      <c r="F620" s="300"/>
      <c r="G620" s="184"/>
      <c r="H620" s="184"/>
      <c r="I620" s="184"/>
      <c r="J620" s="184"/>
      <c r="K620" s="7"/>
      <c r="L620" s="373"/>
      <c r="M620" s="326"/>
    </row>
    <row r="621" spans="1:13" ht="45" hidden="1" x14ac:dyDescent="0.25">
      <c r="A621" s="340"/>
      <c r="B621" s="374"/>
      <c r="C621" s="13">
        <v>2</v>
      </c>
      <c r="D621" s="94" t="s">
        <v>356</v>
      </c>
      <c r="E621" s="294"/>
      <c r="F621" s="300"/>
      <c r="G621" s="184"/>
      <c r="H621" s="184"/>
      <c r="I621" s="184"/>
      <c r="J621" s="184"/>
      <c r="K621" s="7"/>
      <c r="L621" s="373"/>
      <c r="M621" s="326"/>
    </row>
    <row r="622" spans="1:13" ht="30" hidden="1" x14ac:dyDescent="0.25">
      <c r="A622" s="340"/>
      <c r="B622" s="374"/>
      <c r="C622" s="13">
        <v>1</v>
      </c>
      <c r="D622" s="94" t="s">
        <v>357</v>
      </c>
      <c r="E622" s="294"/>
      <c r="F622" s="300"/>
      <c r="G622" s="184"/>
      <c r="H622" s="184"/>
      <c r="I622" s="184"/>
      <c r="J622" s="184"/>
      <c r="K622" s="7"/>
      <c r="L622" s="373"/>
      <c r="M622" s="326"/>
    </row>
    <row r="623" spans="1:13" ht="30" hidden="1" x14ac:dyDescent="0.25">
      <c r="A623" s="340"/>
      <c r="B623" s="374"/>
      <c r="C623" s="13">
        <v>0</v>
      </c>
      <c r="D623" s="94" t="s">
        <v>358</v>
      </c>
      <c r="E623" s="294"/>
      <c r="F623" s="300"/>
      <c r="G623" s="184"/>
      <c r="H623" s="184"/>
      <c r="I623" s="184"/>
      <c r="J623" s="184"/>
      <c r="K623" s="7"/>
      <c r="L623" s="373"/>
      <c r="M623" s="326"/>
    </row>
    <row r="624" spans="1:13" hidden="1" x14ac:dyDescent="0.25">
      <c r="A624" s="340"/>
      <c r="B624" s="374"/>
      <c r="C624" s="304" t="s">
        <v>7</v>
      </c>
      <c r="D624" s="304"/>
      <c r="E624" s="304"/>
      <c r="F624" s="304"/>
      <c r="G624" s="183"/>
      <c r="H624" s="183"/>
      <c r="I624" s="183"/>
      <c r="J624" s="183"/>
      <c r="K624" s="11">
        <f>IF(OR(ISBLANK(K618),K618&lt;0,K618&gt;4),0,K618)</f>
        <v>0</v>
      </c>
      <c r="L624" s="373"/>
      <c r="M624" s="326"/>
    </row>
    <row r="625" spans="1:13" hidden="1" x14ac:dyDescent="0.25"/>
    <row r="626" spans="1:13" ht="75" hidden="1" customHeight="1" x14ac:dyDescent="0.25">
      <c r="A626" s="340"/>
      <c r="B626" s="374" t="s">
        <v>360</v>
      </c>
      <c r="C626" s="291" t="s">
        <v>361</v>
      </c>
      <c r="D626" s="291"/>
      <c r="E626" s="294" t="s">
        <v>367</v>
      </c>
      <c r="F626" s="300"/>
      <c r="G626" s="184"/>
      <c r="H626" s="184"/>
      <c r="I626" s="184"/>
      <c r="J626" s="184"/>
      <c r="K626" s="10">
        <v>0</v>
      </c>
      <c r="L626" s="373"/>
      <c r="M626" s="326"/>
    </row>
    <row r="627" spans="1:13" ht="75" hidden="1" x14ac:dyDescent="0.25">
      <c r="A627" s="340"/>
      <c r="B627" s="374"/>
      <c r="C627" s="13">
        <v>4</v>
      </c>
      <c r="D627" s="94" t="s">
        <v>362</v>
      </c>
      <c r="E627" s="294"/>
      <c r="F627" s="300"/>
      <c r="G627" s="184"/>
      <c r="H627" s="184"/>
      <c r="I627" s="184"/>
      <c r="J627" s="184"/>
      <c r="K627" s="7"/>
      <c r="L627" s="373"/>
      <c r="M627" s="326"/>
    </row>
    <row r="628" spans="1:13" ht="75" hidden="1" x14ac:dyDescent="0.25">
      <c r="A628" s="340"/>
      <c r="B628" s="374"/>
      <c r="C628" s="13">
        <v>3</v>
      </c>
      <c r="D628" s="94" t="s">
        <v>363</v>
      </c>
      <c r="E628" s="294"/>
      <c r="F628" s="300"/>
      <c r="G628" s="184"/>
      <c r="H628" s="184"/>
      <c r="I628" s="184"/>
      <c r="J628" s="184"/>
      <c r="K628" s="7"/>
      <c r="L628" s="373"/>
      <c r="M628" s="326"/>
    </row>
    <row r="629" spans="1:13" ht="60" hidden="1" x14ac:dyDescent="0.25">
      <c r="A629" s="340"/>
      <c r="B629" s="374"/>
      <c r="C629" s="13">
        <v>2</v>
      </c>
      <c r="D629" s="94" t="s">
        <v>364</v>
      </c>
      <c r="E629" s="294"/>
      <c r="F629" s="300"/>
      <c r="G629" s="184"/>
      <c r="H629" s="184"/>
      <c r="I629" s="184"/>
      <c r="J629" s="184"/>
      <c r="K629" s="7"/>
      <c r="L629" s="373"/>
      <c r="M629" s="326"/>
    </row>
    <row r="630" spans="1:13" ht="45" hidden="1" x14ac:dyDescent="0.25">
      <c r="A630" s="340"/>
      <c r="B630" s="374"/>
      <c r="C630" s="13">
        <v>1</v>
      </c>
      <c r="D630" s="94" t="s">
        <v>365</v>
      </c>
      <c r="E630" s="294"/>
      <c r="F630" s="300"/>
      <c r="G630" s="184"/>
      <c r="H630" s="184"/>
      <c r="I630" s="184"/>
      <c r="J630" s="184"/>
      <c r="K630" s="7"/>
      <c r="L630" s="373"/>
      <c r="M630" s="326"/>
    </row>
    <row r="631" spans="1:13" ht="45" hidden="1" x14ac:dyDescent="0.25">
      <c r="A631" s="340"/>
      <c r="B631" s="374"/>
      <c r="C631" s="13">
        <v>0</v>
      </c>
      <c r="D631" s="94" t="s">
        <v>366</v>
      </c>
      <c r="E631" s="294"/>
      <c r="F631" s="300"/>
      <c r="G631" s="184"/>
      <c r="H631" s="184"/>
      <c r="I631" s="184"/>
      <c r="J631" s="184"/>
      <c r="K631" s="7"/>
      <c r="L631" s="373"/>
      <c r="M631" s="326"/>
    </row>
    <row r="632" spans="1:13" hidden="1" x14ac:dyDescent="0.25">
      <c r="A632" s="340"/>
      <c r="B632" s="374"/>
      <c r="C632" s="304" t="s">
        <v>7</v>
      </c>
      <c r="D632" s="304"/>
      <c r="E632" s="304"/>
      <c r="F632" s="304"/>
      <c r="G632" s="183"/>
      <c r="H632" s="183"/>
      <c r="I632" s="183"/>
      <c r="J632" s="183"/>
      <c r="K632" s="11">
        <f>IF(OR(ISBLANK(K626),K626&lt;0,K626&gt;4),0,K626)</f>
        <v>0</v>
      </c>
      <c r="L632" s="373"/>
      <c r="M632" s="326"/>
    </row>
    <row r="633" spans="1:13" hidden="1" x14ac:dyDescent="0.25"/>
    <row r="634" spans="1:13" ht="60" hidden="1" customHeight="1" x14ac:dyDescent="0.25">
      <c r="A634" s="340"/>
      <c r="B634" s="374" t="s">
        <v>368</v>
      </c>
      <c r="C634" s="291" t="s">
        <v>369</v>
      </c>
      <c r="D634" s="291"/>
      <c r="E634" s="294" t="s">
        <v>375</v>
      </c>
      <c r="F634" s="300"/>
      <c r="G634" s="184"/>
      <c r="H634" s="184"/>
      <c r="I634" s="184"/>
      <c r="J634" s="184"/>
      <c r="K634" s="10">
        <v>0</v>
      </c>
      <c r="L634" s="373"/>
      <c r="M634" s="326"/>
    </row>
    <row r="635" spans="1:13" ht="45" hidden="1" x14ac:dyDescent="0.25">
      <c r="A635" s="340"/>
      <c r="B635" s="374"/>
      <c r="C635" s="13">
        <v>4</v>
      </c>
      <c r="D635" s="94" t="s">
        <v>370</v>
      </c>
      <c r="E635" s="294"/>
      <c r="F635" s="300"/>
      <c r="G635" s="184"/>
      <c r="H635" s="184"/>
      <c r="I635" s="184"/>
      <c r="J635" s="184"/>
      <c r="K635" s="7"/>
      <c r="L635" s="373"/>
      <c r="M635" s="326"/>
    </row>
    <row r="636" spans="1:13" ht="45" hidden="1" x14ac:dyDescent="0.25">
      <c r="A636" s="340"/>
      <c r="B636" s="374"/>
      <c r="C636" s="13">
        <v>3</v>
      </c>
      <c r="D636" s="94" t="s">
        <v>371</v>
      </c>
      <c r="E636" s="294"/>
      <c r="F636" s="300"/>
      <c r="G636" s="184"/>
      <c r="H636" s="184"/>
      <c r="I636" s="184"/>
      <c r="J636" s="184"/>
      <c r="K636" s="7"/>
      <c r="L636" s="373"/>
      <c r="M636" s="326"/>
    </row>
    <row r="637" spans="1:13" ht="30" hidden="1" x14ac:dyDescent="0.25">
      <c r="A637" s="340"/>
      <c r="B637" s="374"/>
      <c r="C637" s="13">
        <v>2</v>
      </c>
      <c r="D637" s="94" t="s">
        <v>372</v>
      </c>
      <c r="E637" s="294"/>
      <c r="F637" s="300"/>
      <c r="G637" s="184"/>
      <c r="H637" s="184"/>
      <c r="I637" s="184"/>
      <c r="J637" s="184"/>
      <c r="K637" s="7"/>
      <c r="L637" s="373"/>
      <c r="M637" s="326"/>
    </row>
    <row r="638" spans="1:13" ht="30" hidden="1" x14ac:dyDescent="0.25">
      <c r="A638" s="340"/>
      <c r="B638" s="374"/>
      <c r="C638" s="13">
        <v>1</v>
      </c>
      <c r="D638" s="94" t="s">
        <v>373</v>
      </c>
      <c r="E638" s="294"/>
      <c r="F638" s="300"/>
      <c r="G638" s="184"/>
      <c r="H638" s="184"/>
      <c r="I638" s="184"/>
      <c r="J638" s="184"/>
      <c r="K638" s="7"/>
      <c r="L638" s="373"/>
      <c r="M638" s="326"/>
    </row>
    <row r="639" spans="1:13" ht="30" hidden="1" x14ac:dyDescent="0.25">
      <c r="A639" s="340"/>
      <c r="B639" s="374"/>
      <c r="C639" s="13">
        <v>0</v>
      </c>
      <c r="D639" s="94" t="s">
        <v>374</v>
      </c>
      <c r="E639" s="294"/>
      <c r="F639" s="300"/>
      <c r="G639" s="184"/>
      <c r="H639" s="184"/>
      <c r="I639" s="184"/>
      <c r="J639" s="184"/>
      <c r="K639" s="7"/>
      <c r="L639" s="373"/>
      <c r="M639" s="326"/>
    </row>
    <row r="640" spans="1:13" hidden="1" x14ac:dyDescent="0.25">
      <c r="A640" s="340"/>
      <c r="B640" s="374"/>
      <c r="C640" s="304" t="s">
        <v>7</v>
      </c>
      <c r="D640" s="304"/>
      <c r="E640" s="304"/>
      <c r="F640" s="304"/>
      <c r="G640" s="183"/>
      <c r="H640" s="183"/>
      <c r="I640" s="183"/>
      <c r="J640" s="183"/>
      <c r="K640" s="11">
        <f>IF(OR(ISBLANK(K634),K634&lt;0,K634&gt;4),0,K634)</f>
        <v>0</v>
      </c>
      <c r="L640" s="373"/>
      <c r="M640" s="326"/>
    </row>
    <row r="641" spans="1:13" hidden="1" x14ac:dyDescent="0.25"/>
    <row r="642" spans="1:13" ht="135.75" customHeight="1" x14ac:dyDescent="0.25">
      <c r="A642" s="340">
        <v>50</v>
      </c>
      <c r="B642" s="387" t="s">
        <v>882</v>
      </c>
      <c r="C642" s="291" t="s">
        <v>883</v>
      </c>
      <c r="D642" s="291"/>
      <c r="E642" s="294" t="s">
        <v>1047</v>
      </c>
      <c r="F642" s="300" t="s">
        <v>993</v>
      </c>
      <c r="G642" s="300" t="s">
        <v>994</v>
      </c>
      <c r="H642" s="203" t="s">
        <v>964</v>
      </c>
      <c r="I642" s="203">
        <v>1</v>
      </c>
      <c r="J642" s="212" t="str">
        <f>IF((IF(OR((H642&amp;"."&amp;I642)=$R$8,(H642&amp;"."&amp;I642)=$S$8,(H642&amp;"."&amp;I642)=$T$8,(H642&amp;"."&amp;I642)=$U$8,(H642&amp;"."&amp;I642)=$V$8,(H642&amp;"."&amp;I642)=$W$8),1,0))=1,"EKSTREM",IF((IF(OR((H642&amp;"."&amp;I642)=$R$9,(H642&amp;"."&amp;I642)=$S$9,(H642&amp;"."&amp;I642)=$T$9,(H642&amp;"."&amp;I642)=$U$9,(H642&amp;"."&amp;I642)=$V$9,(H642&amp;"."&amp;I642)=$W$9,(H642&amp;"."&amp;I642)=$X$9),1,0))=1,"TINGGI",IF((IF(OR((H642&amp;"."&amp;I642)=$R$10,(H642&amp;"."&amp;I642)=$S$10,(H642&amp;"."&amp;I642)=$T$10,(H642&amp;"."&amp;I642)=$U$10,(H642&amp;"."&amp;I642)=$V$10,(H642&amp;"."&amp;I642)=$W$10),1,0))=1,"MODERAT",IF((IF(OR((H642&amp;"."&amp;I642)=$R$11,(H642&amp;"."&amp;I642)=$S$11,(H642&amp;"."&amp;I642)=$T$11,(H642&amp;"."&amp;I642)=$U$11,(H642&amp;"."&amp;I642)=$V$11,(H642&amp;"."&amp;I642)=$W$11),1,0))=1,"RENDAH","-"))))</f>
        <v>RENDAH</v>
      </c>
      <c r="K642" s="10">
        <v>0</v>
      </c>
      <c r="L642" s="326" t="s">
        <v>1078</v>
      </c>
      <c r="M642" s="326" t="s">
        <v>1079</v>
      </c>
    </row>
    <row r="643" spans="1:13" x14ac:dyDescent="0.25">
      <c r="A643" s="340"/>
      <c r="B643" s="315"/>
      <c r="C643" s="13">
        <v>4</v>
      </c>
      <c r="D643" s="94" t="s">
        <v>884</v>
      </c>
      <c r="E643" s="294"/>
      <c r="F643" s="300"/>
      <c r="G643" s="300"/>
      <c r="H643" s="297"/>
      <c r="I643" s="297"/>
      <c r="J643" s="297"/>
      <c r="K643" s="297"/>
      <c r="L643" s="326"/>
      <c r="M643" s="326"/>
    </row>
    <row r="644" spans="1:13" ht="30" x14ac:dyDescent="0.25">
      <c r="A644" s="340"/>
      <c r="B644" s="315"/>
      <c r="C644" s="13">
        <v>3</v>
      </c>
      <c r="D644" s="94" t="s">
        <v>885</v>
      </c>
      <c r="E644" s="294"/>
      <c r="F644" s="300"/>
      <c r="G644" s="300"/>
      <c r="H644" s="298"/>
      <c r="I644" s="298"/>
      <c r="J644" s="298"/>
      <c r="K644" s="298"/>
      <c r="L644" s="326"/>
      <c r="M644" s="326"/>
    </row>
    <row r="645" spans="1:13" ht="30" x14ac:dyDescent="0.25">
      <c r="A645" s="340"/>
      <c r="B645" s="315"/>
      <c r="C645" s="13">
        <v>2</v>
      </c>
      <c r="D645" s="94" t="s">
        <v>886</v>
      </c>
      <c r="E645" s="294"/>
      <c r="F645" s="300"/>
      <c r="G645" s="300"/>
      <c r="H645" s="298"/>
      <c r="I645" s="298"/>
      <c r="J645" s="298"/>
      <c r="K645" s="298"/>
      <c r="L645" s="326"/>
      <c r="M645" s="326"/>
    </row>
    <row r="646" spans="1:13" ht="30" x14ac:dyDescent="0.25">
      <c r="A646" s="340"/>
      <c r="B646" s="315"/>
      <c r="C646" s="13">
        <v>1</v>
      </c>
      <c r="D646" s="94" t="s">
        <v>887</v>
      </c>
      <c r="E646" s="294"/>
      <c r="F646" s="300"/>
      <c r="G646" s="300"/>
      <c r="H646" s="298"/>
      <c r="I646" s="298"/>
      <c r="J646" s="298"/>
      <c r="K646" s="298"/>
      <c r="L646" s="326"/>
      <c r="M646" s="326"/>
    </row>
    <row r="647" spans="1:13" x14ac:dyDescent="0.25">
      <c r="A647" s="340"/>
      <c r="B647" s="315"/>
      <c r="C647" s="13">
        <v>0</v>
      </c>
      <c r="D647" s="94" t="s">
        <v>888</v>
      </c>
      <c r="E647" s="294"/>
      <c r="F647" s="300"/>
      <c r="G647" s="300"/>
      <c r="H647" s="299"/>
      <c r="I647" s="299"/>
      <c r="J647" s="299"/>
      <c r="K647" s="299"/>
      <c r="L647" s="326"/>
      <c r="M647" s="326"/>
    </row>
    <row r="648" spans="1:13" x14ac:dyDescent="0.25">
      <c r="A648" s="340"/>
      <c r="B648" s="315"/>
      <c r="C648" s="304" t="s">
        <v>7</v>
      </c>
      <c r="D648" s="304"/>
      <c r="E648" s="304"/>
      <c r="F648" s="304"/>
      <c r="G648" s="183"/>
      <c r="H648" s="183"/>
      <c r="I648" s="183"/>
      <c r="J648" s="183"/>
      <c r="K648" s="11">
        <f>IF(OR(ISBLANK(K642),K642&lt;0,K642&gt;4),0,K642)</f>
        <v>0</v>
      </c>
      <c r="L648" s="326"/>
      <c r="M648" s="326"/>
    </row>
    <row r="650" spans="1:13" ht="60" hidden="1" customHeight="1" x14ac:dyDescent="0.25">
      <c r="A650" s="340"/>
      <c r="B650" s="374" t="s">
        <v>376</v>
      </c>
      <c r="C650" s="291" t="s">
        <v>377</v>
      </c>
      <c r="D650" s="291"/>
      <c r="E650" s="310" t="s">
        <v>378</v>
      </c>
      <c r="F650" s="300"/>
      <c r="G650" s="184"/>
      <c r="H650" s="184"/>
      <c r="I650" s="184"/>
      <c r="J650" s="184"/>
      <c r="K650" s="10">
        <v>0</v>
      </c>
      <c r="L650" s="373"/>
      <c r="M650" s="326"/>
    </row>
    <row r="651" spans="1:13" ht="60" hidden="1" x14ac:dyDescent="0.25">
      <c r="A651" s="340"/>
      <c r="B651" s="374"/>
      <c r="C651" s="13">
        <v>4</v>
      </c>
      <c r="D651" s="94" t="s">
        <v>379</v>
      </c>
      <c r="E651" s="313"/>
      <c r="F651" s="300"/>
      <c r="G651" s="184"/>
      <c r="H651" s="184"/>
      <c r="I651" s="184"/>
      <c r="J651" s="184"/>
      <c r="K651" s="7"/>
      <c r="L651" s="373"/>
      <c r="M651" s="326"/>
    </row>
    <row r="652" spans="1:13" ht="45" hidden="1" x14ac:dyDescent="0.25">
      <c r="A652" s="340"/>
      <c r="B652" s="374"/>
      <c r="C652" s="13">
        <v>3</v>
      </c>
      <c r="D652" s="94" t="s">
        <v>380</v>
      </c>
      <c r="E652" s="313"/>
      <c r="F652" s="300"/>
      <c r="G652" s="184"/>
      <c r="H652" s="184"/>
      <c r="I652" s="184"/>
      <c r="J652" s="184"/>
      <c r="K652" s="7"/>
      <c r="L652" s="373"/>
      <c r="M652" s="326"/>
    </row>
    <row r="653" spans="1:13" ht="45" hidden="1" x14ac:dyDescent="0.25">
      <c r="A653" s="340"/>
      <c r="B653" s="374"/>
      <c r="C653" s="13">
        <v>2</v>
      </c>
      <c r="D653" s="94" t="s">
        <v>381</v>
      </c>
      <c r="E653" s="313"/>
      <c r="F653" s="300"/>
      <c r="G653" s="184"/>
      <c r="H653" s="184"/>
      <c r="I653" s="184"/>
      <c r="J653" s="184"/>
      <c r="K653" s="7"/>
      <c r="L653" s="373"/>
      <c r="M653" s="326"/>
    </row>
    <row r="654" spans="1:13" ht="45" hidden="1" x14ac:dyDescent="0.25">
      <c r="A654" s="340"/>
      <c r="B654" s="374"/>
      <c r="C654" s="13">
        <v>1</v>
      </c>
      <c r="D654" s="94" t="s">
        <v>382</v>
      </c>
      <c r="E654" s="313"/>
      <c r="F654" s="300"/>
      <c r="G654" s="184"/>
      <c r="H654" s="184"/>
      <c r="I654" s="184"/>
      <c r="J654" s="184"/>
      <c r="K654" s="7"/>
      <c r="L654" s="373"/>
      <c r="M654" s="326"/>
    </row>
    <row r="655" spans="1:13" hidden="1" x14ac:dyDescent="0.25">
      <c r="A655" s="340"/>
      <c r="B655" s="374"/>
      <c r="C655" s="13">
        <v>0</v>
      </c>
      <c r="D655" s="94" t="s">
        <v>383</v>
      </c>
      <c r="E655" s="314"/>
      <c r="F655" s="300"/>
      <c r="G655" s="184"/>
      <c r="H655" s="184"/>
      <c r="I655" s="184"/>
      <c r="J655" s="184"/>
      <c r="K655" s="7"/>
      <c r="L655" s="373"/>
      <c r="M655" s="326"/>
    </row>
    <row r="656" spans="1:13" hidden="1" x14ac:dyDescent="0.25">
      <c r="A656" s="340"/>
      <c r="B656" s="374"/>
      <c r="C656" s="304" t="s">
        <v>7</v>
      </c>
      <c r="D656" s="304"/>
      <c r="E656" s="304"/>
      <c r="F656" s="304"/>
      <c r="G656" s="183"/>
      <c r="H656" s="183"/>
      <c r="I656" s="183"/>
      <c r="J656" s="183"/>
      <c r="K656" s="11">
        <f>IF(OR(ISBLANK(K650),K650&lt;0,K650&gt;4),0,K650)</f>
        <v>0</v>
      </c>
      <c r="L656" s="373"/>
      <c r="M656" s="326"/>
    </row>
    <row r="657" spans="1:13" hidden="1" x14ac:dyDescent="0.25"/>
    <row r="658" spans="1:13" ht="30" customHeight="1" x14ac:dyDescent="0.25">
      <c r="A658" s="340">
        <v>51</v>
      </c>
      <c r="B658" s="369" t="s">
        <v>891</v>
      </c>
      <c r="C658" s="291" t="s">
        <v>890</v>
      </c>
      <c r="D658" s="291"/>
      <c r="E658" s="294" t="s">
        <v>1048</v>
      </c>
      <c r="F658" s="300" t="s">
        <v>993</v>
      </c>
      <c r="G658" s="300" t="s">
        <v>994</v>
      </c>
      <c r="H658" s="203" t="s">
        <v>964</v>
      </c>
      <c r="I658" s="203">
        <v>1</v>
      </c>
      <c r="J658" s="212" t="str">
        <f>IF((IF(OR((H658&amp;"."&amp;I658)=$R$8,(H658&amp;"."&amp;I658)=$S$8,(H658&amp;"."&amp;I658)=$T$8,(H658&amp;"."&amp;I658)=$U$8,(H658&amp;"."&amp;I658)=$V$8,(H658&amp;"."&amp;I658)=$W$8),1,0))=1,"EKSTREM",IF((IF(OR((H658&amp;"."&amp;I658)=$R$9,(H658&amp;"."&amp;I658)=$S$9,(H658&amp;"."&amp;I658)=$T$9,(H658&amp;"."&amp;I658)=$U$9,(H658&amp;"."&amp;I658)=$V$9,(H658&amp;"."&amp;I658)=$W$9,(H658&amp;"."&amp;I658)=$X$9),1,0))=1,"TINGGI",IF((IF(OR((H658&amp;"."&amp;I658)=$R$10,(H658&amp;"."&amp;I658)=$S$10,(H658&amp;"."&amp;I658)=$T$10,(H658&amp;"."&amp;I658)=$U$10,(H658&amp;"."&amp;I658)=$V$10,(H658&amp;"."&amp;I658)=$W$10),1,0))=1,"MODERAT",IF((IF(OR((H658&amp;"."&amp;I658)=$R$11,(H658&amp;"."&amp;I658)=$S$11,(H658&amp;"."&amp;I658)=$T$11,(H658&amp;"."&amp;I658)=$U$11,(H658&amp;"."&amp;I658)=$V$11,(H658&amp;"."&amp;I658)=$W$11),1,0))=1,"RENDAH","-"))))</f>
        <v>RENDAH</v>
      </c>
      <c r="K658" s="7"/>
      <c r="L658" s="326" t="s">
        <v>1078</v>
      </c>
      <c r="M658" s="326" t="s">
        <v>1079</v>
      </c>
    </row>
    <row r="659" spans="1:13" ht="30" customHeight="1" x14ac:dyDescent="0.25">
      <c r="A659" s="340"/>
      <c r="B659" s="369"/>
      <c r="C659" s="294" t="s">
        <v>889</v>
      </c>
      <c r="D659" s="294"/>
      <c r="E659" s="294"/>
      <c r="F659" s="300"/>
      <c r="G659" s="300"/>
      <c r="H659" s="7"/>
      <c r="I659" s="7"/>
      <c r="J659" s="7"/>
      <c r="K659" s="97">
        <f>IF('Isian Prodi'!B172&gt;0,'Isian Prodi'!B171/'Isian Prodi'!B172,0)</f>
        <v>0</v>
      </c>
      <c r="L659" s="326"/>
      <c r="M659" s="326"/>
    </row>
    <row r="660" spans="1:13" x14ac:dyDescent="0.25">
      <c r="A660" s="340"/>
      <c r="B660" s="369"/>
      <c r="C660" s="304" t="s">
        <v>7</v>
      </c>
      <c r="D660" s="304"/>
      <c r="E660" s="304"/>
      <c r="F660" s="304"/>
      <c r="G660" s="183"/>
      <c r="H660" s="183"/>
      <c r="I660" s="183"/>
      <c r="J660" s="183"/>
      <c r="K660" s="96">
        <f>IF(K659&gt;=25%,4,2+(8*K659))</f>
        <v>2</v>
      </c>
      <c r="L660" s="326"/>
      <c r="M660" s="326"/>
    </row>
    <row r="662" spans="1:13" ht="90" customHeight="1" x14ac:dyDescent="0.25">
      <c r="A662" s="340">
        <v>52</v>
      </c>
      <c r="B662" s="387" t="s">
        <v>892</v>
      </c>
      <c r="C662" s="291" t="s">
        <v>893</v>
      </c>
      <c r="D662" s="291"/>
      <c r="E662" s="310" t="s">
        <v>1049</v>
      </c>
      <c r="F662" s="300" t="s">
        <v>993</v>
      </c>
      <c r="G662" s="300" t="s">
        <v>994</v>
      </c>
      <c r="H662" s="203" t="s">
        <v>964</v>
      </c>
      <c r="I662" s="203">
        <v>1</v>
      </c>
      <c r="J662" s="212" t="str">
        <f>IF((IF(OR((H662&amp;"."&amp;I662)=$R$8,(H662&amp;"."&amp;I662)=$S$8,(H662&amp;"."&amp;I662)=$T$8,(H662&amp;"."&amp;I662)=$U$8,(H662&amp;"."&amp;I662)=$V$8,(H662&amp;"."&amp;I662)=$W$8),1,0))=1,"EKSTREM",IF((IF(OR((H662&amp;"."&amp;I662)=$R$9,(H662&amp;"."&amp;I662)=$S$9,(H662&amp;"."&amp;I662)=$T$9,(H662&amp;"."&amp;I662)=$U$9,(H662&amp;"."&amp;I662)=$V$9,(H662&amp;"."&amp;I662)=$W$9,(H662&amp;"."&amp;I662)=$X$9),1,0))=1,"TINGGI",IF((IF(OR((H662&amp;"."&amp;I662)=$R$10,(H662&amp;"."&amp;I662)=$S$10,(H662&amp;"."&amp;I662)=$T$10,(H662&amp;"."&amp;I662)=$U$10,(H662&amp;"."&amp;I662)=$V$10,(H662&amp;"."&amp;I662)=$W$10),1,0))=1,"MODERAT",IF((IF(OR((H662&amp;"."&amp;I662)=$R$11,(H662&amp;"."&amp;I662)=$S$11,(H662&amp;"."&amp;I662)=$T$11,(H662&amp;"."&amp;I662)=$U$11,(H662&amp;"."&amp;I662)=$V$11,(H662&amp;"."&amp;I662)=$W$11),1,0))=1,"RENDAH","-"))))</f>
        <v>RENDAH</v>
      </c>
      <c r="K662" s="10">
        <v>0</v>
      </c>
      <c r="L662" s="326" t="s">
        <v>1078</v>
      </c>
      <c r="M662" s="326" t="s">
        <v>1079</v>
      </c>
    </row>
    <row r="663" spans="1:13" x14ac:dyDescent="0.25">
      <c r="A663" s="340"/>
      <c r="B663" s="315"/>
      <c r="C663" s="13">
        <v>4</v>
      </c>
      <c r="D663" s="153" t="s">
        <v>894</v>
      </c>
      <c r="E663" s="313"/>
      <c r="F663" s="300"/>
      <c r="G663" s="300"/>
      <c r="H663" s="297"/>
      <c r="I663" s="297"/>
      <c r="J663" s="297"/>
      <c r="K663" s="297"/>
      <c r="L663" s="326"/>
      <c r="M663" s="326"/>
    </row>
    <row r="664" spans="1:13" x14ac:dyDescent="0.25">
      <c r="A664" s="340"/>
      <c r="B664" s="315"/>
      <c r="C664" s="13">
        <v>3</v>
      </c>
      <c r="D664" s="100" t="s">
        <v>895</v>
      </c>
      <c r="E664" s="313"/>
      <c r="F664" s="300"/>
      <c r="G664" s="300"/>
      <c r="H664" s="298"/>
      <c r="I664" s="298"/>
      <c r="J664" s="298"/>
      <c r="K664" s="298"/>
      <c r="L664" s="326"/>
      <c r="M664" s="326"/>
    </row>
    <row r="665" spans="1:13" x14ac:dyDescent="0.25">
      <c r="A665" s="340"/>
      <c r="B665" s="315"/>
      <c r="C665" s="13">
        <v>2</v>
      </c>
      <c r="D665" s="100" t="s">
        <v>896</v>
      </c>
      <c r="E665" s="313"/>
      <c r="F665" s="300"/>
      <c r="G665" s="300"/>
      <c r="H665" s="298"/>
      <c r="I665" s="298"/>
      <c r="J665" s="298"/>
      <c r="K665" s="298"/>
      <c r="L665" s="326"/>
      <c r="M665" s="326"/>
    </row>
    <row r="666" spans="1:13" ht="30" x14ac:dyDescent="0.25">
      <c r="A666" s="340"/>
      <c r="B666" s="315"/>
      <c r="C666" s="13">
        <v>1</v>
      </c>
      <c r="D666" s="100" t="s">
        <v>897</v>
      </c>
      <c r="E666" s="313"/>
      <c r="F666" s="300"/>
      <c r="G666" s="300"/>
      <c r="H666" s="298"/>
      <c r="I666" s="298"/>
      <c r="J666" s="298"/>
      <c r="K666" s="298"/>
      <c r="L666" s="326"/>
      <c r="M666" s="326"/>
    </row>
    <row r="667" spans="1:13" x14ac:dyDescent="0.25">
      <c r="A667" s="340"/>
      <c r="B667" s="315"/>
      <c r="C667" s="13">
        <v>0</v>
      </c>
      <c r="D667" s="100" t="s">
        <v>388</v>
      </c>
      <c r="E667" s="314"/>
      <c r="F667" s="300"/>
      <c r="G667" s="300"/>
      <c r="H667" s="299"/>
      <c r="I667" s="299"/>
      <c r="J667" s="299"/>
      <c r="K667" s="299"/>
      <c r="L667" s="326"/>
      <c r="M667" s="326"/>
    </row>
    <row r="668" spans="1:13" x14ac:dyDescent="0.25">
      <c r="A668" s="340"/>
      <c r="B668" s="315"/>
      <c r="C668" s="304" t="s">
        <v>7</v>
      </c>
      <c r="D668" s="304"/>
      <c r="E668" s="304"/>
      <c r="F668" s="304"/>
      <c r="G668" s="183"/>
      <c r="H668" s="183"/>
      <c r="I668" s="183"/>
      <c r="J668" s="183"/>
      <c r="K668" s="11">
        <f>IF(OR(ISBLANK(K662),K662&lt;0,K662&gt;4),0,K662)</f>
        <v>0</v>
      </c>
      <c r="L668" s="326"/>
      <c r="M668" s="326"/>
    </row>
    <row r="670" spans="1:13" x14ac:dyDescent="0.25">
      <c r="A670" s="340">
        <v>53</v>
      </c>
      <c r="B670" s="315"/>
      <c r="C670" s="291" t="s">
        <v>898</v>
      </c>
      <c r="D670" s="291"/>
      <c r="E670" s="294" t="s">
        <v>1050</v>
      </c>
      <c r="F670" s="300" t="s">
        <v>993</v>
      </c>
      <c r="G670" s="300" t="s">
        <v>994</v>
      </c>
      <c r="H670" s="203" t="s">
        <v>964</v>
      </c>
      <c r="I670" s="203">
        <v>1</v>
      </c>
      <c r="J670" s="212" t="str">
        <f>IF((IF(OR((H670&amp;"."&amp;I670)=$R$8,(H670&amp;"."&amp;I670)=$S$8,(H670&amp;"."&amp;I670)=$T$8,(H670&amp;"."&amp;I670)=$U$8,(H670&amp;"."&amp;I670)=$V$8,(H670&amp;"."&amp;I670)=$W$8),1,0))=1,"EKSTREM",IF((IF(OR((H670&amp;"."&amp;I670)=$R$9,(H670&amp;"."&amp;I670)=$S$9,(H670&amp;"."&amp;I670)=$T$9,(H670&amp;"."&amp;I670)=$U$9,(H670&amp;"."&amp;I670)=$V$9,(H670&amp;"."&amp;I670)=$W$9,(H670&amp;"."&amp;I670)=$X$9),1,0))=1,"TINGGI",IF((IF(OR((H670&amp;"."&amp;I670)=$R$10,(H670&amp;"."&amp;I670)=$S$10,(H670&amp;"."&amp;I670)=$T$10,(H670&amp;"."&amp;I670)=$U$10,(H670&amp;"."&amp;I670)=$V$10,(H670&amp;"."&amp;I670)=$W$10),1,0))=1,"MODERAT",IF((IF(OR((H670&amp;"."&amp;I670)=$R$11,(H670&amp;"."&amp;I670)=$S$11,(H670&amp;"."&amp;I670)=$T$11,(H670&amp;"."&amp;I670)=$U$11,(H670&amp;"."&amp;I670)=$V$11,(H670&amp;"."&amp;I670)=$W$11),1,0))=1,"RENDAH","-"))))</f>
        <v>RENDAH</v>
      </c>
      <c r="K670" s="7"/>
      <c r="L670" s="326" t="s">
        <v>1078</v>
      </c>
      <c r="M670" s="326" t="s">
        <v>1079</v>
      </c>
    </row>
    <row r="671" spans="1:13" x14ac:dyDescent="0.25">
      <c r="A671" s="340"/>
      <c r="B671" s="315"/>
      <c r="C671" s="304" t="s">
        <v>391</v>
      </c>
      <c r="D671" s="304"/>
      <c r="E671" s="294"/>
      <c r="F671" s="300"/>
      <c r="G671" s="300"/>
      <c r="H671" s="297"/>
      <c r="I671" s="297"/>
      <c r="J671" s="297"/>
      <c r="K671" s="111">
        <f>'Isian Prodi'!B177</f>
        <v>0</v>
      </c>
      <c r="L671" s="326"/>
      <c r="M671" s="326"/>
    </row>
    <row r="672" spans="1:13" x14ac:dyDescent="0.25">
      <c r="A672" s="340"/>
      <c r="B672" s="315"/>
      <c r="C672" s="304" t="s">
        <v>392</v>
      </c>
      <c r="D672" s="304"/>
      <c r="E672" s="294"/>
      <c r="F672" s="300"/>
      <c r="G672" s="300"/>
      <c r="H672" s="298"/>
      <c r="I672" s="298"/>
      <c r="J672" s="298"/>
      <c r="K672" s="111">
        <f>'Isian Prodi'!B178</f>
        <v>0</v>
      </c>
      <c r="L672" s="326"/>
      <c r="M672" s="326"/>
    </row>
    <row r="673" spans="1:13" x14ac:dyDescent="0.25">
      <c r="A673" s="340"/>
      <c r="B673" s="315"/>
      <c r="C673" s="304" t="s">
        <v>393</v>
      </c>
      <c r="D673" s="304"/>
      <c r="E673" s="294"/>
      <c r="F673" s="300"/>
      <c r="G673" s="300"/>
      <c r="H673" s="298"/>
      <c r="I673" s="298"/>
      <c r="J673" s="298"/>
      <c r="K673" s="111">
        <f>'Isian Prodi'!B179</f>
        <v>0</v>
      </c>
      <c r="L673" s="326"/>
      <c r="M673" s="326"/>
    </row>
    <row r="674" spans="1:13" x14ac:dyDescent="0.25">
      <c r="A674" s="340"/>
      <c r="B674" s="315"/>
      <c r="C674" s="304" t="s">
        <v>394</v>
      </c>
      <c r="D674" s="304"/>
      <c r="E674" s="294"/>
      <c r="F674" s="300"/>
      <c r="G674" s="300"/>
      <c r="H674" s="298"/>
      <c r="I674" s="298"/>
      <c r="J674" s="298"/>
      <c r="K674" s="112">
        <f>'Isian Prodi'!C177</f>
        <v>0</v>
      </c>
      <c r="L674" s="326"/>
      <c r="M674" s="326"/>
    </row>
    <row r="675" spans="1:13" x14ac:dyDescent="0.25">
      <c r="A675" s="340"/>
      <c r="B675" s="315"/>
      <c r="C675" s="304" t="s">
        <v>395</v>
      </c>
      <c r="D675" s="304"/>
      <c r="E675" s="294"/>
      <c r="F675" s="300"/>
      <c r="G675" s="300"/>
      <c r="H675" s="298"/>
      <c r="I675" s="298"/>
      <c r="J675" s="298"/>
      <c r="K675" s="112">
        <f>'Isian Prodi'!C178</f>
        <v>0</v>
      </c>
      <c r="L675" s="326"/>
      <c r="M675" s="326"/>
    </row>
    <row r="676" spans="1:13" x14ac:dyDescent="0.25">
      <c r="A676" s="340"/>
      <c r="B676" s="315"/>
      <c r="C676" s="304" t="s">
        <v>396</v>
      </c>
      <c r="D676" s="304"/>
      <c r="E676" s="294"/>
      <c r="F676" s="300"/>
      <c r="G676" s="300"/>
      <c r="H676" s="298"/>
      <c r="I676" s="298"/>
      <c r="J676" s="298"/>
      <c r="K676" s="112">
        <f>'Isian Prodi'!C179</f>
        <v>0</v>
      </c>
      <c r="L676" s="326"/>
      <c r="M676" s="326"/>
    </row>
    <row r="677" spans="1:13" x14ac:dyDescent="0.25">
      <c r="A677" s="340"/>
      <c r="B677" s="315"/>
      <c r="C677" s="304" t="s">
        <v>397</v>
      </c>
      <c r="D677" s="304"/>
      <c r="E677" s="294"/>
      <c r="F677" s="300"/>
      <c r="G677" s="300"/>
      <c r="H677" s="299"/>
      <c r="I677" s="299"/>
      <c r="J677" s="299"/>
      <c r="K677" s="112">
        <f>IF(SUM(K671:K673)&gt;0,(K671*K674+K672*K675+K673*K676)/SUM(K671:K673),0)</f>
        <v>0</v>
      </c>
      <c r="L677" s="326"/>
      <c r="M677" s="326"/>
    </row>
    <row r="678" spans="1:13" ht="15" hidden="1" customHeight="1" x14ac:dyDescent="0.25">
      <c r="A678" s="340"/>
      <c r="B678" s="315"/>
      <c r="C678" s="113" t="s">
        <v>398</v>
      </c>
      <c r="D678" s="113">
        <v>2</v>
      </c>
      <c r="E678" s="114"/>
      <c r="F678" s="114"/>
      <c r="G678" s="114"/>
      <c r="H678" s="114"/>
      <c r="I678" s="114"/>
      <c r="J678" s="114"/>
      <c r="K678" s="115"/>
      <c r="L678" s="326"/>
      <c r="M678" s="326"/>
    </row>
    <row r="679" spans="1:13" ht="15" hidden="1" customHeight="1" x14ac:dyDescent="0.25">
      <c r="A679" s="340"/>
      <c r="B679" s="315"/>
      <c r="C679" s="113" t="s">
        <v>399</v>
      </c>
      <c r="D679" s="113">
        <v>3.25</v>
      </c>
      <c r="E679" s="114"/>
      <c r="F679" s="114"/>
      <c r="G679" s="114"/>
      <c r="H679" s="114"/>
      <c r="I679" s="114"/>
      <c r="J679" s="114"/>
      <c r="K679" s="115"/>
      <c r="L679" s="326"/>
      <c r="M679" s="326"/>
    </row>
    <row r="680" spans="1:13" x14ac:dyDescent="0.25">
      <c r="A680" s="340"/>
      <c r="B680" s="315"/>
      <c r="C680" s="304" t="s">
        <v>7</v>
      </c>
      <c r="D680" s="304"/>
      <c r="E680" s="304"/>
      <c r="F680" s="304"/>
      <c r="G680" s="183"/>
      <c r="H680" s="183"/>
      <c r="I680" s="183"/>
      <c r="J680" s="183"/>
      <c r="K680" s="62">
        <f>IF(K677&gt;=D679,4,IF(K677&gt;=D678,(8*K677-6)/5,2))</f>
        <v>2</v>
      </c>
      <c r="L680" s="326"/>
      <c r="M680" s="326"/>
    </row>
    <row r="682" spans="1:13" ht="15" customHeight="1" x14ac:dyDescent="0.25">
      <c r="A682" s="340">
        <v>54</v>
      </c>
      <c r="B682" s="315"/>
      <c r="C682" s="291" t="s">
        <v>899</v>
      </c>
      <c r="D682" s="291"/>
      <c r="E682" s="294" t="s">
        <v>1052</v>
      </c>
      <c r="F682" s="300" t="s">
        <v>993</v>
      </c>
      <c r="G682" s="300" t="s">
        <v>994</v>
      </c>
      <c r="H682" s="203" t="s">
        <v>964</v>
      </c>
      <c r="I682" s="203">
        <v>1</v>
      </c>
      <c r="J682" s="212" t="str">
        <f>IF((IF(OR((H682&amp;"."&amp;I682)=$R$8,(H682&amp;"."&amp;I682)=$S$8,(H682&amp;"."&amp;I682)=$T$8,(H682&amp;"."&amp;I682)=$U$8,(H682&amp;"."&amp;I682)=$V$8,(H682&amp;"."&amp;I682)=$W$8),1,0))=1,"EKSTREM",IF((IF(OR((H682&amp;"."&amp;I682)=$R$9,(H682&amp;"."&amp;I682)=$S$9,(H682&amp;"."&amp;I682)=$T$9,(H682&amp;"."&amp;I682)=$U$9,(H682&amp;"."&amp;I682)=$V$9,(H682&amp;"."&amp;I682)=$W$9,(H682&amp;"."&amp;I682)=$X$9),1,0))=1,"TINGGI",IF((IF(OR((H682&amp;"."&amp;I682)=$R$10,(H682&amp;"."&amp;I682)=$S$10,(H682&amp;"."&amp;I682)=$T$10,(H682&amp;"."&amp;I682)=$U$10,(H682&amp;"."&amp;I682)=$V$10,(H682&amp;"."&amp;I682)=$W$10),1,0))=1,"MODERAT",IF((IF(OR((H682&amp;"."&amp;I682)=$R$11,(H682&amp;"."&amp;I682)=$S$11,(H682&amp;"."&amp;I682)=$T$11,(H682&amp;"."&amp;I682)=$U$11,(H682&amp;"."&amp;I682)=$V$11,(H682&amp;"."&amp;I682)=$W$11),1,0))=1,"RENDAH","-"))))</f>
        <v>RENDAH</v>
      </c>
      <c r="K682" s="7"/>
      <c r="L682" s="326" t="s">
        <v>1078</v>
      </c>
      <c r="M682" s="326" t="s">
        <v>1079</v>
      </c>
    </row>
    <row r="683" spans="1:13" x14ac:dyDescent="0.25">
      <c r="A683" s="340"/>
      <c r="B683" s="315"/>
      <c r="C683" s="323" t="s">
        <v>400</v>
      </c>
      <c r="D683" s="325"/>
      <c r="E683" s="294"/>
      <c r="F683" s="300"/>
      <c r="G683" s="300"/>
      <c r="H683" s="297"/>
      <c r="I683" s="297"/>
      <c r="J683" s="297"/>
      <c r="K683" s="117">
        <f>'Isian Prodi'!D188</f>
        <v>0</v>
      </c>
      <c r="L683" s="326"/>
      <c r="M683" s="326"/>
    </row>
    <row r="684" spans="1:13" x14ac:dyDescent="0.25">
      <c r="A684" s="340"/>
      <c r="B684" s="315"/>
      <c r="C684" s="323" t="s">
        <v>401</v>
      </c>
      <c r="D684" s="325"/>
      <c r="E684" s="294"/>
      <c r="F684" s="300"/>
      <c r="G684" s="300"/>
      <c r="H684" s="298"/>
      <c r="I684" s="298"/>
      <c r="J684" s="298"/>
      <c r="K684" s="117">
        <f>'Isian Prodi'!C188</f>
        <v>0</v>
      </c>
      <c r="L684" s="326"/>
      <c r="M684" s="326"/>
    </row>
    <row r="685" spans="1:13" x14ac:dyDescent="0.25">
      <c r="A685" s="340"/>
      <c r="B685" s="315"/>
      <c r="C685" s="323" t="s">
        <v>402</v>
      </c>
      <c r="D685" s="325"/>
      <c r="E685" s="294"/>
      <c r="F685" s="300"/>
      <c r="G685" s="300"/>
      <c r="H685" s="298"/>
      <c r="I685" s="298"/>
      <c r="J685" s="298"/>
      <c r="K685" s="117">
        <f>'Isian Prodi'!B188</f>
        <v>0</v>
      </c>
      <c r="L685" s="326"/>
      <c r="M685" s="326"/>
    </row>
    <row r="686" spans="1:13" x14ac:dyDescent="0.25">
      <c r="A686" s="340"/>
      <c r="B686" s="315"/>
      <c r="C686" s="323" t="s">
        <v>403</v>
      </c>
      <c r="D686" s="325"/>
      <c r="E686" s="294"/>
      <c r="F686" s="300"/>
      <c r="G686" s="300"/>
      <c r="H686" s="298"/>
      <c r="I686" s="298"/>
      <c r="J686" s="298"/>
      <c r="K686" s="117">
        <f>'Isian Prodi'!B44</f>
        <v>0</v>
      </c>
      <c r="L686" s="326"/>
      <c r="M686" s="326"/>
    </row>
    <row r="687" spans="1:13" x14ac:dyDescent="0.25">
      <c r="A687" s="340"/>
      <c r="B687" s="315"/>
      <c r="C687" s="323" t="s">
        <v>404</v>
      </c>
      <c r="D687" s="325"/>
      <c r="E687" s="294"/>
      <c r="F687" s="300"/>
      <c r="G687" s="300"/>
      <c r="H687" s="298"/>
      <c r="I687" s="298"/>
      <c r="J687" s="298"/>
      <c r="K687" s="116">
        <f>IF(K686&gt;0,K683/K686,0)</f>
        <v>0</v>
      </c>
      <c r="L687" s="326"/>
      <c r="M687" s="326"/>
    </row>
    <row r="688" spans="1:13" x14ac:dyDescent="0.25">
      <c r="A688" s="340"/>
      <c r="B688" s="315"/>
      <c r="C688" s="323" t="s">
        <v>405</v>
      </c>
      <c r="D688" s="325"/>
      <c r="E688" s="294"/>
      <c r="F688" s="300"/>
      <c r="G688" s="300"/>
      <c r="H688" s="298"/>
      <c r="I688" s="298"/>
      <c r="J688" s="298"/>
      <c r="K688" s="116">
        <f>IF(K686&gt;0,K684/K686,0)</f>
        <v>0</v>
      </c>
      <c r="L688" s="326"/>
      <c r="M688" s="326"/>
    </row>
    <row r="689" spans="1:13" x14ac:dyDescent="0.25">
      <c r="A689" s="340"/>
      <c r="B689" s="315"/>
      <c r="C689" s="323" t="s">
        <v>406</v>
      </c>
      <c r="D689" s="325"/>
      <c r="E689" s="294"/>
      <c r="F689" s="300"/>
      <c r="G689" s="300"/>
      <c r="H689" s="299"/>
      <c r="I689" s="299"/>
      <c r="J689" s="299"/>
      <c r="K689" s="116">
        <f>IF(K686&gt;0,K685/K686,0)</f>
        <v>0</v>
      </c>
      <c r="L689" s="326"/>
      <c r="M689" s="326"/>
    </row>
    <row r="690" spans="1:13" ht="15" hidden="1" customHeight="1" x14ac:dyDescent="0.25">
      <c r="A690" s="340"/>
      <c r="B690" s="315"/>
      <c r="C690" s="118" t="s">
        <v>106</v>
      </c>
      <c r="D690" s="119">
        <v>1E-3</v>
      </c>
      <c r="E690" s="120"/>
      <c r="F690" s="120"/>
      <c r="G690" s="120"/>
      <c r="H690" s="120"/>
      <c r="I690" s="120"/>
      <c r="J690" s="120"/>
      <c r="K690" s="120"/>
      <c r="L690" s="326"/>
      <c r="M690" s="326"/>
    </row>
    <row r="691" spans="1:13" ht="15" hidden="1" customHeight="1" x14ac:dyDescent="0.25">
      <c r="A691" s="340"/>
      <c r="B691" s="315"/>
      <c r="C691" s="118" t="s">
        <v>107</v>
      </c>
      <c r="D691" s="119">
        <v>0.01</v>
      </c>
      <c r="E691" s="120"/>
      <c r="F691" s="120"/>
      <c r="G691" s="120"/>
      <c r="H691" s="120"/>
      <c r="I691" s="120"/>
      <c r="J691" s="120"/>
      <c r="K691" s="120"/>
      <c r="L691" s="326"/>
      <c r="M691" s="326"/>
    </row>
    <row r="692" spans="1:13" ht="15" hidden="1" customHeight="1" x14ac:dyDescent="0.25">
      <c r="A692" s="340"/>
      <c r="B692" s="315"/>
      <c r="C692" s="118" t="s">
        <v>108</v>
      </c>
      <c r="D692" s="119">
        <v>0.02</v>
      </c>
      <c r="E692" s="120"/>
      <c r="F692" s="120"/>
      <c r="G692" s="120"/>
      <c r="H692" s="120"/>
      <c r="I692" s="120"/>
      <c r="J692" s="120"/>
      <c r="K692" s="120"/>
      <c r="L692" s="326"/>
      <c r="M692" s="326"/>
    </row>
    <row r="693" spans="1:13" x14ac:dyDescent="0.25">
      <c r="A693" s="340"/>
      <c r="B693" s="315"/>
      <c r="C693" s="304" t="s">
        <v>7</v>
      </c>
      <c r="D693" s="304"/>
      <c r="E693" s="304"/>
      <c r="F693" s="304"/>
      <c r="G693" s="183"/>
      <c r="H693" s="183"/>
      <c r="I693" s="183"/>
      <c r="J693" s="183"/>
      <c r="K693" s="62">
        <f>IF(K687&gt;=D690,4,IF(AND(K687&lt;D690,K688&gt;=D691),3+(K687/D690),IF(AND(0&lt;=K687,K687&lt;D690,0&lt;K688,K688&lt;D691),2+(2*(K687/D690))+(K688/D691)-((K687*K688)/(D690*D691)),IF(AND(K687=0,K688=0,K689&gt;=D692),2,IF(AND(K687=0,K688=0,K689&lt;D692),(2*K689)/D692,0)))))</f>
        <v>0</v>
      </c>
      <c r="L693" s="326"/>
      <c r="M693" s="326"/>
    </row>
    <row r="695" spans="1:13" ht="15" customHeight="1" x14ac:dyDescent="0.25">
      <c r="A695" s="340">
        <v>55</v>
      </c>
      <c r="B695" s="315"/>
      <c r="C695" s="291" t="s">
        <v>900</v>
      </c>
      <c r="D695" s="291"/>
      <c r="E695" s="294" t="s">
        <v>1051</v>
      </c>
      <c r="F695" s="300" t="s">
        <v>993</v>
      </c>
      <c r="G695" s="300" t="s">
        <v>994</v>
      </c>
      <c r="H695" s="203" t="s">
        <v>964</v>
      </c>
      <c r="I695" s="203">
        <v>1</v>
      </c>
      <c r="J695" s="212" t="str">
        <f>IF((IF(OR((H695&amp;"."&amp;I695)=$R$8,(H695&amp;"."&amp;I695)=$S$8,(H695&amp;"."&amp;I695)=$T$8,(H695&amp;"."&amp;I695)=$U$8,(H695&amp;"."&amp;I695)=$V$8,(H695&amp;"."&amp;I695)=$W$8),1,0))=1,"EKSTREM",IF((IF(OR((H695&amp;"."&amp;I695)=$R$9,(H695&amp;"."&amp;I695)=$S$9,(H695&amp;"."&amp;I695)=$T$9,(H695&amp;"."&amp;I695)=$U$9,(H695&amp;"."&amp;I695)=$V$9,(H695&amp;"."&amp;I695)=$W$9,(H695&amp;"."&amp;I695)=$X$9),1,0))=1,"TINGGI",IF((IF(OR((H695&amp;"."&amp;I695)=$R$10,(H695&amp;"."&amp;I695)=$S$10,(H695&amp;"."&amp;I695)=$T$10,(H695&amp;"."&amp;I695)=$U$10,(H695&amp;"."&amp;I695)=$V$10,(H695&amp;"."&amp;I695)=$W$10),1,0))=1,"MODERAT",IF((IF(OR((H695&amp;"."&amp;I695)=$R$11,(H695&amp;"."&amp;I695)=$S$11,(H695&amp;"."&amp;I695)=$T$11,(H695&amp;"."&amp;I695)=$U$11,(H695&amp;"."&amp;I695)=$V$11,(H695&amp;"."&amp;I695)=$W$11),1,0))=1,"RENDAH","-"))))</f>
        <v>RENDAH</v>
      </c>
      <c r="K695" s="7"/>
      <c r="L695" s="326" t="s">
        <v>1078</v>
      </c>
      <c r="M695" s="326" t="s">
        <v>1079</v>
      </c>
    </row>
    <row r="696" spans="1:13" x14ac:dyDescent="0.25">
      <c r="A696" s="340"/>
      <c r="B696" s="315"/>
      <c r="C696" s="323" t="s">
        <v>400</v>
      </c>
      <c r="D696" s="325"/>
      <c r="E696" s="294"/>
      <c r="F696" s="300"/>
      <c r="G696" s="300"/>
      <c r="H696" s="297"/>
      <c r="I696" s="297"/>
      <c r="J696" s="297"/>
      <c r="K696" s="117">
        <f>'Isian Prodi'!D197</f>
        <v>0</v>
      </c>
      <c r="L696" s="326"/>
      <c r="M696" s="326"/>
    </row>
    <row r="697" spans="1:13" x14ac:dyDescent="0.25">
      <c r="A697" s="340"/>
      <c r="B697" s="315"/>
      <c r="C697" s="323" t="s">
        <v>401</v>
      </c>
      <c r="D697" s="325"/>
      <c r="E697" s="294"/>
      <c r="F697" s="300"/>
      <c r="G697" s="300"/>
      <c r="H697" s="298"/>
      <c r="I697" s="298"/>
      <c r="J697" s="298"/>
      <c r="K697" s="117">
        <f>'Isian Prodi'!C197</f>
        <v>0</v>
      </c>
      <c r="L697" s="326"/>
      <c r="M697" s="326"/>
    </row>
    <row r="698" spans="1:13" x14ac:dyDescent="0.25">
      <c r="A698" s="340"/>
      <c r="B698" s="315"/>
      <c r="C698" s="323" t="s">
        <v>402</v>
      </c>
      <c r="D698" s="325"/>
      <c r="E698" s="294"/>
      <c r="F698" s="300"/>
      <c r="G698" s="300"/>
      <c r="H698" s="298"/>
      <c r="I698" s="298"/>
      <c r="J698" s="298"/>
      <c r="K698" s="117">
        <f>'Isian Prodi'!B197</f>
        <v>0</v>
      </c>
      <c r="L698" s="326"/>
      <c r="M698" s="326"/>
    </row>
    <row r="699" spans="1:13" x14ac:dyDescent="0.25">
      <c r="A699" s="340"/>
      <c r="B699" s="315"/>
      <c r="C699" s="323" t="s">
        <v>403</v>
      </c>
      <c r="D699" s="325"/>
      <c r="E699" s="294"/>
      <c r="F699" s="300"/>
      <c r="G699" s="300"/>
      <c r="H699" s="298"/>
      <c r="I699" s="298"/>
      <c r="J699" s="298"/>
      <c r="K699" s="117">
        <f>'Isian Prodi'!B44</f>
        <v>0</v>
      </c>
      <c r="L699" s="326"/>
      <c r="M699" s="326"/>
    </row>
    <row r="700" spans="1:13" x14ac:dyDescent="0.25">
      <c r="A700" s="340"/>
      <c r="B700" s="315"/>
      <c r="C700" s="323" t="s">
        <v>404</v>
      </c>
      <c r="D700" s="325"/>
      <c r="E700" s="294"/>
      <c r="F700" s="300"/>
      <c r="G700" s="300"/>
      <c r="H700" s="298"/>
      <c r="I700" s="298"/>
      <c r="J700" s="298"/>
      <c r="K700" s="116">
        <f>IF(K699&gt;0,K696/K699,0)</f>
        <v>0</v>
      </c>
      <c r="L700" s="326"/>
      <c r="M700" s="326"/>
    </row>
    <row r="701" spans="1:13" x14ac:dyDescent="0.25">
      <c r="A701" s="340"/>
      <c r="B701" s="315"/>
      <c r="C701" s="323" t="s">
        <v>405</v>
      </c>
      <c r="D701" s="325"/>
      <c r="E701" s="294"/>
      <c r="F701" s="300"/>
      <c r="G701" s="300"/>
      <c r="H701" s="298"/>
      <c r="I701" s="298"/>
      <c r="J701" s="298"/>
      <c r="K701" s="116">
        <f>IF(K699&gt;0,K697/K699,0)</f>
        <v>0</v>
      </c>
      <c r="L701" s="326"/>
      <c r="M701" s="326"/>
    </row>
    <row r="702" spans="1:13" x14ac:dyDescent="0.25">
      <c r="A702" s="340"/>
      <c r="B702" s="315"/>
      <c r="C702" s="323" t="s">
        <v>406</v>
      </c>
      <c r="D702" s="325"/>
      <c r="E702" s="294"/>
      <c r="F702" s="300"/>
      <c r="G702" s="300"/>
      <c r="H702" s="299"/>
      <c r="I702" s="299"/>
      <c r="J702" s="299"/>
      <c r="K702" s="116">
        <f>IF(K699&gt;0,K698/K699,0)</f>
        <v>0</v>
      </c>
      <c r="L702" s="326"/>
      <c r="M702" s="326"/>
    </row>
    <row r="703" spans="1:13" ht="15" hidden="1" customHeight="1" x14ac:dyDescent="0.25">
      <c r="A703" s="340"/>
      <c r="B703" s="315"/>
      <c r="C703" s="118" t="s">
        <v>106</v>
      </c>
      <c r="D703" s="119">
        <v>2E-3</v>
      </c>
      <c r="E703" s="120"/>
      <c r="F703" s="120"/>
      <c r="G703" s="120"/>
      <c r="H703" s="120"/>
      <c r="I703" s="120"/>
      <c r="J703" s="120"/>
      <c r="K703" s="120"/>
      <c r="L703" s="326"/>
      <c r="M703" s="326"/>
    </row>
    <row r="704" spans="1:13" ht="15" hidden="1" customHeight="1" x14ac:dyDescent="0.25">
      <c r="A704" s="340"/>
      <c r="B704" s="315"/>
      <c r="C704" s="118" t="s">
        <v>107</v>
      </c>
      <c r="D704" s="119">
        <v>0.02</v>
      </c>
      <c r="E704" s="120"/>
      <c r="F704" s="120"/>
      <c r="G704" s="120"/>
      <c r="H704" s="120"/>
      <c r="I704" s="120"/>
      <c r="J704" s="120"/>
      <c r="K704" s="120"/>
      <c r="L704" s="326"/>
      <c r="M704" s="326"/>
    </row>
    <row r="705" spans="1:13" ht="15" hidden="1" customHeight="1" x14ac:dyDescent="0.25">
      <c r="A705" s="340"/>
      <c r="B705" s="315"/>
      <c r="C705" s="118" t="s">
        <v>108</v>
      </c>
      <c r="D705" s="119">
        <v>0.04</v>
      </c>
      <c r="E705" s="120"/>
      <c r="F705" s="120"/>
      <c r="G705" s="120"/>
      <c r="H705" s="120"/>
      <c r="I705" s="120"/>
      <c r="J705" s="120"/>
      <c r="K705" s="120"/>
      <c r="L705" s="326"/>
      <c r="M705" s="326"/>
    </row>
    <row r="706" spans="1:13" x14ac:dyDescent="0.25">
      <c r="A706" s="340"/>
      <c r="B706" s="315"/>
      <c r="C706" s="304" t="s">
        <v>7</v>
      </c>
      <c r="D706" s="304"/>
      <c r="E706" s="304"/>
      <c r="F706" s="304"/>
      <c r="G706" s="183"/>
      <c r="H706" s="183"/>
      <c r="I706" s="183"/>
      <c r="J706" s="183"/>
      <c r="K706" s="62">
        <f>IF(K700&gt;=D703,4,IF(AND(K700&lt;D703,K701&gt;=D704),3+(K700/D703),IF(AND(0&lt;=K700,K700&lt;D703,0&lt;K701,K701&lt;D704),2+(2*(K700/D703))+(K701/D704)-((K700*K701)/(D703*D704)),IF(AND(K700=0,K701=0,K702&gt;=D705),2,IF(AND(K700=0,K701=0,K702&lt;D705),(2*K702)/D705,0)))))</f>
        <v>0</v>
      </c>
      <c r="L706" s="326"/>
      <c r="M706" s="326"/>
    </row>
    <row r="708" spans="1:13" ht="15.75" customHeight="1" x14ac:dyDescent="0.25">
      <c r="A708" s="340">
        <v>56</v>
      </c>
      <c r="B708" s="315"/>
      <c r="C708" s="291" t="s">
        <v>901</v>
      </c>
      <c r="D708" s="291"/>
      <c r="E708" s="294" t="s">
        <v>1053</v>
      </c>
      <c r="F708" s="300" t="s">
        <v>993</v>
      </c>
      <c r="G708" s="300" t="s">
        <v>994</v>
      </c>
      <c r="H708" s="203" t="s">
        <v>964</v>
      </c>
      <c r="I708" s="203">
        <v>1</v>
      </c>
      <c r="J708" s="212" t="str">
        <f>IF((IF(OR((H708&amp;"."&amp;I708)=$R$8,(H708&amp;"."&amp;I708)=$S$8,(H708&amp;"."&amp;I708)=$T$8,(H708&amp;"."&amp;I708)=$U$8,(H708&amp;"."&amp;I708)=$V$8,(H708&amp;"."&amp;I708)=$W$8),1,0))=1,"EKSTREM",IF((IF(OR((H708&amp;"."&amp;I708)=$R$9,(H708&amp;"."&amp;I708)=$S$9,(H708&amp;"."&amp;I708)=$T$9,(H708&amp;"."&amp;I708)=$U$9,(H708&amp;"."&amp;I708)=$V$9,(H708&amp;"."&amp;I708)=$W$9,(H708&amp;"."&amp;I708)=$X$9),1,0))=1,"TINGGI",IF((IF(OR((H708&amp;"."&amp;I708)=$R$10,(H708&amp;"."&amp;I708)=$S$10,(H708&amp;"."&amp;I708)=$T$10,(H708&amp;"."&amp;I708)=$U$10,(H708&amp;"."&amp;I708)=$V$10,(H708&amp;"."&amp;I708)=$W$10),1,0))=1,"MODERAT",IF((IF(OR((H708&amp;"."&amp;I708)=$R$11,(H708&amp;"."&amp;I708)=$S$11,(H708&amp;"."&amp;I708)=$T$11,(H708&amp;"."&amp;I708)=$U$11,(H708&amp;"."&amp;I708)=$V$11,(H708&amp;"."&amp;I708)=$W$11),1,0))=1,"RENDAH","-"))))</f>
        <v>RENDAH</v>
      </c>
      <c r="K708" s="7"/>
      <c r="L708" s="326" t="s">
        <v>1078</v>
      </c>
      <c r="M708" s="326" t="s">
        <v>1079</v>
      </c>
    </row>
    <row r="709" spans="1:13" x14ac:dyDescent="0.25">
      <c r="A709" s="340"/>
      <c r="B709" s="315"/>
      <c r="C709" s="368" t="s">
        <v>409</v>
      </c>
      <c r="D709" s="368"/>
      <c r="E709" s="304"/>
      <c r="F709" s="300"/>
      <c r="G709" s="300"/>
      <c r="H709" s="297"/>
      <c r="I709" s="297"/>
      <c r="J709" s="297"/>
      <c r="K709" s="111">
        <f>'Isian Prodi'!J203</f>
        <v>0</v>
      </c>
      <c r="L709" s="326"/>
      <c r="M709" s="326"/>
    </row>
    <row r="710" spans="1:13" x14ac:dyDescent="0.25">
      <c r="A710" s="340"/>
      <c r="B710" s="315"/>
      <c r="C710" s="368" t="s">
        <v>410</v>
      </c>
      <c r="D710" s="368"/>
      <c r="E710" s="304"/>
      <c r="F710" s="300"/>
      <c r="G710" s="300"/>
      <c r="H710" s="298"/>
      <c r="I710" s="298"/>
      <c r="J710" s="298"/>
      <c r="K710" s="111">
        <f>'Isian Prodi'!K203</f>
        <v>0</v>
      </c>
      <c r="L710" s="326"/>
      <c r="M710" s="326"/>
    </row>
    <row r="711" spans="1:13" x14ac:dyDescent="0.25">
      <c r="A711" s="340"/>
      <c r="B711" s="315"/>
      <c r="C711" s="368" t="s">
        <v>411</v>
      </c>
      <c r="D711" s="368"/>
      <c r="E711" s="304"/>
      <c r="F711" s="300"/>
      <c r="G711" s="300"/>
      <c r="H711" s="298"/>
      <c r="I711" s="298"/>
      <c r="J711" s="298"/>
      <c r="K711" s="111">
        <f>'Isian Prodi'!J204</f>
        <v>0</v>
      </c>
      <c r="L711" s="326"/>
      <c r="M711" s="326"/>
    </row>
    <row r="712" spans="1:13" x14ac:dyDescent="0.25">
      <c r="A712" s="340"/>
      <c r="B712" s="315"/>
      <c r="C712" s="368" t="s">
        <v>412</v>
      </c>
      <c r="D712" s="368"/>
      <c r="E712" s="304"/>
      <c r="F712" s="300"/>
      <c r="G712" s="300"/>
      <c r="H712" s="298"/>
      <c r="I712" s="298"/>
      <c r="J712" s="298"/>
      <c r="K712" s="111">
        <f>'Isian Prodi'!K204</f>
        <v>0</v>
      </c>
      <c r="L712" s="326"/>
      <c r="M712" s="326"/>
    </row>
    <row r="713" spans="1:13" x14ac:dyDescent="0.25">
      <c r="A713" s="340"/>
      <c r="B713" s="315"/>
      <c r="C713" s="368" t="s">
        <v>413</v>
      </c>
      <c r="D713" s="368"/>
      <c r="E713" s="304"/>
      <c r="F713" s="300"/>
      <c r="G713" s="300"/>
      <c r="H713" s="298"/>
      <c r="I713" s="298"/>
      <c r="J713" s="298"/>
      <c r="K713" s="111">
        <f>'Isian Prodi'!J205</f>
        <v>0</v>
      </c>
      <c r="L713" s="326"/>
      <c r="M713" s="326"/>
    </row>
    <row r="714" spans="1:13" x14ac:dyDescent="0.25">
      <c r="A714" s="340"/>
      <c r="B714" s="315"/>
      <c r="C714" s="368" t="s">
        <v>414</v>
      </c>
      <c r="D714" s="368"/>
      <c r="E714" s="304"/>
      <c r="F714" s="300"/>
      <c r="G714" s="300"/>
      <c r="H714" s="298"/>
      <c r="I714" s="298"/>
      <c r="J714" s="298"/>
      <c r="K714" s="129">
        <f>'Isian Prodi'!K205</f>
        <v>0</v>
      </c>
      <c r="L714" s="326"/>
      <c r="M714" s="326"/>
    </row>
    <row r="715" spans="1:13" x14ac:dyDescent="0.25">
      <c r="A715" s="340"/>
      <c r="B715" s="315"/>
      <c r="C715" s="368" t="s">
        <v>415</v>
      </c>
      <c r="D715" s="368"/>
      <c r="E715" s="304"/>
      <c r="F715" s="300"/>
      <c r="G715" s="300"/>
      <c r="H715" s="298"/>
      <c r="I715" s="298"/>
      <c r="J715" s="298"/>
      <c r="K715" s="128">
        <f>'Isian Prodi'!J206</f>
        <v>0</v>
      </c>
      <c r="L715" s="326"/>
      <c r="M715" s="326"/>
    </row>
    <row r="716" spans="1:13" x14ac:dyDescent="0.25">
      <c r="A716" s="340"/>
      <c r="B716" s="315"/>
      <c r="C716" s="368" t="s">
        <v>416</v>
      </c>
      <c r="D716" s="368"/>
      <c r="E716" s="304"/>
      <c r="F716" s="300"/>
      <c r="G716" s="300"/>
      <c r="H716" s="298"/>
      <c r="I716" s="298"/>
      <c r="J716" s="298"/>
      <c r="K716" s="129">
        <f>'Isian Prodi'!K206</f>
        <v>0</v>
      </c>
      <c r="L716" s="326"/>
      <c r="M716" s="326"/>
    </row>
    <row r="717" spans="1:13" x14ac:dyDescent="0.25">
      <c r="A717" s="340"/>
      <c r="B717" s="315"/>
      <c r="C717" s="368" t="s">
        <v>417</v>
      </c>
      <c r="D717" s="368"/>
      <c r="E717" s="304"/>
      <c r="F717" s="300"/>
      <c r="G717" s="300"/>
      <c r="H717" s="299"/>
      <c r="I717" s="299"/>
      <c r="J717" s="299"/>
      <c r="K717" s="62">
        <f>IF(SUM(K709,K711,K713,K715)&gt;0,(K709*K710+K711*K712+K713*K714+K715*K716)/SUM(K709,K711,K713,K715),0)</f>
        <v>0</v>
      </c>
      <c r="L717" s="326"/>
      <c r="M717" s="326"/>
    </row>
    <row r="718" spans="1:13" ht="15" hidden="1" customHeight="1" x14ac:dyDescent="0.25">
      <c r="A718" s="340"/>
      <c r="B718" s="315"/>
      <c r="C718" s="113" t="s">
        <v>398</v>
      </c>
      <c r="D718" s="113">
        <v>2.9999999999999898</v>
      </c>
      <c r="E718" s="113">
        <v>3.5</v>
      </c>
      <c r="F718" s="114"/>
      <c r="G718" s="114"/>
      <c r="H718" s="114"/>
      <c r="I718" s="114"/>
      <c r="J718" s="114"/>
      <c r="K718" s="127"/>
      <c r="L718" s="326"/>
      <c r="M718" s="326"/>
    </row>
    <row r="719" spans="1:13" ht="15" hidden="1" customHeight="1" x14ac:dyDescent="0.25">
      <c r="A719" s="340"/>
      <c r="B719" s="315"/>
      <c r="C719" s="113" t="s">
        <v>418</v>
      </c>
      <c r="D719" s="113">
        <v>4.5</v>
      </c>
      <c r="E719" s="113">
        <v>7</v>
      </c>
      <c r="F719" s="114"/>
      <c r="G719" s="114"/>
      <c r="H719" s="114"/>
      <c r="I719" s="114"/>
      <c r="J719" s="114"/>
      <c r="K719" s="127"/>
      <c r="L719" s="326"/>
      <c r="M719" s="326"/>
    </row>
    <row r="720" spans="1:13" x14ac:dyDescent="0.25">
      <c r="A720" s="340"/>
      <c r="B720" s="315"/>
      <c r="C720" s="304" t="s">
        <v>7</v>
      </c>
      <c r="D720" s="304"/>
      <c r="E720" s="304"/>
      <c r="F720" s="304"/>
      <c r="G720" s="183"/>
      <c r="H720" s="183"/>
      <c r="I720" s="183"/>
      <c r="J720" s="183"/>
      <c r="K720" s="62">
        <f>IF(K717&gt;E719,0,IF(K717&gt;D719,(56-(8*K717))/5,IF(K717&gt;E718,4,IF(K717&gt;D718,(8*K717)-24,0))))</f>
        <v>0</v>
      </c>
      <c r="L720" s="326"/>
      <c r="M720" s="326"/>
    </row>
    <row r="722" spans="1:13" ht="15" customHeight="1" x14ac:dyDescent="0.25">
      <c r="A722" s="340">
        <v>57</v>
      </c>
      <c r="B722" s="315"/>
      <c r="C722" s="291" t="s">
        <v>902</v>
      </c>
      <c r="D722" s="291"/>
      <c r="E722" s="294" t="s">
        <v>1054</v>
      </c>
      <c r="F722" s="300" t="s">
        <v>993</v>
      </c>
      <c r="G722" s="300" t="s">
        <v>994</v>
      </c>
      <c r="H722" s="203" t="s">
        <v>964</v>
      </c>
      <c r="I722" s="203">
        <v>1</v>
      </c>
      <c r="J722" s="212" t="str">
        <f>IF((IF(OR((H722&amp;"."&amp;I722)=$R$8,(H722&amp;"."&amp;I722)=$S$8,(H722&amp;"."&amp;I722)=$T$8,(H722&amp;"."&amp;I722)=$U$8,(H722&amp;"."&amp;I722)=$V$8,(H722&amp;"."&amp;I722)=$W$8),1,0))=1,"EKSTREM",IF((IF(OR((H722&amp;"."&amp;I722)=$R$9,(H722&amp;"."&amp;I722)=$S$9,(H722&amp;"."&amp;I722)=$T$9,(H722&amp;"."&amp;I722)=$U$9,(H722&amp;"."&amp;I722)=$V$9,(H722&amp;"."&amp;I722)=$W$9,(H722&amp;"."&amp;I722)=$X$9),1,0))=1,"TINGGI",IF((IF(OR((H722&amp;"."&amp;I722)=$R$10,(H722&amp;"."&amp;I722)=$S$10,(H722&amp;"."&amp;I722)=$T$10,(H722&amp;"."&amp;I722)=$U$10,(H722&amp;"."&amp;I722)=$V$10,(H722&amp;"."&amp;I722)=$W$10),1,0))=1,"MODERAT",IF((IF(OR((H722&amp;"."&amp;I722)=$R$11,(H722&amp;"."&amp;I722)=$S$11,(H722&amp;"."&amp;I722)=$T$11,(H722&amp;"."&amp;I722)=$U$11,(H722&amp;"."&amp;I722)=$V$11,(H722&amp;"."&amp;I722)=$W$11),1,0))=1,"RENDAH","-"))))</f>
        <v>RENDAH</v>
      </c>
      <c r="K722" s="7"/>
      <c r="L722" s="326" t="s">
        <v>1078</v>
      </c>
      <c r="M722" s="326" t="s">
        <v>1079</v>
      </c>
    </row>
    <row r="723" spans="1:13" x14ac:dyDescent="0.25">
      <c r="A723" s="340"/>
      <c r="B723" s="315"/>
      <c r="C723" s="308" t="s">
        <v>433</v>
      </c>
      <c r="D723" s="308"/>
      <c r="E723" s="304"/>
      <c r="F723" s="300"/>
      <c r="G723" s="300"/>
      <c r="H723" s="297"/>
      <c r="I723" s="297"/>
      <c r="J723" s="297"/>
      <c r="K723" s="128">
        <f>'Isian Prodi'!B203</f>
        <v>0</v>
      </c>
      <c r="L723" s="326"/>
      <c r="M723" s="326"/>
    </row>
    <row r="724" spans="1:13" x14ac:dyDescent="0.25">
      <c r="A724" s="340"/>
      <c r="B724" s="315"/>
      <c r="C724" s="308" t="s">
        <v>434</v>
      </c>
      <c r="D724" s="308"/>
      <c r="E724" s="304"/>
      <c r="F724" s="300"/>
      <c r="G724" s="300"/>
      <c r="H724" s="298"/>
      <c r="I724" s="298"/>
      <c r="J724" s="298"/>
      <c r="K724" s="128">
        <f>'Isian Prodi'!B204</f>
        <v>0</v>
      </c>
      <c r="L724" s="326"/>
      <c r="M724" s="326"/>
    </row>
    <row r="725" spans="1:13" x14ac:dyDescent="0.25">
      <c r="A725" s="340"/>
      <c r="B725" s="315"/>
      <c r="C725" s="308" t="s">
        <v>435</v>
      </c>
      <c r="D725" s="308"/>
      <c r="E725" s="304"/>
      <c r="F725" s="300"/>
      <c r="G725" s="300"/>
      <c r="H725" s="298"/>
      <c r="I725" s="298"/>
      <c r="J725" s="298"/>
      <c r="K725" s="128">
        <f>'Isian Prodi'!B205</f>
        <v>0</v>
      </c>
      <c r="L725" s="326"/>
      <c r="M725" s="326"/>
    </row>
    <row r="726" spans="1:13" x14ac:dyDescent="0.25">
      <c r="A726" s="340"/>
      <c r="B726" s="315"/>
      <c r="C726" s="308" t="s">
        <v>436</v>
      </c>
      <c r="D726" s="308"/>
      <c r="E726" s="304"/>
      <c r="F726" s="300"/>
      <c r="G726" s="300"/>
      <c r="H726" s="298"/>
      <c r="I726" s="298"/>
      <c r="J726" s="298"/>
      <c r="K726" s="128">
        <f>'Isian Prodi'!B206</f>
        <v>0</v>
      </c>
      <c r="L726" s="326"/>
      <c r="M726" s="326"/>
    </row>
    <row r="727" spans="1:13" x14ac:dyDescent="0.25">
      <c r="A727" s="340"/>
      <c r="B727" s="315"/>
      <c r="C727" s="308" t="s">
        <v>437</v>
      </c>
      <c r="D727" s="308"/>
      <c r="E727" s="304"/>
      <c r="F727" s="300"/>
      <c r="G727" s="300"/>
      <c r="H727" s="298"/>
      <c r="I727" s="298"/>
      <c r="J727" s="298"/>
      <c r="K727" s="128">
        <f>'Isian Prodi'!F207</f>
        <v>0</v>
      </c>
      <c r="L727" s="326"/>
      <c r="M727" s="326"/>
    </row>
    <row r="728" spans="1:13" x14ac:dyDescent="0.25">
      <c r="A728" s="340"/>
      <c r="B728" s="315"/>
      <c r="C728" s="308" t="s">
        <v>438</v>
      </c>
      <c r="D728" s="308"/>
      <c r="E728" s="304"/>
      <c r="F728" s="300"/>
      <c r="G728" s="300"/>
      <c r="H728" s="298"/>
      <c r="I728" s="298"/>
      <c r="J728" s="298"/>
      <c r="K728" s="128">
        <f>'Isian Prodi'!G207</f>
        <v>0</v>
      </c>
      <c r="L728" s="326"/>
      <c r="M728" s="326"/>
    </row>
    <row r="729" spans="1:13" x14ac:dyDescent="0.25">
      <c r="A729" s="340"/>
      <c r="B729" s="315"/>
      <c r="C729" s="308" t="s">
        <v>439</v>
      </c>
      <c r="D729" s="308"/>
      <c r="E729" s="304"/>
      <c r="F729" s="300"/>
      <c r="G729" s="300"/>
      <c r="H729" s="298"/>
      <c r="I729" s="298"/>
      <c r="J729" s="298"/>
      <c r="K729" s="128">
        <f>'Isian Prodi'!H207</f>
        <v>0</v>
      </c>
      <c r="L729" s="326"/>
      <c r="M729" s="326"/>
    </row>
    <row r="730" spans="1:13" x14ac:dyDescent="0.25">
      <c r="A730" s="340"/>
      <c r="B730" s="315"/>
      <c r="C730" s="308" t="s">
        <v>440</v>
      </c>
      <c r="D730" s="308"/>
      <c r="E730" s="304"/>
      <c r="F730" s="300"/>
      <c r="G730" s="300"/>
      <c r="H730" s="298"/>
      <c r="I730" s="298"/>
      <c r="J730" s="298"/>
      <c r="K730" s="128">
        <f>'Isian Prodi'!I207</f>
        <v>0</v>
      </c>
      <c r="L730" s="326"/>
      <c r="M730" s="326"/>
    </row>
    <row r="731" spans="1:13" x14ac:dyDescent="0.25">
      <c r="A731" s="340"/>
      <c r="B731" s="315"/>
      <c r="C731" s="308" t="s">
        <v>441</v>
      </c>
      <c r="D731" s="308"/>
      <c r="E731" s="304"/>
      <c r="F731" s="300"/>
      <c r="G731" s="300"/>
      <c r="H731" s="299"/>
      <c r="I731" s="299"/>
      <c r="J731" s="299"/>
      <c r="K731" s="116">
        <f>IF(SUM(K723:K726)&gt;0,SUM(K727:K730)/SUM(K723:K726),0)</f>
        <v>0</v>
      </c>
      <c r="L731" s="326"/>
      <c r="M731" s="326"/>
    </row>
    <row r="732" spans="1:13" x14ac:dyDescent="0.25">
      <c r="A732" s="340"/>
      <c r="B732" s="315"/>
      <c r="C732" s="304" t="s">
        <v>7</v>
      </c>
      <c r="D732" s="304"/>
      <c r="E732" s="304"/>
      <c r="F732" s="304"/>
      <c r="G732" s="183"/>
      <c r="H732" s="183"/>
      <c r="I732" s="183"/>
      <c r="J732" s="183"/>
      <c r="K732" s="62">
        <f>IF(K731&gt;=50%,4,1+(6*K731))</f>
        <v>1</v>
      </c>
      <c r="L732" s="326"/>
      <c r="M732" s="326"/>
    </row>
    <row r="734" spans="1:13" ht="15.75" customHeight="1" x14ac:dyDescent="0.25">
      <c r="A734" s="340">
        <v>58</v>
      </c>
      <c r="B734" s="315"/>
      <c r="C734" s="291" t="s">
        <v>903</v>
      </c>
      <c r="D734" s="291"/>
      <c r="E734" s="294" t="s">
        <v>1055</v>
      </c>
      <c r="F734" s="300" t="s">
        <v>993</v>
      </c>
      <c r="G734" s="300" t="s">
        <v>994</v>
      </c>
      <c r="H734" s="203" t="s">
        <v>698</v>
      </c>
      <c r="I734" s="203">
        <v>4</v>
      </c>
      <c r="J734" s="212" t="str">
        <f>IF((IF(OR((H734&amp;"."&amp;I734)=$R$8,(H734&amp;"."&amp;I734)=$S$8,(H734&amp;"."&amp;I734)=$T$8,(H734&amp;"."&amp;I734)=$U$8,(H734&amp;"."&amp;I734)=$V$8,(H734&amp;"."&amp;I734)=$W$8),1,0))=1,"EKSTREM",IF((IF(OR((H734&amp;"."&amp;I734)=$R$9,(H734&amp;"."&amp;I734)=$S$9,(H734&amp;"."&amp;I734)=$T$9,(H734&amp;"."&amp;I734)=$U$9,(H734&amp;"."&amp;I734)=$V$9,(H734&amp;"."&amp;I734)=$W$9,(H734&amp;"."&amp;I734)=$X$9),1,0))=1,"TINGGI",IF((IF(OR((H734&amp;"."&amp;I734)=$R$10,(H734&amp;"."&amp;I734)=$S$10,(H734&amp;"."&amp;I734)=$T$10,(H734&amp;"."&amp;I734)=$U$10,(H734&amp;"."&amp;I734)=$V$10,(H734&amp;"."&amp;I734)=$W$10),1,0))=1,"MODERAT",IF((IF(OR((H734&amp;"."&amp;I734)=$R$11,(H734&amp;"."&amp;I734)=$S$11,(H734&amp;"."&amp;I734)=$T$11,(H734&amp;"."&amp;I734)=$U$11,(H734&amp;"."&amp;I734)=$V$11,(H734&amp;"."&amp;I734)=$W$11),1,0))=1,"RENDAH","-"))))</f>
        <v>TINGGI</v>
      </c>
      <c r="K734" s="7"/>
      <c r="L734" s="326" t="s">
        <v>1078</v>
      </c>
      <c r="M734" s="326" t="s">
        <v>1079</v>
      </c>
    </row>
    <row r="735" spans="1:13" x14ac:dyDescent="0.25">
      <c r="A735" s="340"/>
      <c r="B735" s="315"/>
      <c r="C735" s="304" t="s">
        <v>442</v>
      </c>
      <c r="D735" s="304"/>
      <c r="E735" s="294"/>
      <c r="F735" s="300"/>
      <c r="G735" s="300"/>
      <c r="H735" s="297"/>
      <c r="I735" s="297"/>
      <c r="J735" s="297"/>
      <c r="K735" s="111">
        <f>'Isian Prodi'!B203</f>
        <v>0</v>
      </c>
      <c r="L735" s="326"/>
      <c r="M735" s="326"/>
    </row>
    <row r="736" spans="1:13" x14ac:dyDescent="0.25">
      <c r="A736" s="340"/>
      <c r="B736" s="315"/>
      <c r="C736" s="304" t="s">
        <v>443</v>
      </c>
      <c r="D736" s="304"/>
      <c r="E736" s="294"/>
      <c r="F736" s="300"/>
      <c r="G736" s="300"/>
      <c r="H736" s="298"/>
      <c r="I736" s="298"/>
      <c r="J736" s="298"/>
      <c r="K736" s="111">
        <f>'Isian Prodi'!F203</f>
        <v>0</v>
      </c>
      <c r="L736" s="326"/>
      <c r="M736" s="326"/>
    </row>
    <row r="737" spans="1:13" x14ac:dyDescent="0.25">
      <c r="A737" s="340"/>
      <c r="B737" s="315"/>
      <c r="C737" s="304" t="s">
        <v>444</v>
      </c>
      <c r="D737" s="304"/>
      <c r="E737" s="294"/>
      <c r="F737" s="300"/>
      <c r="G737" s="300"/>
      <c r="H737" s="298"/>
      <c r="I737" s="298"/>
      <c r="J737" s="298"/>
      <c r="K737" s="111">
        <f>'Isian Prodi'!G203</f>
        <v>0</v>
      </c>
      <c r="L737" s="326"/>
      <c r="M737" s="326"/>
    </row>
    <row r="738" spans="1:13" x14ac:dyDescent="0.25">
      <c r="A738" s="340"/>
      <c r="B738" s="315"/>
      <c r="C738" s="304" t="s">
        <v>445</v>
      </c>
      <c r="D738" s="304"/>
      <c r="E738" s="294"/>
      <c r="F738" s="300"/>
      <c r="G738" s="300"/>
      <c r="H738" s="298"/>
      <c r="I738" s="298"/>
      <c r="J738" s="298"/>
      <c r="K738" s="111">
        <f>'Isian Prodi'!H203</f>
        <v>0</v>
      </c>
      <c r="L738" s="326"/>
      <c r="M738" s="326"/>
    </row>
    <row r="739" spans="1:13" x14ac:dyDescent="0.25">
      <c r="A739" s="340"/>
      <c r="B739" s="315"/>
      <c r="C739" s="304" t="s">
        <v>446</v>
      </c>
      <c r="D739" s="304"/>
      <c r="E739" s="294"/>
      <c r="F739" s="300"/>
      <c r="G739" s="300"/>
      <c r="H739" s="298"/>
      <c r="I739" s="298"/>
      <c r="J739" s="298"/>
      <c r="K739" s="111">
        <f>'Isian Prodi'!I203</f>
        <v>0</v>
      </c>
      <c r="L739" s="326"/>
      <c r="M739" s="326"/>
    </row>
    <row r="740" spans="1:13" x14ac:dyDescent="0.25">
      <c r="A740" s="340"/>
      <c r="B740" s="315"/>
      <c r="C740" s="304" t="s">
        <v>447</v>
      </c>
      <c r="D740" s="304"/>
      <c r="E740" s="294"/>
      <c r="F740" s="300"/>
      <c r="G740" s="300"/>
      <c r="H740" s="299"/>
      <c r="I740" s="299"/>
      <c r="J740" s="299"/>
      <c r="K740" s="116">
        <f>IF(K735&gt;0,SUM(K736:K739)/K735,0)</f>
        <v>0</v>
      </c>
      <c r="L740" s="326"/>
      <c r="M740" s="326"/>
    </row>
    <row r="741" spans="1:13" ht="15" hidden="1" customHeight="1" x14ac:dyDescent="0.25">
      <c r="A741" s="340"/>
      <c r="B741" s="315"/>
      <c r="C741" s="118" t="s">
        <v>398</v>
      </c>
      <c r="D741" s="119">
        <v>0.3</v>
      </c>
      <c r="E741" s="118"/>
      <c r="F741" s="118"/>
      <c r="G741" s="118"/>
      <c r="H741" s="118"/>
      <c r="I741" s="118"/>
      <c r="J741" s="118"/>
      <c r="K741" s="61"/>
      <c r="L741" s="326"/>
      <c r="M741" s="326"/>
    </row>
    <row r="742" spans="1:13" ht="15" hidden="1" customHeight="1" x14ac:dyDescent="0.25">
      <c r="A742" s="340"/>
      <c r="B742" s="315"/>
      <c r="C742" s="118" t="s">
        <v>399</v>
      </c>
      <c r="D742" s="119">
        <v>0.85</v>
      </c>
      <c r="E742" s="118"/>
      <c r="F742" s="118"/>
      <c r="G742" s="118"/>
      <c r="H742" s="118"/>
      <c r="I742" s="118"/>
      <c r="J742" s="118"/>
      <c r="K742" s="61"/>
      <c r="L742" s="326"/>
      <c r="M742" s="326"/>
    </row>
    <row r="743" spans="1:13" x14ac:dyDescent="0.25">
      <c r="A743" s="340"/>
      <c r="B743" s="315"/>
      <c r="C743" s="304" t="s">
        <v>7</v>
      </c>
      <c r="D743" s="304"/>
      <c r="E743" s="304"/>
      <c r="F743" s="304"/>
      <c r="G743" s="183"/>
      <c r="H743" s="183"/>
      <c r="I743" s="183"/>
      <c r="J743" s="183"/>
      <c r="K743" s="62">
        <f>IF(K740&gt;=D742,4,IF(K740&gt;=D741,((80*K740)-24)/11,0))</f>
        <v>0</v>
      </c>
      <c r="L743" s="326"/>
      <c r="M743" s="326"/>
    </row>
    <row r="745" spans="1:13" ht="120" customHeight="1" x14ac:dyDescent="0.25">
      <c r="A745" s="340">
        <v>59</v>
      </c>
      <c r="B745" s="315"/>
      <c r="C745" s="291" t="s">
        <v>904</v>
      </c>
      <c r="D745" s="291"/>
      <c r="E745" s="294" t="s">
        <v>1056</v>
      </c>
      <c r="F745" s="300" t="s">
        <v>993</v>
      </c>
      <c r="G745" s="300" t="s">
        <v>994</v>
      </c>
      <c r="H745" s="203" t="s">
        <v>698</v>
      </c>
      <c r="I745" s="203">
        <v>4</v>
      </c>
      <c r="J745" s="212" t="str">
        <f>IF((IF(OR((H745&amp;"."&amp;I745)=$R$8,(H745&amp;"."&amp;I745)=$S$8,(H745&amp;"."&amp;I745)=$T$8,(H745&amp;"."&amp;I745)=$U$8,(H745&amp;"."&amp;I745)=$V$8,(H745&amp;"."&amp;I745)=$W$8),1,0))=1,"EKSTREM",IF((IF(OR((H745&amp;"."&amp;I745)=$R$9,(H745&amp;"."&amp;I745)=$S$9,(H745&amp;"."&amp;I745)=$T$9,(H745&amp;"."&amp;I745)=$U$9,(H745&amp;"."&amp;I745)=$V$9,(H745&amp;"."&amp;I745)=$W$9,(H745&amp;"."&amp;I745)=$X$9),1,0))=1,"TINGGI",IF((IF(OR((H745&amp;"."&amp;I745)=$R$10,(H745&amp;"."&amp;I745)=$S$10,(H745&amp;"."&amp;I745)=$T$10,(H745&amp;"."&amp;I745)=$U$10,(H745&amp;"."&amp;I745)=$V$10,(H745&amp;"."&amp;I745)=$W$10),1,0))=1,"MODERAT",IF((IF(OR((H745&amp;"."&amp;I745)=$R$11,(H745&amp;"."&amp;I745)=$S$11,(H745&amp;"."&amp;I745)=$T$11,(H745&amp;"."&amp;I745)=$U$11,(H745&amp;"."&amp;I745)=$V$11,(H745&amp;"."&amp;I745)=$W$11),1,0))=1,"RENDAH","-"))))</f>
        <v>TINGGI</v>
      </c>
      <c r="K745" s="10">
        <v>0</v>
      </c>
      <c r="L745" s="326" t="s">
        <v>1078</v>
      </c>
      <c r="M745" s="326" t="s">
        <v>1079</v>
      </c>
    </row>
    <row r="746" spans="1:13" x14ac:dyDescent="0.25">
      <c r="A746" s="340"/>
      <c r="B746" s="315"/>
      <c r="C746" s="13">
        <v>4</v>
      </c>
      <c r="D746" s="106" t="s">
        <v>905</v>
      </c>
      <c r="E746" s="294"/>
      <c r="F746" s="300"/>
      <c r="G746" s="300"/>
      <c r="H746" s="297"/>
      <c r="I746" s="297"/>
      <c r="J746" s="297"/>
      <c r="K746" s="297"/>
      <c r="L746" s="326"/>
      <c r="M746" s="326"/>
    </row>
    <row r="747" spans="1:13" x14ac:dyDescent="0.25">
      <c r="A747" s="340"/>
      <c r="B747" s="315"/>
      <c r="C747" s="13">
        <v>3</v>
      </c>
      <c r="D747" s="106" t="s">
        <v>906</v>
      </c>
      <c r="E747" s="294"/>
      <c r="F747" s="300"/>
      <c r="G747" s="300"/>
      <c r="H747" s="298"/>
      <c r="I747" s="298"/>
      <c r="J747" s="298"/>
      <c r="K747" s="298"/>
      <c r="L747" s="326"/>
      <c r="M747" s="326"/>
    </row>
    <row r="748" spans="1:13" x14ac:dyDescent="0.25">
      <c r="A748" s="340"/>
      <c r="B748" s="315"/>
      <c r="C748" s="13">
        <v>2</v>
      </c>
      <c r="D748" s="106" t="s">
        <v>907</v>
      </c>
      <c r="E748" s="294"/>
      <c r="F748" s="300"/>
      <c r="G748" s="300"/>
      <c r="H748" s="298"/>
      <c r="I748" s="298"/>
      <c r="J748" s="298"/>
      <c r="K748" s="298"/>
      <c r="L748" s="326"/>
      <c r="M748" s="326"/>
    </row>
    <row r="749" spans="1:13" x14ac:dyDescent="0.25">
      <c r="A749" s="340"/>
      <c r="B749" s="315"/>
      <c r="C749" s="13">
        <v>1</v>
      </c>
      <c r="D749" s="106" t="s">
        <v>908</v>
      </c>
      <c r="E749" s="294"/>
      <c r="F749" s="300"/>
      <c r="G749" s="300"/>
      <c r="H749" s="298"/>
      <c r="I749" s="298"/>
      <c r="J749" s="298"/>
      <c r="K749" s="298"/>
      <c r="L749" s="326"/>
      <c r="M749" s="326"/>
    </row>
    <row r="750" spans="1:13" x14ac:dyDescent="0.25">
      <c r="A750" s="340"/>
      <c r="B750" s="315"/>
      <c r="C750" s="13">
        <v>0</v>
      </c>
      <c r="D750" s="106" t="s">
        <v>909</v>
      </c>
      <c r="E750" s="294"/>
      <c r="F750" s="300"/>
      <c r="G750" s="300"/>
      <c r="H750" s="299"/>
      <c r="I750" s="299"/>
      <c r="J750" s="299"/>
      <c r="K750" s="299"/>
      <c r="L750" s="326"/>
      <c r="M750" s="326"/>
    </row>
    <row r="751" spans="1:13" x14ac:dyDescent="0.25">
      <c r="A751" s="340"/>
      <c r="B751" s="315"/>
      <c r="C751" s="304" t="s">
        <v>7</v>
      </c>
      <c r="D751" s="304"/>
      <c r="E751" s="304"/>
      <c r="F751" s="304"/>
      <c r="G751" s="183"/>
      <c r="H751" s="183"/>
      <c r="I751" s="183"/>
      <c r="J751" s="183"/>
      <c r="K751" s="11">
        <f>IF(OR(ISBLANK(K745),K745&lt;0,K745&gt;4),0,K745)</f>
        <v>0</v>
      </c>
      <c r="L751" s="326"/>
      <c r="M751" s="326"/>
    </row>
    <row r="753" spans="1:13" ht="16.5" customHeight="1" x14ac:dyDescent="0.25">
      <c r="A753" s="340">
        <v>60</v>
      </c>
      <c r="B753" s="315"/>
      <c r="C753" s="291" t="s">
        <v>910</v>
      </c>
      <c r="D753" s="291"/>
      <c r="E753" s="294" t="s">
        <v>1057</v>
      </c>
      <c r="F753" s="300" t="s">
        <v>993</v>
      </c>
      <c r="G753" s="300" t="s">
        <v>994</v>
      </c>
      <c r="H753" s="203" t="s">
        <v>698</v>
      </c>
      <c r="I753" s="203">
        <v>4</v>
      </c>
      <c r="J753" s="212" t="str">
        <f>IF((IF(OR((H753&amp;"."&amp;I753)=$R$8,(H753&amp;"."&amp;I753)=$S$8,(H753&amp;"."&amp;I753)=$T$8,(H753&amp;"."&amp;I753)=$U$8,(H753&amp;"."&amp;I753)=$V$8,(H753&amp;"."&amp;I753)=$W$8),1,0))=1,"EKSTREM",IF((IF(OR((H753&amp;"."&amp;I753)=$R$9,(H753&amp;"."&amp;I753)=$S$9,(H753&amp;"."&amp;I753)=$T$9,(H753&amp;"."&amp;I753)=$U$9,(H753&amp;"."&amp;I753)=$V$9,(H753&amp;"."&amp;I753)=$W$9,(H753&amp;"."&amp;I753)=$X$9),1,0))=1,"TINGGI",IF((IF(OR((H753&amp;"."&amp;I753)=$R$10,(H753&amp;"."&amp;I753)=$S$10,(H753&amp;"."&amp;I753)=$T$10,(H753&amp;"."&amp;I753)=$U$10,(H753&amp;"."&amp;I753)=$V$10,(H753&amp;"."&amp;I753)=$W$10),1,0))=1,"MODERAT",IF((IF(OR((H753&amp;"."&amp;I753)=$R$11,(H753&amp;"."&amp;I753)=$S$11,(H753&amp;"."&amp;I753)=$T$11,(H753&amp;"."&amp;I753)=$U$11,(H753&amp;"."&amp;I753)=$V$11,(H753&amp;"."&amp;I753)=$W$11),1,0))=1,"RENDAH","-"))))</f>
        <v>TINGGI</v>
      </c>
      <c r="K753" s="7"/>
      <c r="L753" s="326" t="s">
        <v>1078</v>
      </c>
      <c r="M753" s="326" t="s">
        <v>1079</v>
      </c>
    </row>
    <row r="754" spans="1:13" x14ac:dyDescent="0.25">
      <c r="A754" s="340"/>
      <c r="B754" s="315"/>
      <c r="C754" s="304" t="s">
        <v>453</v>
      </c>
      <c r="D754" s="304"/>
      <c r="E754" s="304"/>
      <c r="F754" s="300"/>
      <c r="G754" s="300"/>
      <c r="H754" s="297"/>
      <c r="I754" s="297"/>
      <c r="J754" s="297"/>
      <c r="K754" s="130">
        <f>'Isian Prodi'!B213</f>
        <v>0</v>
      </c>
      <c r="L754" s="326"/>
      <c r="M754" s="326"/>
    </row>
    <row r="755" spans="1:13" x14ac:dyDescent="0.25">
      <c r="A755" s="340"/>
      <c r="B755" s="315"/>
      <c r="C755" s="304" t="s">
        <v>454</v>
      </c>
      <c r="D755" s="304"/>
      <c r="E755" s="304"/>
      <c r="F755" s="300"/>
      <c r="G755" s="300"/>
      <c r="H755" s="298"/>
      <c r="I755" s="298"/>
      <c r="J755" s="298"/>
      <c r="K755" s="130">
        <f>'Isian Prodi'!B214</f>
        <v>0</v>
      </c>
      <c r="L755" s="326"/>
      <c r="M755" s="326"/>
    </row>
    <row r="756" spans="1:13" x14ac:dyDescent="0.25">
      <c r="A756" s="340"/>
      <c r="B756" s="315"/>
      <c r="C756" s="304" t="s">
        <v>455</v>
      </c>
      <c r="D756" s="304"/>
      <c r="E756" s="304"/>
      <c r="F756" s="300"/>
      <c r="G756" s="300"/>
      <c r="H756" s="298"/>
      <c r="I756" s="298"/>
      <c r="J756" s="298"/>
      <c r="K756" s="130">
        <f>'Isian Prodi'!B215</f>
        <v>0</v>
      </c>
      <c r="L756" s="326"/>
      <c r="M756" s="326"/>
    </row>
    <row r="757" spans="1:13" x14ac:dyDescent="0.25">
      <c r="A757" s="340"/>
      <c r="B757" s="315"/>
      <c r="C757" s="304" t="s">
        <v>456</v>
      </c>
      <c r="D757" s="304"/>
      <c r="E757" s="304"/>
      <c r="F757" s="300"/>
      <c r="G757" s="300"/>
      <c r="H757" s="298"/>
      <c r="I757" s="298"/>
      <c r="J757" s="298"/>
      <c r="K757" s="130">
        <f>'Isian Prodi'!C213</f>
        <v>0</v>
      </c>
      <c r="L757" s="326"/>
      <c r="M757" s="326"/>
    </row>
    <row r="758" spans="1:13" x14ac:dyDescent="0.25">
      <c r="A758" s="340"/>
      <c r="B758" s="315"/>
      <c r="C758" s="304" t="s">
        <v>457</v>
      </c>
      <c r="D758" s="304"/>
      <c r="E758" s="304"/>
      <c r="F758" s="300"/>
      <c r="G758" s="300"/>
      <c r="H758" s="298"/>
      <c r="I758" s="298"/>
      <c r="J758" s="298"/>
      <c r="K758" s="130">
        <f>'Isian Prodi'!C214</f>
        <v>0</v>
      </c>
      <c r="L758" s="326"/>
      <c r="M758" s="326"/>
    </row>
    <row r="759" spans="1:13" x14ac:dyDescent="0.25">
      <c r="A759" s="340"/>
      <c r="B759" s="315"/>
      <c r="C759" s="304" t="s">
        <v>458</v>
      </c>
      <c r="D759" s="304"/>
      <c r="E759" s="304"/>
      <c r="F759" s="300"/>
      <c r="G759" s="300"/>
      <c r="H759" s="298"/>
      <c r="I759" s="298"/>
      <c r="J759" s="298"/>
      <c r="K759" s="130">
        <f>'Isian Prodi'!C215</f>
        <v>0</v>
      </c>
      <c r="L759" s="326"/>
      <c r="M759" s="326"/>
    </row>
    <row r="760" spans="1:13" x14ac:dyDescent="0.25">
      <c r="A760" s="340"/>
      <c r="B760" s="315"/>
      <c r="C760" s="304" t="s">
        <v>495</v>
      </c>
      <c r="D760" s="304"/>
      <c r="E760" s="304"/>
      <c r="F760" s="300"/>
      <c r="G760" s="300"/>
      <c r="H760" s="298"/>
      <c r="I760" s="298"/>
      <c r="J760" s="298"/>
      <c r="K760" s="131">
        <f>IF(SUM(K754:K756)&gt;=300,1,2)</f>
        <v>2</v>
      </c>
      <c r="L760" s="326"/>
      <c r="M760" s="326"/>
    </row>
    <row r="761" spans="1:13" x14ac:dyDescent="0.25">
      <c r="A761" s="340"/>
      <c r="B761" s="315"/>
      <c r="C761" s="304" t="s">
        <v>459</v>
      </c>
      <c r="D761" s="304"/>
      <c r="E761" s="304"/>
      <c r="F761" s="300"/>
      <c r="G761" s="300"/>
      <c r="H761" s="298"/>
      <c r="I761" s="298"/>
      <c r="J761" s="298"/>
      <c r="K761" s="105">
        <f>IF(SUM(K754:K756)&gt;0,SUM(K757:K759)/SUM(K754:K756),0)</f>
        <v>0</v>
      </c>
      <c r="L761" s="326"/>
      <c r="M761" s="326"/>
    </row>
    <row r="762" spans="1:13" ht="18" x14ac:dyDescent="0.25">
      <c r="A762" s="340"/>
      <c r="B762" s="315"/>
      <c r="C762" s="304" t="s">
        <v>460</v>
      </c>
      <c r="D762" s="304"/>
      <c r="E762" s="304"/>
      <c r="F762" s="300"/>
      <c r="G762" s="300"/>
      <c r="H762" s="298"/>
      <c r="I762" s="298"/>
      <c r="J762" s="298"/>
      <c r="K762" s="132">
        <f>IF(K760=1,30%,50%-SUM(K754:K756)/300*20%)</f>
        <v>0.5</v>
      </c>
      <c r="L762" s="326"/>
      <c r="M762" s="326"/>
    </row>
    <row r="763" spans="1:13" x14ac:dyDescent="0.25">
      <c r="A763" s="340"/>
      <c r="B763" s="315"/>
      <c r="C763" s="365" t="s">
        <v>461</v>
      </c>
      <c r="D763" s="107" t="s">
        <v>469</v>
      </c>
      <c r="E763" s="304"/>
      <c r="F763" s="300"/>
      <c r="G763" s="300"/>
      <c r="H763" s="298"/>
      <c r="I763" s="298"/>
      <c r="J763" s="298"/>
      <c r="K763" s="173">
        <f>'Isian Prodi'!D213</f>
        <v>0</v>
      </c>
      <c r="L763" s="326"/>
      <c r="M763" s="326"/>
    </row>
    <row r="764" spans="1:13" x14ac:dyDescent="0.25">
      <c r="A764" s="340"/>
      <c r="B764" s="315"/>
      <c r="C764" s="365"/>
      <c r="D764" s="107" t="s">
        <v>470</v>
      </c>
      <c r="E764" s="304"/>
      <c r="F764" s="300"/>
      <c r="G764" s="300"/>
      <c r="H764" s="298"/>
      <c r="I764" s="298"/>
      <c r="J764" s="298"/>
      <c r="K764" s="173">
        <f>'Isian Prodi'!E213</f>
        <v>0</v>
      </c>
      <c r="L764" s="326"/>
      <c r="M764" s="326"/>
    </row>
    <row r="765" spans="1:13" x14ac:dyDescent="0.25">
      <c r="A765" s="340"/>
      <c r="B765" s="315"/>
      <c r="C765" s="365"/>
      <c r="D765" s="107" t="s">
        <v>471</v>
      </c>
      <c r="E765" s="304"/>
      <c r="F765" s="300"/>
      <c r="G765" s="300"/>
      <c r="H765" s="298"/>
      <c r="I765" s="298"/>
      <c r="J765" s="298"/>
      <c r="K765" s="173">
        <f>'Isian Prodi'!F213</f>
        <v>0</v>
      </c>
      <c r="L765" s="326"/>
      <c r="M765" s="326"/>
    </row>
    <row r="766" spans="1:13" x14ac:dyDescent="0.25">
      <c r="A766" s="340"/>
      <c r="B766" s="315"/>
      <c r="C766" s="365" t="s">
        <v>462</v>
      </c>
      <c r="D766" s="107" t="s">
        <v>469</v>
      </c>
      <c r="E766" s="304"/>
      <c r="F766" s="300"/>
      <c r="G766" s="300"/>
      <c r="H766" s="298"/>
      <c r="I766" s="298"/>
      <c r="J766" s="298"/>
      <c r="K766" s="173">
        <f>'Isian Prodi'!D214</f>
        <v>0</v>
      </c>
      <c r="L766" s="326"/>
      <c r="M766" s="326"/>
    </row>
    <row r="767" spans="1:13" x14ac:dyDescent="0.25">
      <c r="A767" s="340"/>
      <c r="B767" s="315"/>
      <c r="C767" s="365"/>
      <c r="D767" s="107" t="s">
        <v>470</v>
      </c>
      <c r="E767" s="304"/>
      <c r="F767" s="300"/>
      <c r="G767" s="300"/>
      <c r="H767" s="298"/>
      <c r="I767" s="298"/>
      <c r="J767" s="298"/>
      <c r="K767" s="173">
        <f>'Isian Prodi'!E214</f>
        <v>0</v>
      </c>
      <c r="L767" s="326"/>
      <c r="M767" s="326"/>
    </row>
    <row r="768" spans="1:13" x14ac:dyDescent="0.25">
      <c r="A768" s="340"/>
      <c r="B768" s="315"/>
      <c r="C768" s="365"/>
      <c r="D768" s="107" t="s">
        <v>471</v>
      </c>
      <c r="E768" s="304"/>
      <c r="F768" s="300"/>
      <c r="G768" s="300"/>
      <c r="H768" s="298"/>
      <c r="I768" s="298"/>
      <c r="J768" s="298"/>
      <c r="K768" s="173">
        <f>'Isian Prodi'!F214</f>
        <v>0</v>
      </c>
      <c r="L768" s="326"/>
      <c r="M768" s="326"/>
    </row>
    <row r="769" spans="1:13" x14ac:dyDescent="0.25">
      <c r="A769" s="340"/>
      <c r="B769" s="315"/>
      <c r="C769" s="365" t="s">
        <v>463</v>
      </c>
      <c r="D769" s="107" t="s">
        <v>469</v>
      </c>
      <c r="E769" s="304"/>
      <c r="F769" s="300"/>
      <c r="G769" s="300"/>
      <c r="H769" s="298"/>
      <c r="I769" s="298"/>
      <c r="J769" s="298"/>
      <c r="K769" s="173">
        <f>'Isian Prodi'!D215</f>
        <v>0</v>
      </c>
      <c r="L769" s="326"/>
      <c r="M769" s="326"/>
    </row>
    <row r="770" spans="1:13" x14ac:dyDescent="0.25">
      <c r="A770" s="340"/>
      <c r="B770" s="315"/>
      <c r="C770" s="365"/>
      <c r="D770" s="107" t="s">
        <v>470</v>
      </c>
      <c r="E770" s="304"/>
      <c r="F770" s="300"/>
      <c r="G770" s="300"/>
      <c r="H770" s="298"/>
      <c r="I770" s="298"/>
      <c r="J770" s="298"/>
      <c r="K770" s="173">
        <f>'Isian Prodi'!E215</f>
        <v>0</v>
      </c>
      <c r="L770" s="326"/>
      <c r="M770" s="326"/>
    </row>
    <row r="771" spans="1:13" x14ac:dyDescent="0.25">
      <c r="A771" s="340"/>
      <c r="B771" s="315"/>
      <c r="C771" s="365"/>
      <c r="D771" s="107" t="s">
        <v>471</v>
      </c>
      <c r="E771" s="304"/>
      <c r="F771" s="300"/>
      <c r="G771" s="300"/>
      <c r="H771" s="298"/>
      <c r="I771" s="298"/>
      <c r="J771" s="298"/>
      <c r="K771" s="173">
        <f>'Isian Prodi'!F215</f>
        <v>0</v>
      </c>
      <c r="L771" s="326"/>
      <c r="M771" s="326"/>
    </row>
    <row r="772" spans="1:13" ht="15" hidden="1" customHeight="1" x14ac:dyDescent="0.25">
      <c r="A772" s="340"/>
      <c r="B772" s="315"/>
      <c r="C772" s="118" t="s">
        <v>398</v>
      </c>
      <c r="D772" s="113">
        <v>6</v>
      </c>
      <c r="E772" s="304"/>
      <c r="F772" s="300"/>
      <c r="G772" s="300"/>
      <c r="H772" s="298"/>
      <c r="I772" s="298"/>
      <c r="J772" s="298"/>
      <c r="K772" s="61"/>
      <c r="L772" s="326"/>
      <c r="M772" s="326"/>
    </row>
    <row r="773" spans="1:13" ht="15" hidden="1" customHeight="1" x14ac:dyDescent="0.25">
      <c r="A773" s="340"/>
      <c r="B773" s="315"/>
      <c r="C773" s="118" t="s">
        <v>399</v>
      </c>
      <c r="D773" s="113">
        <v>18</v>
      </c>
      <c r="E773" s="304"/>
      <c r="F773" s="300"/>
      <c r="G773" s="300"/>
      <c r="H773" s="298"/>
      <c r="I773" s="298"/>
      <c r="J773" s="298"/>
      <c r="K773" s="61"/>
      <c r="L773" s="326"/>
      <c r="M773" s="326"/>
    </row>
    <row r="774" spans="1:13" ht="15" hidden="1" customHeight="1" x14ac:dyDescent="0.25">
      <c r="A774" s="340"/>
      <c r="B774" s="315"/>
      <c r="C774" s="118" t="s">
        <v>418</v>
      </c>
      <c r="D774" s="113">
        <v>24</v>
      </c>
      <c r="E774" s="304"/>
      <c r="F774" s="300"/>
      <c r="G774" s="300"/>
      <c r="H774" s="298"/>
      <c r="I774" s="298"/>
      <c r="J774" s="298"/>
      <c r="K774" s="61"/>
      <c r="L774" s="326"/>
      <c r="M774" s="326"/>
    </row>
    <row r="775" spans="1:13" ht="30" hidden="1" customHeight="1" x14ac:dyDescent="0.25">
      <c r="A775" s="340"/>
      <c r="B775" s="315"/>
      <c r="C775" s="134" t="s">
        <v>464</v>
      </c>
      <c r="D775" s="113">
        <f>AVERAGE(0,D772)</f>
        <v>3</v>
      </c>
      <c r="E775" s="304"/>
      <c r="F775" s="300"/>
      <c r="G775" s="300"/>
      <c r="H775" s="298"/>
      <c r="I775" s="298"/>
      <c r="J775" s="298"/>
      <c r="K775" s="61"/>
      <c r="L775" s="326"/>
      <c r="M775" s="326"/>
    </row>
    <row r="776" spans="1:13" ht="30" hidden="1" customHeight="1" x14ac:dyDescent="0.25">
      <c r="A776" s="340"/>
      <c r="B776" s="315"/>
      <c r="C776" s="134" t="s">
        <v>465</v>
      </c>
      <c r="D776" s="113">
        <f>AVERAGE(D772,D773)</f>
        <v>12</v>
      </c>
      <c r="E776" s="304"/>
      <c r="F776" s="300"/>
      <c r="G776" s="300"/>
      <c r="H776" s="298"/>
      <c r="I776" s="298"/>
      <c r="J776" s="298"/>
      <c r="K776" s="61"/>
      <c r="L776" s="326"/>
      <c r="M776" s="326"/>
    </row>
    <row r="777" spans="1:13" ht="30" hidden="1" customHeight="1" x14ac:dyDescent="0.25">
      <c r="A777" s="340"/>
      <c r="B777" s="315"/>
      <c r="C777" s="134" t="s">
        <v>466</v>
      </c>
      <c r="D777" s="113">
        <f>AVERAGE(D773,D774)</f>
        <v>21</v>
      </c>
      <c r="E777" s="304"/>
      <c r="F777" s="300"/>
      <c r="G777" s="300"/>
      <c r="H777" s="298"/>
      <c r="I777" s="298"/>
      <c r="J777" s="298"/>
      <c r="K777" s="61"/>
      <c r="L777" s="326"/>
      <c r="M777" s="326"/>
    </row>
    <row r="778" spans="1:13" x14ac:dyDescent="0.25">
      <c r="A778" s="340"/>
      <c r="B778" s="315"/>
      <c r="C778" s="304" t="s">
        <v>467</v>
      </c>
      <c r="D778" s="304"/>
      <c r="E778" s="304"/>
      <c r="F778" s="300"/>
      <c r="G778" s="300"/>
      <c r="H778" s="299"/>
      <c r="I778" s="299"/>
      <c r="J778" s="299"/>
      <c r="K778" s="62">
        <f>IF(SUM(K763:K771)&gt;0,((K763+K766+K769)*D775+(K764+K767+K770)*D776+(K765+K768+K771)*D777)/SUM(K763:K771),0)</f>
        <v>0</v>
      </c>
      <c r="L778" s="326"/>
      <c r="M778" s="326"/>
    </row>
    <row r="779" spans="1:13" x14ac:dyDescent="0.25">
      <c r="A779" s="340"/>
      <c r="B779" s="315"/>
      <c r="C779" s="304" t="s">
        <v>468</v>
      </c>
      <c r="D779" s="304"/>
      <c r="E779" s="304"/>
      <c r="F779" s="304"/>
      <c r="G779" s="183"/>
      <c r="H779" s="183"/>
      <c r="I779" s="183"/>
      <c r="J779" s="183"/>
      <c r="K779" s="60">
        <f>IF(K778&gt;=D773,0,IF(K778&gt;=D772,(18-K778)/3,4))</f>
        <v>4</v>
      </c>
      <c r="L779" s="326"/>
      <c r="M779" s="326"/>
    </row>
    <row r="780" spans="1:13" x14ac:dyDescent="0.25">
      <c r="A780" s="340"/>
      <c r="B780" s="315"/>
      <c r="C780" s="304" t="s">
        <v>7</v>
      </c>
      <c r="D780" s="304"/>
      <c r="E780" s="304"/>
      <c r="F780" s="304"/>
      <c r="G780" s="183"/>
      <c r="H780" s="183"/>
      <c r="I780" s="183"/>
      <c r="J780" s="183"/>
      <c r="K780" s="62">
        <f>IF(K762&gt;=K761,K779,K761/K762*K779)</f>
        <v>4</v>
      </c>
      <c r="L780" s="326"/>
      <c r="M780" s="326"/>
    </row>
    <row r="782" spans="1:13" ht="30" customHeight="1" x14ac:dyDescent="0.25">
      <c r="A782" s="340">
        <v>61</v>
      </c>
      <c r="B782" s="315"/>
      <c r="C782" s="291" t="s">
        <v>911</v>
      </c>
      <c r="D782" s="291"/>
      <c r="E782" s="294" t="s">
        <v>1058</v>
      </c>
      <c r="F782" s="300" t="s">
        <v>993</v>
      </c>
      <c r="G782" s="300" t="s">
        <v>994</v>
      </c>
      <c r="H782" s="203" t="s">
        <v>698</v>
      </c>
      <c r="I782" s="203">
        <v>4</v>
      </c>
      <c r="J782" s="212" t="str">
        <f>IF((IF(OR((H782&amp;"."&amp;I782)=$R$8,(H782&amp;"."&amp;I782)=$S$8,(H782&amp;"."&amp;I782)=$T$8,(H782&amp;"."&amp;I782)=$U$8,(H782&amp;"."&amp;I782)=$V$8,(H782&amp;"."&amp;I782)=$W$8),1,0))=1,"EKSTREM",IF((IF(OR((H782&amp;"."&amp;I782)=$R$9,(H782&amp;"."&amp;I782)=$S$9,(H782&amp;"."&amp;I782)=$T$9,(H782&amp;"."&amp;I782)=$U$9,(H782&amp;"."&amp;I782)=$V$9,(H782&amp;"."&amp;I782)=$W$9,(H782&amp;"."&amp;I782)=$X$9),1,0))=1,"TINGGI",IF((IF(OR((H782&amp;"."&amp;I782)=$R$10,(H782&amp;"."&amp;I782)=$S$10,(H782&amp;"."&amp;I782)=$T$10,(H782&amp;"."&amp;I782)=$U$10,(H782&amp;"."&amp;I782)=$V$10,(H782&amp;"."&amp;I782)=$W$10),1,0))=1,"MODERAT",IF((IF(OR((H782&amp;"."&amp;I782)=$R$11,(H782&amp;"."&amp;I782)=$S$11,(H782&amp;"."&amp;I782)=$T$11,(H782&amp;"."&amp;I782)=$U$11,(H782&amp;"."&amp;I782)=$V$11,(H782&amp;"."&amp;I782)=$W$11),1,0))=1,"RENDAH","-"))))</f>
        <v>TINGGI</v>
      </c>
      <c r="K782" s="7"/>
      <c r="L782" s="326" t="s">
        <v>1078</v>
      </c>
      <c r="M782" s="326" t="s">
        <v>1079</v>
      </c>
    </row>
    <row r="783" spans="1:13" x14ac:dyDescent="0.25">
      <c r="A783" s="340"/>
      <c r="B783" s="315"/>
      <c r="C783" s="304" t="s">
        <v>453</v>
      </c>
      <c r="D783" s="304"/>
      <c r="E783" s="304"/>
      <c r="F783" s="300"/>
      <c r="G783" s="300"/>
      <c r="H783" s="297"/>
      <c r="I783" s="297"/>
      <c r="J783" s="297"/>
      <c r="K783" s="130">
        <f>'Isian Prodi'!B222</f>
        <v>0</v>
      </c>
      <c r="L783" s="326"/>
      <c r="M783" s="326"/>
    </row>
    <row r="784" spans="1:13" x14ac:dyDescent="0.25">
      <c r="A784" s="340"/>
      <c r="B784" s="315"/>
      <c r="C784" s="304" t="s">
        <v>454</v>
      </c>
      <c r="D784" s="304"/>
      <c r="E784" s="304"/>
      <c r="F784" s="300"/>
      <c r="G784" s="300"/>
      <c r="H784" s="298"/>
      <c r="I784" s="298"/>
      <c r="J784" s="298"/>
      <c r="K784" s="130">
        <f>'Isian Prodi'!B223</f>
        <v>0</v>
      </c>
      <c r="L784" s="326"/>
      <c r="M784" s="326"/>
    </row>
    <row r="785" spans="1:13" x14ac:dyDescent="0.25">
      <c r="A785" s="340"/>
      <c r="B785" s="315"/>
      <c r="C785" s="304" t="s">
        <v>455</v>
      </c>
      <c r="D785" s="304"/>
      <c r="E785" s="304"/>
      <c r="F785" s="300"/>
      <c r="G785" s="300"/>
      <c r="H785" s="298"/>
      <c r="I785" s="298"/>
      <c r="J785" s="298"/>
      <c r="K785" s="130">
        <f>'Isian Prodi'!B224</f>
        <v>0</v>
      </c>
      <c r="L785" s="326"/>
      <c r="M785" s="326"/>
    </row>
    <row r="786" spans="1:13" x14ac:dyDescent="0.25">
      <c r="A786" s="340"/>
      <c r="B786" s="315"/>
      <c r="C786" s="304" t="s">
        <v>456</v>
      </c>
      <c r="D786" s="304"/>
      <c r="E786" s="304"/>
      <c r="F786" s="300"/>
      <c r="G786" s="300"/>
      <c r="H786" s="298"/>
      <c r="I786" s="298"/>
      <c r="J786" s="298"/>
      <c r="K786" s="130">
        <f>'Isian Prodi'!C222</f>
        <v>0</v>
      </c>
      <c r="L786" s="326"/>
      <c r="M786" s="326"/>
    </row>
    <row r="787" spans="1:13" x14ac:dyDescent="0.25">
      <c r="A787" s="340"/>
      <c r="B787" s="315"/>
      <c r="C787" s="304" t="s">
        <v>457</v>
      </c>
      <c r="D787" s="304"/>
      <c r="E787" s="304"/>
      <c r="F787" s="300"/>
      <c r="G787" s="300"/>
      <c r="H787" s="298"/>
      <c r="I787" s="298"/>
      <c r="J787" s="298"/>
      <c r="K787" s="130">
        <f>'Isian Prodi'!C223</f>
        <v>0</v>
      </c>
      <c r="L787" s="326"/>
      <c r="M787" s="326"/>
    </row>
    <row r="788" spans="1:13" x14ac:dyDescent="0.25">
      <c r="A788" s="340"/>
      <c r="B788" s="315"/>
      <c r="C788" s="304" t="s">
        <v>458</v>
      </c>
      <c r="D788" s="304"/>
      <c r="E788" s="304"/>
      <c r="F788" s="300"/>
      <c r="G788" s="300"/>
      <c r="H788" s="298"/>
      <c r="I788" s="298"/>
      <c r="J788" s="298"/>
      <c r="K788" s="130">
        <f>'Isian Prodi'!C224</f>
        <v>0</v>
      </c>
      <c r="L788" s="326"/>
      <c r="M788" s="326"/>
    </row>
    <row r="789" spans="1:13" x14ac:dyDescent="0.25">
      <c r="A789" s="340"/>
      <c r="B789" s="315"/>
      <c r="C789" s="304" t="s">
        <v>495</v>
      </c>
      <c r="D789" s="304"/>
      <c r="E789" s="304"/>
      <c r="F789" s="300"/>
      <c r="G789" s="300"/>
      <c r="H789" s="298"/>
      <c r="I789" s="298"/>
      <c r="J789" s="298"/>
      <c r="K789" s="131">
        <f>IF(SUM(K783:K785)&gt;=300,1,2)</f>
        <v>2</v>
      </c>
      <c r="L789" s="326"/>
      <c r="M789" s="326"/>
    </row>
    <row r="790" spans="1:13" x14ac:dyDescent="0.25">
      <c r="A790" s="340"/>
      <c r="B790" s="315"/>
      <c r="C790" s="304" t="s">
        <v>459</v>
      </c>
      <c r="D790" s="304"/>
      <c r="E790" s="304"/>
      <c r="F790" s="300"/>
      <c r="G790" s="300"/>
      <c r="H790" s="298"/>
      <c r="I790" s="298"/>
      <c r="J790" s="298"/>
      <c r="K790" s="105">
        <f>IF(SUM(K783:K785)&gt;0,SUM(K786:K788)/SUM(K783:K785),0)</f>
        <v>0</v>
      </c>
      <c r="L790" s="326"/>
      <c r="M790" s="326"/>
    </row>
    <row r="791" spans="1:13" ht="18" x14ac:dyDescent="0.25">
      <c r="A791" s="340"/>
      <c r="B791" s="315"/>
      <c r="C791" s="304" t="s">
        <v>460</v>
      </c>
      <c r="D791" s="304"/>
      <c r="E791" s="304"/>
      <c r="F791" s="300"/>
      <c r="G791" s="300"/>
      <c r="H791" s="298"/>
      <c r="I791" s="298"/>
      <c r="J791" s="298"/>
      <c r="K791" s="132">
        <f>IF(K789=1,30%,50%-SUM(K783:K785)/300*20%)</f>
        <v>0.5</v>
      </c>
      <c r="L791" s="326"/>
      <c r="M791" s="326"/>
    </row>
    <row r="792" spans="1:13" x14ac:dyDescent="0.25">
      <c r="A792" s="340"/>
      <c r="B792" s="315"/>
      <c r="C792" s="365" t="s">
        <v>461</v>
      </c>
      <c r="D792" s="139" t="s">
        <v>472</v>
      </c>
      <c r="E792" s="304"/>
      <c r="F792" s="300"/>
      <c r="G792" s="300"/>
      <c r="H792" s="298"/>
      <c r="I792" s="298"/>
      <c r="J792" s="298"/>
      <c r="K792" s="133">
        <f>'Isian Prodi'!D222</f>
        <v>0</v>
      </c>
      <c r="L792" s="326"/>
      <c r="M792" s="326"/>
    </row>
    <row r="793" spans="1:13" x14ac:dyDescent="0.25">
      <c r="A793" s="340"/>
      <c r="B793" s="315"/>
      <c r="C793" s="365"/>
      <c r="D793" s="139" t="s">
        <v>473</v>
      </c>
      <c r="E793" s="304"/>
      <c r="F793" s="300"/>
      <c r="G793" s="300"/>
      <c r="H793" s="298"/>
      <c r="I793" s="298"/>
      <c r="J793" s="298"/>
      <c r="K793" s="133">
        <f>'Isian Prodi'!E222</f>
        <v>0</v>
      </c>
      <c r="L793" s="326"/>
      <c r="M793" s="326"/>
    </row>
    <row r="794" spans="1:13" x14ac:dyDescent="0.25">
      <c r="A794" s="340"/>
      <c r="B794" s="315"/>
      <c r="C794" s="365"/>
      <c r="D794" s="139" t="s">
        <v>474</v>
      </c>
      <c r="E794" s="304"/>
      <c r="F794" s="300"/>
      <c r="G794" s="300"/>
      <c r="H794" s="298"/>
      <c r="I794" s="298"/>
      <c r="J794" s="298"/>
      <c r="K794" s="133">
        <f>'Isian Prodi'!F222</f>
        <v>0</v>
      </c>
      <c r="L794" s="326"/>
      <c r="M794" s="326"/>
    </row>
    <row r="795" spans="1:13" x14ac:dyDescent="0.25">
      <c r="A795" s="340"/>
      <c r="B795" s="315"/>
      <c r="C795" s="365" t="s">
        <v>462</v>
      </c>
      <c r="D795" s="139" t="s">
        <v>472</v>
      </c>
      <c r="E795" s="304"/>
      <c r="F795" s="300"/>
      <c r="G795" s="300"/>
      <c r="H795" s="298"/>
      <c r="I795" s="298"/>
      <c r="J795" s="298"/>
      <c r="K795" s="133">
        <f>'Isian Prodi'!D223</f>
        <v>0</v>
      </c>
      <c r="L795" s="326"/>
      <c r="M795" s="326"/>
    </row>
    <row r="796" spans="1:13" x14ac:dyDescent="0.25">
      <c r="A796" s="340"/>
      <c r="B796" s="315"/>
      <c r="C796" s="365"/>
      <c r="D796" s="139" t="s">
        <v>473</v>
      </c>
      <c r="E796" s="304"/>
      <c r="F796" s="300"/>
      <c r="G796" s="300"/>
      <c r="H796" s="298"/>
      <c r="I796" s="298"/>
      <c r="J796" s="298"/>
      <c r="K796" s="133">
        <f>'Isian Prodi'!E223</f>
        <v>0</v>
      </c>
      <c r="L796" s="326"/>
      <c r="M796" s="326"/>
    </row>
    <row r="797" spans="1:13" x14ac:dyDescent="0.25">
      <c r="A797" s="340"/>
      <c r="B797" s="315"/>
      <c r="C797" s="365"/>
      <c r="D797" s="139" t="s">
        <v>474</v>
      </c>
      <c r="E797" s="304"/>
      <c r="F797" s="300"/>
      <c r="G797" s="300"/>
      <c r="H797" s="298"/>
      <c r="I797" s="298"/>
      <c r="J797" s="298"/>
      <c r="K797" s="133">
        <f>'Isian Prodi'!F223</f>
        <v>0</v>
      </c>
      <c r="L797" s="326"/>
      <c r="M797" s="326"/>
    </row>
    <row r="798" spans="1:13" x14ac:dyDescent="0.25">
      <c r="A798" s="340"/>
      <c r="B798" s="315"/>
      <c r="C798" s="365" t="s">
        <v>463</v>
      </c>
      <c r="D798" s="139" t="s">
        <v>472</v>
      </c>
      <c r="E798" s="304"/>
      <c r="F798" s="300"/>
      <c r="G798" s="300"/>
      <c r="H798" s="298"/>
      <c r="I798" s="298"/>
      <c r="J798" s="298"/>
      <c r="K798" s="133">
        <f>'Isian Prodi'!D224</f>
        <v>0</v>
      </c>
      <c r="L798" s="326"/>
      <c r="M798" s="326"/>
    </row>
    <row r="799" spans="1:13" x14ac:dyDescent="0.25">
      <c r="A799" s="340"/>
      <c r="B799" s="315"/>
      <c r="C799" s="365"/>
      <c r="D799" s="139" t="s">
        <v>473</v>
      </c>
      <c r="E799" s="304"/>
      <c r="F799" s="300"/>
      <c r="G799" s="300"/>
      <c r="H799" s="298"/>
      <c r="I799" s="298"/>
      <c r="J799" s="298"/>
      <c r="K799" s="133">
        <f>'Isian Prodi'!E224</f>
        <v>0</v>
      </c>
      <c r="L799" s="326"/>
      <c r="M799" s="326"/>
    </row>
    <row r="800" spans="1:13" x14ac:dyDescent="0.25">
      <c r="A800" s="340"/>
      <c r="B800" s="315"/>
      <c r="C800" s="365"/>
      <c r="D800" s="139" t="s">
        <v>474</v>
      </c>
      <c r="E800" s="304"/>
      <c r="F800" s="300"/>
      <c r="G800" s="300"/>
      <c r="H800" s="298"/>
      <c r="I800" s="298"/>
      <c r="J800" s="298"/>
      <c r="K800" s="133">
        <f>'Isian Prodi'!F224</f>
        <v>0</v>
      </c>
      <c r="L800" s="326"/>
      <c r="M800" s="326"/>
    </row>
    <row r="801" spans="1:13" ht="15" hidden="1" customHeight="1" x14ac:dyDescent="0.25">
      <c r="A801" s="340"/>
      <c r="B801" s="315"/>
      <c r="C801" s="118" t="s">
        <v>475</v>
      </c>
      <c r="D801" s="138">
        <v>0.6</v>
      </c>
      <c r="E801" s="304"/>
      <c r="F801" s="300"/>
      <c r="G801" s="300"/>
      <c r="H801" s="298"/>
      <c r="I801" s="298"/>
      <c r="J801" s="298"/>
      <c r="K801" s="61"/>
      <c r="L801" s="326"/>
      <c r="M801" s="326"/>
    </row>
    <row r="802" spans="1:13" ht="15" hidden="1" customHeight="1" x14ac:dyDescent="0.25">
      <c r="A802" s="340"/>
      <c r="B802" s="315"/>
      <c r="C802" s="118" t="s">
        <v>398</v>
      </c>
      <c r="D802" s="138">
        <v>0.3</v>
      </c>
      <c r="E802" s="304"/>
      <c r="F802" s="300"/>
      <c r="G802" s="300"/>
      <c r="H802" s="298"/>
      <c r="I802" s="298"/>
      <c r="J802" s="298"/>
      <c r="K802" s="61" t="s">
        <v>476</v>
      </c>
      <c r="L802" s="326"/>
      <c r="M802" s="326"/>
    </row>
    <row r="803" spans="1:13" ht="15" hidden="1" customHeight="1" x14ac:dyDescent="0.25">
      <c r="A803" s="340"/>
      <c r="B803" s="315"/>
      <c r="C803" s="118" t="s">
        <v>399</v>
      </c>
      <c r="D803" s="138">
        <v>0.7</v>
      </c>
      <c r="E803" s="304"/>
      <c r="F803" s="300"/>
      <c r="G803" s="300"/>
      <c r="H803" s="298"/>
      <c r="I803" s="298"/>
      <c r="J803" s="298"/>
      <c r="K803" s="61" t="s">
        <v>477</v>
      </c>
      <c r="L803" s="326"/>
      <c r="M803" s="326"/>
    </row>
    <row r="804" spans="1:13" ht="15" hidden="1" customHeight="1" x14ac:dyDescent="0.25">
      <c r="A804" s="340"/>
      <c r="B804" s="315"/>
      <c r="C804" s="134" t="s">
        <v>418</v>
      </c>
      <c r="D804" s="138">
        <v>1</v>
      </c>
      <c r="E804" s="304"/>
      <c r="F804" s="300"/>
      <c r="G804" s="300"/>
      <c r="H804" s="298"/>
      <c r="I804" s="298"/>
      <c r="J804" s="298"/>
      <c r="K804" s="61" t="s">
        <v>478</v>
      </c>
      <c r="L804" s="326"/>
      <c r="M804" s="326"/>
    </row>
    <row r="805" spans="1:13" x14ac:dyDescent="0.25">
      <c r="A805" s="340"/>
      <c r="B805" s="315"/>
      <c r="C805" s="307" t="s">
        <v>479</v>
      </c>
      <c r="D805" s="307"/>
      <c r="E805" s="304"/>
      <c r="F805" s="300"/>
      <c r="G805" s="300"/>
      <c r="H805" s="299"/>
      <c r="I805" s="299"/>
      <c r="J805" s="299"/>
      <c r="K805" s="105">
        <f>IF(SUM(K792:K800)&gt;0,((K792+K795+K798)*D802+(K793+K796+K799)*D803+(K794+K797+K800)*D804)/SUM(K792:K800),0)</f>
        <v>0</v>
      </c>
      <c r="L805" s="326"/>
      <c r="M805" s="326"/>
    </row>
    <row r="806" spans="1:13" x14ac:dyDescent="0.25">
      <c r="A806" s="340"/>
      <c r="B806" s="315"/>
      <c r="C806" s="304" t="s">
        <v>468</v>
      </c>
      <c r="D806" s="304"/>
      <c r="E806" s="304"/>
      <c r="F806" s="304"/>
      <c r="G806" s="183"/>
      <c r="H806" s="183"/>
      <c r="I806" s="183"/>
      <c r="J806" s="183"/>
      <c r="K806" s="62">
        <f>IF(K805&gt;=80%,4,5*K805)</f>
        <v>0</v>
      </c>
      <c r="L806" s="326"/>
      <c r="M806" s="326"/>
    </row>
    <row r="807" spans="1:13" x14ac:dyDescent="0.25">
      <c r="A807" s="340"/>
      <c r="B807" s="315"/>
      <c r="C807" s="304" t="s">
        <v>7</v>
      </c>
      <c r="D807" s="304"/>
      <c r="E807" s="304"/>
      <c r="F807" s="304"/>
      <c r="G807" s="183"/>
      <c r="H807" s="183"/>
      <c r="I807" s="183"/>
      <c r="J807" s="183"/>
      <c r="K807" s="62">
        <f>IF(K789&gt;=K790,K806,K789/K790*K806)</f>
        <v>0</v>
      </c>
      <c r="L807" s="326"/>
      <c r="M807" s="326"/>
    </row>
    <row r="809" spans="1:13" ht="30" customHeight="1" x14ac:dyDescent="0.25">
      <c r="A809" s="340">
        <v>62</v>
      </c>
      <c r="B809" s="315"/>
      <c r="C809" s="291" t="s">
        <v>912</v>
      </c>
      <c r="D809" s="291"/>
      <c r="E809" s="294" t="s">
        <v>1058</v>
      </c>
      <c r="F809" s="300" t="s">
        <v>993</v>
      </c>
      <c r="G809" s="300" t="s">
        <v>994</v>
      </c>
      <c r="H809" s="203" t="s">
        <v>698</v>
      </c>
      <c r="I809" s="203">
        <v>4</v>
      </c>
      <c r="J809" s="212" t="str">
        <f>IF((IF(OR((H809&amp;"."&amp;I809)=$R$8,(H809&amp;"."&amp;I809)=$S$8,(H809&amp;"."&amp;I809)=$T$8,(H809&amp;"."&amp;I809)=$U$8,(H809&amp;"."&amp;I809)=$V$8,(H809&amp;"."&amp;I809)=$W$8),1,0))=1,"EKSTREM",IF((IF(OR((H809&amp;"."&amp;I809)=$R$9,(H809&amp;"."&amp;I809)=$S$9,(H809&amp;"."&amp;I809)=$T$9,(H809&amp;"."&amp;I809)=$U$9,(H809&amp;"."&amp;I809)=$V$9,(H809&amp;"."&amp;I809)=$W$9,(H809&amp;"."&amp;I809)=$X$9),1,0))=1,"TINGGI",IF((IF(OR((H809&amp;"."&amp;I809)=$R$10,(H809&amp;"."&amp;I809)=$S$10,(H809&amp;"."&amp;I809)=$T$10,(H809&amp;"."&amp;I809)=$U$10,(H809&amp;"."&amp;I809)=$V$10,(H809&amp;"."&amp;I809)=$W$10),1,0))=1,"MODERAT",IF((IF(OR((H809&amp;"."&amp;I809)=$R$11,(H809&amp;"."&amp;I809)=$S$11,(H809&amp;"."&amp;I809)=$T$11,(H809&amp;"."&amp;I809)=$U$11,(H809&amp;"."&amp;I809)=$V$11,(H809&amp;"."&amp;I809)=$W$11),1,0))=1,"RENDAH","-"))))</f>
        <v>TINGGI</v>
      </c>
      <c r="K809" s="7"/>
      <c r="L809" s="326" t="s">
        <v>1078</v>
      </c>
      <c r="M809" s="326" t="s">
        <v>1079</v>
      </c>
    </row>
    <row r="810" spans="1:13" x14ac:dyDescent="0.25">
      <c r="A810" s="340"/>
      <c r="B810" s="315"/>
      <c r="C810" s="304" t="s">
        <v>453</v>
      </c>
      <c r="D810" s="304"/>
      <c r="E810" s="304"/>
      <c r="F810" s="300"/>
      <c r="G810" s="300"/>
      <c r="H810" s="297"/>
      <c r="I810" s="297"/>
      <c r="J810" s="297"/>
      <c r="K810" s="130">
        <f>'Isian Prodi'!B231</f>
        <v>0</v>
      </c>
      <c r="L810" s="326"/>
      <c r="M810" s="326"/>
    </row>
    <row r="811" spans="1:13" x14ac:dyDescent="0.25">
      <c r="A811" s="340"/>
      <c r="B811" s="315"/>
      <c r="C811" s="304" t="s">
        <v>454</v>
      </c>
      <c r="D811" s="304"/>
      <c r="E811" s="304"/>
      <c r="F811" s="300"/>
      <c r="G811" s="300"/>
      <c r="H811" s="298"/>
      <c r="I811" s="298"/>
      <c r="J811" s="298"/>
      <c r="K811" s="130">
        <f>'Isian Prodi'!B232</f>
        <v>0</v>
      </c>
      <c r="L811" s="326"/>
      <c r="M811" s="326"/>
    </row>
    <row r="812" spans="1:13" x14ac:dyDescent="0.25">
      <c r="A812" s="340"/>
      <c r="B812" s="315"/>
      <c r="C812" s="304" t="s">
        <v>455</v>
      </c>
      <c r="D812" s="304"/>
      <c r="E812" s="304"/>
      <c r="F812" s="300"/>
      <c r="G812" s="300"/>
      <c r="H812" s="298"/>
      <c r="I812" s="298"/>
      <c r="J812" s="298"/>
      <c r="K812" s="130">
        <f>'Isian Prodi'!B233</f>
        <v>0</v>
      </c>
      <c r="L812" s="326"/>
      <c r="M812" s="326"/>
    </row>
    <row r="813" spans="1:13" ht="15" customHeight="1" x14ac:dyDescent="0.25">
      <c r="A813" s="340"/>
      <c r="B813" s="315"/>
      <c r="C813" s="304" t="s">
        <v>492</v>
      </c>
      <c r="D813" s="304"/>
      <c r="E813" s="304"/>
      <c r="F813" s="300"/>
      <c r="G813" s="300"/>
      <c r="H813" s="298"/>
      <c r="I813" s="298"/>
      <c r="J813" s="298"/>
      <c r="K813" s="130">
        <f>'Isian Prodi'!C231</f>
        <v>0</v>
      </c>
      <c r="L813" s="326"/>
      <c r="M813" s="326"/>
    </row>
    <row r="814" spans="1:13" ht="15" customHeight="1" x14ac:dyDescent="0.25">
      <c r="A814" s="340"/>
      <c r="B814" s="315"/>
      <c r="C814" s="304" t="s">
        <v>493</v>
      </c>
      <c r="D814" s="304"/>
      <c r="E814" s="304"/>
      <c r="F814" s="300"/>
      <c r="G814" s="300"/>
      <c r="H814" s="298"/>
      <c r="I814" s="298"/>
      <c r="J814" s="298"/>
      <c r="K814" s="130">
        <f>'Isian Prodi'!C232</f>
        <v>0</v>
      </c>
      <c r="L814" s="326"/>
      <c r="M814" s="326"/>
    </row>
    <row r="815" spans="1:13" ht="15" customHeight="1" x14ac:dyDescent="0.25">
      <c r="A815" s="340"/>
      <c r="B815" s="315"/>
      <c r="C815" s="304" t="s">
        <v>494</v>
      </c>
      <c r="D815" s="304"/>
      <c r="E815" s="304"/>
      <c r="F815" s="300"/>
      <c r="G815" s="300"/>
      <c r="H815" s="298"/>
      <c r="I815" s="298"/>
      <c r="J815" s="298"/>
      <c r="K815" s="130">
        <f>'Isian Prodi'!C233</f>
        <v>0</v>
      </c>
      <c r="L815" s="326"/>
      <c r="M815" s="326"/>
    </row>
    <row r="816" spans="1:13" x14ac:dyDescent="0.25">
      <c r="A816" s="340"/>
      <c r="B816" s="315"/>
      <c r="C816" s="304" t="s">
        <v>495</v>
      </c>
      <c r="D816" s="304"/>
      <c r="E816" s="304"/>
      <c r="F816" s="300"/>
      <c r="G816" s="300"/>
      <c r="H816" s="298"/>
      <c r="I816" s="298"/>
      <c r="J816" s="298"/>
      <c r="K816" s="131">
        <f>IF(SUM(K810:K812)&gt;=300,1,2)</f>
        <v>2</v>
      </c>
      <c r="L816" s="326"/>
      <c r="M816" s="326"/>
    </row>
    <row r="817" spans="1:13" x14ac:dyDescent="0.25">
      <c r="A817" s="340"/>
      <c r="B817" s="315"/>
      <c r="C817" s="304" t="s">
        <v>459</v>
      </c>
      <c r="D817" s="304"/>
      <c r="E817" s="304"/>
      <c r="F817" s="300"/>
      <c r="G817" s="300"/>
      <c r="H817" s="298"/>
      <c r="I817" s="298"/>
      <c r="J817" s="298"/>
      <c r="K817" s="105">
        <f>IF(SUM(K810:K812)&gt;0,SUM(K813:K815)/SUM(K810:K812),0)</f>
        <v>0</v>
      </c>
      <c r="L817" s="326"/>
      <c r="M817" s="326"/>
    </row>
    <row r="818" spans="1:13" ht="18" x14ac:dyDescent="0.25">
      <c r="A818" s="340"/>
      <c r="B818" s="315"/>
      <c r="C818" s="304" t="s">
        <v>460</v>
      </c>
      <c r="D818" s="304"/>
      <c r="E818" s="304"/>
      <c r="F818" s="300"/>
      <c r="G818" s="300"/>
      <c r="H818" s="298"/>
      <c r="I818" s="298"/>
      <c r="J818" s="298"/>
      <c r="K818" s="132">
        <f>IF(K816=1,30%,50%-SUM(K810:K812)/300*20%)</f>
        <v>0.5</v>
      </c>
      <c r="L818" s="326"/>
      <c r="M818" s="326"/>
    </row>
    <row r="819" spans="1:13" ht="30" x14ac:dyDescent="0.25">
      <c r="A819" s="340"/>
      <c r="B819" s="315"/>
      <c r="C819" s="365" t="s">
        <v>461</v>
      </c>
      <c r="D819" s="139" t="s">
        <v>504</v>
      </c>
      <c r="E819" s="304"/>
      <c r="F819" s="300"/>
      <c r="G819" s="300"/>
      <c r="H819" s="298"/>
      <c r="I819" s="298"/>
      <c r="J819" s="298"/>
      <c r="K819" s="133">
        <f>'Isian Prodi'!F231</f>
        <v>0</v>
      </c>
      <c r="L819" s="326"/>
      <c r="M819" s="326"/>
    </row>
    <row r="820" spans="1:13" ht="30" x14ac:dyDescent="0.25">
      <c r="A820" s="340"/>
      <c r="B820" s="315"/>
      <c r="C820" s="365"/>
      <c r="D820" s="139" t="s">
        <v>505</v>
      </c>
      <c r="E820" s="304"/>
      <c r="F820" s="300"/>
      <c r="G820" s="300"/>
      <c r="H820" s="298"/>
      <c r="I820" s="298"/>
      <c r="J820" s="298"/>
      <c r="K820" s="133">
        <f>'Isian Prodi'!E231</f>
        <v>0</v>
      </c>
      <c r="L820" s="326"/>
      <c r="M820" s="326"/>
    </row>
    <row r="821" spans="1:13" ht="30" x14ac:dyDescent="0.25">
      <c r="A821" s="340"/>
      <c r="B821" s="315"/>
      <c r="C821" s="365"/>
      <c r="D821" s="139" t="s">
        <v>506</v>
      </c>
      <c r="E821" s="304"/>
      <c r="F821" s="300"/>
      <c r="G821" s="300"/>
      <c r="H821" s="298"/>
      <c r="I821" s="298"/>
      <c r="J821" s="298"/>
      <c r="K821" s="133">
        <f>'Isian Prodi'!D231</f>
        <v>0</v>
      </c>
      <c r="L821" s="326"/>
      <c r="M821" s="326"/>
    </row>
    <row r="822" spans="1:13" ht="30" x14ac:dyDescent="0.25">
      <c r="A822" s="340"/>
      <c r="B822" s="315"/>
      <c r="C822" s="365" t="s">
        <v>462</v>
      </c>
      <c r="D822" s="139" t="s">
        <v>504</v>
      </c>
      <c r="E822" s="304"/>
      <c r="F822" s="300"/>
      <c r="G822" s="300"/>
      <c r="H822" s="298"/>
      <c r="I822" s="298"/>
      <c r="J822" s="298"/>
      <c r="K822" s="133">
        <f>'Isian Prodi'!F232</f>
        <v>0</v>
      </c>
      <c r="L822" s="326"/>
      <c r="M822" s="326"/>
    </row>
    <row r="823" spans="1:13" ht="30" x14ac:dyDescent="0.25">
      <c r="A823" s="340"/>
      <c r="B823" s="315"/>
      <c r="C823" s="365"/>
      <c r="D823" s="139" t="s">
        <v>505</v>
      </c>
      <c r="E823" s="304"/>
      <c r="F823" s="300"/>
      <c r="G823" s="300"/>
      <c r="H823" s="298"/>
      <c r="I823" s="298"/>
      <c r="J823" s="298"/>
      <c r="K823" s="133">
        <f>'Isian Prodi'!E232</f>
        <v>0</v>
      </c>
      <c r="L823" s="326"/>
      <c r="M823" s="326"/>
    </row>
    <row r="824" spans="1:13" ht="30" x14ac:dyDescent="0.25">
      <c r="A824" s="340"/>
      <c r="B824" s="315"/>
      <c r="C824" s="365"/>
      <c r="D824" s="139" t="s">
        <v>506</v>
      </c>
      <c r="E824" s="304"/>
      <c r="F824" s="300"/>
      <c r="G824" s="300"/>
      <c r="H824" s="298"/>
      <c r="I824" s="298"/>
      <c r="J824" s="298"/>
      <c r="K824" s="133">
        <f>'Isian Prodi'!D232</f>
        <v>0</v>
      </c>
      <c r="L824" s="326"/>
      <c r="M824" s="326"/>
    </row>
    <row r="825" spans="1:13" ht="30" x14ac:dyDescent="0.25">
      <c r="A825" s="340"/>
      <c r="B825" s="315"/>
      <c r="C825" s="365" t="s">
        <v>463</v>
      </c>
      <c r="D825" s="139" t="s">
        <v>504</v>
      </c>
      <c r="E825" s="304"/>
      <c r="F825" s="300"/>
      <c r="G825" s="300"/>
      <c r="H825" s="298"/>
      <c r="I825" s="298"/>
      <c r="J825" s="298"/>
      <c r="K825" s="133">
        <f>'Isian Prodi'!F233</f>
        <v>0</v>
      </c>
      <c r="L825" s="326"/>
      <c r="M825" s="326"/>
    </row>
    <row r="826" spans="1:13" ht="30" x14ac:dyDescent="0.25">
      <c r="A826" s="340"/>
      <c r="B826" s="315"/>
      <c r="C826" s="365"/>
      <c r="D826" s="139" t="s">
        <v>505</v>
      </c>
      <c r="E826" s="304"/>
      <c r="F826" s="300"/>
      <c r="G826" s="300"/>
      <c r="H826" s="298"/>
      <c r="I826" s="298"/>
      <c r="J826" s="298"/>
      <c r="K826" s="133">
        <f>'Isian Prodi'!E233</f>
        <v>0</v>
      </c>
      <c r="L826" s="326"/>
      <c r="M826" s="326"/>
    </row>
    <row r="827" spans="1:13" ht="30" x14ac:dyDescent="0.25">
      <c r="A827" s="340"/>
      <c r="B827" s="315"/>
      <c r="C827" s="365"/>
      <c r="D827" s="139" t="s">
        <v>506</v>
      </c>
      <c r="E827" s="304"/>
      <c r="F827" s="300"/>
      <c r="G827" s="300"/>
      <c r="H827" s="298"/>
      <c r="I827" s="298"/>
      <c r="J827" s="298"/>
      <c r="K827" s="133">
        <f>'Isian Prodi'!D233</f>
        <v>0</v>
      </c>
      <c r="L827" s="326"/>
      <c r="M827" s="326"/>
    </row>
    <row r="828" spans="1:13" x14ac:dyDescent="0.25">
      <c r="A828" s="340"/>
      <c r="B828" s="315"/>
      <c r="C828" s="307" t="s">
        <v>496</v>
      </c>
      <c r="D828" s="307"/>
      <c r="E828" s="304"/>
      <c r="F828" s="300"/>
      <c r="G828" s="300"/>
      <c r="H828" s="298"/>
      <c r="I828" s="298"/>
      <c r="J828" s="298"/>
      <c r="K828" s="105">
        <f>IF(SUM(K819:K827)&gt;0,(K819+K822+K825)/SUM(K819:K827),0)</f>
        <v>0</v>
      </c>
      <c r="L828" s="326"/>
      <c r="M828" s="326"/>
    </row>
    <row r="829" spans="1:13" x14ac:dyDescent="0.25">
      <c r="A829" s="340"/>
      <c r="B829" s="315"/>
      <c r="C829" s="307" t="s">
        <v>497</v>
      </c>
      <c r="D829" s="307"/>
      <c r="E829" s="304"/>
      <c r="F829" s="300"/>
      <c r="G829" s="300"/>
      <c r="H829" s="298"/>
      <c r="I829" s="298"/>
      <c r="J829" s="298"/>
      <c r="K829" s="105">
        <f>IF(SUM(K819:K827)&gt;0,(K820+K823+K826)/SUM(K819:K827),0)</f>
        <v>0</v>
      </c>
      <c r="L829" s="326"/>
      <c r="M829" s="326"/>
    </row>
    <row r="830" spans="1:13" x14ac:dyDescent="0.25">
      <c r="A830" s="340"/>
      <c r="B830" s="315"/>
      <c r="C830" s="307" t="s">
        <v>498</v>
      </c>
      <c r="D830" s="307"/>
      <c r="E830" s="304"/>
      <c r="F830" s="300"/>
      <c r="G830" s="300"/>
      <c r="H830" s="299"/>
      <c r="I830" s="299"/>
      <c r="J830" s="299"/>
      <c r="K830" s="105">
        <f>IF(SUM(K819:K827)&gt;0,(K821+K824+K827)/SUM(K819:K827),0)</f>
        <v>0</v>
      </c>
      <c r="L830" s="326"/>
      <c r="M830" s="326"/>
    </row>
    <row r="831" spans="1:13" ht="15" hidden="1" customHeight="1" x14ac:dyDescent="0.25">
      <c r="A831" s="340"/>
      <c r="B831" s="315"/>
      <c r="C831" s="134" t="s">
        <v>106</v>
      </c>
      <c r="D831" s="138">
        <v>0.05</v>
      </c>
      <c r="E831" s="304"/>
      <c r="F831" s="300"/>
      <c r="G831" s="300"/>
      <c r="H831" s="184"/>
      <c r="I831" s="184"/>
      <c r="J831" s="184"/>
      <c r="K831" s="61"/>
      <c r="L831" s="326"/>
      <c r="M831" s="326"/>
    </row>
    <row r="832" spans="1:13" ht="15" hidden="1" customHeight="1" x14ac:dyDescent="0.25">
      <c r="A832" s="340"/>
      <c r="B832" s="315"/>
      <c r="C832" s="134" t="s">
        <v>107</v>
      </c>
      <c r="D832" s="138">
        <v>0.2</v>
      </c>
      <c r="E832" s="304"/>
      <c r="F832" s="300"/>
      <c r="G832" s="300"/>
      <c r="H832" s="184"/>
      <c r="I832" s="184"/>
      <c r="J832" s="184"/>
      <c r="K832" s="61"/>
      <c r="L832" s="326"/>
      <c r="M832" s="326"/>
    </row>
    <row r="833" spans="1:13" ht="15" hidden="1" customHeight="1" x14ac:dyDescent="0.25">
      <c r="A833" s="340"/>
      <c r="B833" s="315"/>
      <c r="C833" s="134" t="s">
        <v>108</v>
      </c>
      <c r="D833" s="138">
        <v>0.9</v>
      </c>
      <c r="E833" s="304"/>
      <c r="F833" s="300"/>
      <c r="G833" s="300"/>
      <c r="H833" s="184"/>
      <c r="I833" s="184"/>
      <c r="J833" s="184"/>
      <c r="K833" s="61"/>
      <c r="L833" s="326"/>
      <c r="M833" s="326"/>
    </row>
    <row r="834" spans="1:13" ht="15" hidden="1" customHeight="1" x14ac:dyDescent="0.25">
      <c r="A834" s="340"/>
      <c r="B834" s="315"/>
      <c r="C834" s="134"/>
      <c r="D834" s="138" t="s">
        <v>499</v>
      </c>
      <c r="E834" s="304"/>
      <c r="F834" s="300"/>
      <c r="G834" s="300"/>
      <c r="H834" s="184"/>
      <c r="I834" s="184"/>
      <c r="J834" s="184"/>
      <c r="K834" s="140" t="str">
        <f>IF(K828&gt;=D831,"YES","NO")</f>
        <v>NO</v>
      </c>
      <c r="L834" s="326"/>
      <c r="M834" s="326"/>
    </row>
    <row r="835" spans="1:13" ht="15" hidden="1" customHeight="1" x14ac:dyDescent="0.25">
      <c r="A835" s="340"/>
      <c r="B835" s="315"/>
      <c r="C835" s="134"/>
      <c r="D835" s="138" t="s">
        <v>500</v>
      </c>
      <c r="E835" s="304"/>
      <c r="F835" s="300"/>
      <c r="G835" s="300"/>
      <c r="H835" s="184"/>
      <c r="I835" s="184"/>
      <c r="J835" s="184"/>
      <c r="K835" s="140" t="str">
        <f>IF(AND(K828&lt;D831,K829&gt;=D832),"YES","NO")</f>
        <v>NO</v>
      </c>
      <c r="L835" s="326"/>
      <c r="M835" s="326"/>
    </row>
    <row r="836" spans="1:13" ht="15" hidden="1" customHeight="1" x14ac:dyDescent="0.25">
      <c r="A836" s="340"/>
      <c r="B836" s="315"/>
      <c r="C836" s="134"/>
      <c r="D836" s="138" t="s">
        <v>501</v>
      </c>
      <c r="E836" s="304"/>
      <c r="F836" s="300"/>
      <c r="G836" s="300"/>
      <c r="H836" s="184"/>
      <c r="I836" s="184"/>
      <c r="J836" s="184"/>
      <c r="K836" s="140" t="str">
        <f>IF(OR(AND(K828&gt;0,K828&lt;D831,K829=0),AND(K829&gt;0,K829&lt;D832,K828=0),AND(K828&gt;0,K828&lt;D831,K829&gt;0,K829&lt;D832)),"YES","NO")</f>
        <v>NO</v>
      </c>
      <c r="L836" s="326"/>
      <c r="M836" s="326"/>
    </row>
    <row r="837" spans="1:13" ht="15" hidden="1" customHeight="1" x14ac:dyDescent="0.25">
      <c r="A837" s="340"/>
      <c r="B837" s="315"/>
      <c r="C837" s="134"/>
      <c r="D837" s="138" t="s">
        <v>502</v>
      </c>
      <c r="E837" s="304"/>
      <c r="F837" s="300"/>
      <c r="G837" s="300"/>
      <c r="H837" s="184"/>
      <c r="I837" s="184"/>
      <c r="J837" s="184"/>
      <c r="K837" s="140" t="str">
        <f>IF(AND(K828=0,K829=0,K830&gt;=D833),"YES","NO")</f>
        <v>NO</v>
      </c>
      <c r="L837" s="326"/>
      <c r="M837" s="326"/>
    </row>
    <row r="838" spans="1:13" ht="15" hidden="1" customHeight="1" x14ac:dyDescent="0.25">
      <c r="A838" s="340"/>
      <c r="B838" s="315"/>
      <c r="C838" s="134"/>
      <c r="D838" s="138" t="s">
        <v>503</v>
      </c>
      <c r="E838" s="304"/>
      <c r="F838" s="300"/>
      <c r="G838" s="300"/>
      <c r="H838" s="184"/>
      <c r="I838" s="184"/>
      <c r="J838" s="184"/>
      <c r="K838" s="140" t="str">
        <f>IF(AND(K828=0,K829=0,K830&lt;D833),"YES","NO")</f>
        <v>YES</v>
      </c>
      <c r="L838" s="326"/>
      <c r="M838" s="326"/>
    </row>
    <row r="839" spans="1:13" x14ac:dyDescent="0.25">
      <c r="A839" s="340"/>
      <c r="B839" s="315"/>
      <c r="C839" s="304" t="s">
        <v>468</v>
      </c>
      <c r="D839" s="304"/>
      <c r="E839" s="304"/>
      <c r="F839" s="304"/>
      <c r="G839" s="183"/>
      <c r="H839" s="183"/>
      <c r="I839" s="183"/>
      <c r="J839" s="183"/>
      <c r="K839" s="62">
        <f>IF(K834="YES",4,IF(K835="YES",3+K828/D831,IF(K836="YES",2+2*K828/D831+K829/D832-(K828*K829)/(D831*D832),IF(K837="YES",2,2*K830/D833))))</f>
        <v>0</v>
      </c>
      <c r="L839" s="326"/>
      <c r="M839" s="326"/>
    </row>
    <row r="840" spans="1:13" x14ac:dyDescent="0.25">
      <c r="A840" s="340"/>
      <c r="B840" s="315"/>
      <c r="C840" s="304" t="s">
        <v>7</v>
      </c>
      <c r="D840" s="304"/>
      <c r="E840" s="304"/>
      <c r="F840" s="304"/>
      <c r="G840" s="183"/>
      <c r="H840" s="183"/>
      <c r="I840" s="183"/>
      <c r="J840" s="183"/>
      <c r="K840" s="62">
        <f>IF(K816&gt;=K817,K839,K816/K817*K839)</f>
        <v>0</v>
      </c>
      <c r="L840" s="326"/>
      <c r="M840" s="326"/>
    </row>
    <row r="842" spans="1:13" ht="30" customHeight="1" x14ac:dyDescent="0.25">
      <c r="A842" s="340">
        <v>63</v>
      </c>
      <c r="B842" s="315"/>
      <c r="C842" s="291" t="s">
        <v>913</v>
      </c>
      <c r="D842" s="291"/>
      <c r="E842" s="294" t="s">
        <v>1059</v>
      </c>
      <c r="F842" s="300" t="s">
        <v>993</v>
      </c>
      <c r="G842" s="300" t="s">
        <v>994</v>
      </c>
      <c r="H842" s="203" t="s">
        <v>698</v>
      </c>
      <c r="I842" s="203">
        <v>4</v>
      </c>
      <c r="J842" s="212" t="str">
        <f>IF((IF(OR((H842&amp;"."&amp;I842)=$R$8,(H842&amp;"."&amp;I842)=$S$8,(H842&amp;"."&amp;I842)=$T$8,(H842&amp;"."&amp;I842)=$U$8,(H842&amp;"."&amp;I842)=$V$8,(H842&amp;"."&amp;I842)=$W$8),1,0))=1,"EKSTREM",IF((IF(OR((H842&amp;"."&amp;I842)=$R$9,(H842&amp;"."&amp;I842)=$S$9,(H842&amp;"."&amp;I842)=$T$9,(H842&amp;"."&amp;I842)=$U$9,(H842&amp;"."&amp;I842)=$V$9,(H842&amp;"."&amp;I842)=$W$9,(H842&amp;"."&amp;I842)=$X$9),1,0))=1,"TINGGI",IF((IF(OR((H842&amp;"."&amp;I842)=$R$10,(H842&amp;"."&amp;I842)=$S$10,(H842&amp;"."&amp;I842)=$T$10,(H842&amp;"."&amp;I842)=$U$10,(H842&amp;"."&amp;I842)=$V$10,(H842&amp;"."&amp;I842)=$W$10),1,0))=1,"MODERAT",IF((IF(OR((H842&amp;"."&amp;I842)=$R$11,(H842&amp;"."&amp;I842)=$S$11,(H842&amp;"."&amp;I842)=$T$11,(H842&amp;"."&amp;I842)=$U$11,(H842&amp;"."&amp;I842)=$V$11,(H842&amp;"."&amp;I842)=$W$11),1,0))=1,"RENDAH","-"))))</f>
        <v>TINGGI</v>
      </c>
      <c r="K842" s="7"/>
      <c r="L842" s="326" t="s">
        <v>1078</v>
      </c>
      <c r="M842" s="326" t="s">
        <v>1079</v>
      </c>
    </row>
    <row r="843" spans="1:13" x14ac:dyDescent="0.25">
      <c r="A843" s="340"/>
      <c r="B843" s="315"/>
      <c r="C843" s="308" t="s">
        <v>453</v>
      </c>
      <c r="D843" s="308"/>
      <c r="E843" s="294"/>
      <c r="F843" s="300"/>
      <c r="G843" s="300"/>
      <c r="H843" s="297"/>
      <c r="I843" s="297"/>
      <c r="J843" s="297"/>
      <c r="K843" s="130">
        <f>'Isian Prodi'!B240</f>
        <v>0</v>
      </c>
      <c r="L843" s="326"/>
      <c r="M843" s="326"/>
    </row>
    <row r="844" spans="1:13" x14ac:dyDescent="0.25">
      <c r="A844" s="340"/>
      <c r="B844" s="315"/>
      <c r="C844" s="308" t="s">
        <v>454</v>
      </c>
      <c r="D844" s="308"/>
      <c r="E844" s="294"/>
      <c r="F844" s="300"/>
      <c r="G844" s="300"/>
      <c r="H844" s="298"/>
      <c r="I844" s="298"/>
      <c r="J844" s="298"/>
      <c r="K844" s="130">
        <f>'Isian Prodi'!B241</f>
        <v>0</v>
      </c>
      <c r="L844" s="326"/>
      <c r="M844" s="326"/>
    </row>
    <row r="845" spans="1:13" x14ac:dyDescent="0.25">
      <c r="A845" s="340"/>
      <c r="B845" s="315"/>
      <c r="C845" s="308" t="s">
        <v>455</v>
      </c>
      <c r="D845" s="308"/>
      <c r="E845" s="294"/>
      <c r="F845" s="300"/>
      <c r="G845" s="300"/>
      <c r="H845" s="298"/>
      <c r="I845" s="298"/>
      <c r="J845" s="298"/>
      <c r="K845" s="130">
        <f>'Isian Prodi'!B242</f>
        <v>0</v>
      </c>
      <c r="L845" s="326"/>
      <c r="M845" s="326"/>
    </row>
    <row r="846" spans="1:13" x14ac:dyDescent="0.25">
      <c r="A846" s="340"/>
      <c r="B846" s="315"/>
      <c r="C846" s="308" t="s">
        <v>523</v>
      </c>
      <c r="D846" s="308"/>
      <c r="E846" s="294"/>
      <c r="F846" s="300"/>
      <c r="G846" s="300"/>
      <c r="H846" s="298"/>
      <c r="I846" s="298"/>
      <c r="J846" s="298"/>
      <c r="K846" s="130">
        <f>'Isian Prodi'!C240</f>
        <v>0</v>
      </c>
      <c r="L846" s="326"/>
      <c r="M846" s="326"/>
    </row>
    <row r="847" spans="1:13" x14ac:dyDescent="0.25">
      <c r="A847" s="340"/>
      <c r="B847" s="315"/>
      <c r="C847" s="308" t="s">
        <v>524</v>
      </c>
      <c r="D847" s="308"/>
      <c r="E847" s="294"/>
      <c r="F847" s="300"/>
      <c r="G847" s="300"/>
      <c r="H847" s="298"/>
      <c r="I847" s="298"/>
      <c r="J847" s="298"/>
      <c r="K847" s="130">
        <f>'Isian Prodi'!C241</f>
        <v>0</v>
      </c>
      <c r="L847" s="326"/>
      <c r="M847" s="326"/>
    </row>
    <row r="848" spans="1:13" x14ac:dyDescent="0.25">
      <c r="A848" s="340"/>
      <c r="B848" s="315"/>
      <c r="C848" s="308" t="s">
        <v>525</v>
      </c>
      <c r="D848" s="308"/>
      <c r="E848" s="294"/>
      <c r="F848" s="300"/>
      <c r="G848" s="300"/>
      <c r="H848" s="298"/>
      <c r="I848" s="298"/>
      <c r="J848" s="298"/>
      <c r="K848" s="130">
        <f>'Isian Prodi'!C242</f>
        <v>0</v>
      </c>
      <c r="L848" s="326"/>
      <c r="M848" s="326"/>
    </row>
    <row r="849" spans="1:13" x14ac:dyDescent="0.25">
      <c r="A849" s="340"/>
      <c r="B849" s="315"/>
      <c r="C849" s="304" t="s">
        <v>495</v>
      </c>
      <c r="D849" s="304"/>
      <c r="E849" s="294"/>
      <c r="F849" s="300"/>
      <c r="G849" s="300"/>
      <c r="H849" s="298"/>
      <c r="I849" s="298"/>
      <c r="J849" s="298"/>
      <c r="K849" s="131">
        <f>IF(SUM(K843:K845)&gt;=300,1,2)</f>
        <v>2</v>
      </c>
      <c r="L849" s="326"/>
      <c r="M849" s="326"/>
    </row>
    <row r="850" spans="1:13" x14ac:dyDescent="0.25">
      <c r="A850" s="340"/>
      <c r="B850" s="315"/>
      <c r="C850" s="308" t="s">
        <v>526</v>
      </c>
      <c r="D850" s="308"/>
      <c r="E850" s="294"/>
      <c r="F850" s="300"/>
      <c r="G850" s="300"/>
      <c r="H850" s="298"/>
      <c r="I850" s="298"/>
      <c r="J850" s="298"/>
      <c r="K850" s="105">
        <f>IF(SUM(K843:K845)&gt;0,SUM(K846:K848)/SUM(K843:K845),0)</f>
        <v>0</v>
      </c>
      <c r="L850" s="326"/>
      <c r="M850" s="326"/>
    </row>
    <row r="851" spans="1:13" ht="18" x14ac:dyDescent="0.25">
      <c r="A851" s="340"/>
      <c r="B851" s="315"/>
      <c r="C851" s="304" t="s">
        <v>460</v>
      </c>
      <c r="D851" s="304"/>
      <c r="E851" s="294"/>
      <c r="F851" s="300"/>
      <c r="G851" s="300"/>
      <c r="H851" s="298"/>
      <c r="I851" s="298"/>
      <c r="J851" s="298"/>
      <c r="K851" s="132">
        <f>IF(K849=1,30%,50%-SUM(K843:K845)/300*20%)</f>
        <v>0.5</v>
      </c>
      <c r="L851" s="326"/>
      <c r="M851" s="326"/>
    </row>
    <row r="852" spans="1:13" x14ac:dyDescent="0.25">
      <c r="A852" s="340"/>
      <c r="B852" s="315"/>
      <c r="C852" s="366" t="s">
        <v>508</v>
      </c>
      <c r="D852" s="103" t="s">
        <v>315</v>
      </c>
      <c r="E852" s="294"/>
      <c r="F852" s="300"/>
      <c r="G852" s="300"/>
      <c r="H852" s="298"/>
      <c r="I852" s="298"/>
      <c r="J852" s="298"/>
      <c r="K852" s="144">
        <f>'Isian Prodi'!E240</f>
        <v>0</v>
      </c>
      <c r="L852" s="326"/>
      <c r="M852" s="326"/>
    </row>
    <row r="853" spans="1:13" x14ac:dyDescent="0.25">
      <c r="A853" s="340"/>
      <c r="B853" s="315"/>
      <c r="C853" s="366"/>
      <c r="D853" s="103" t="s">
        <v>316</v>
      </c>
      <c r="E853" s="294"/>
      <c r="F853" s="300"/>
      <c r="G853" s="300"/>
      <c r="H853" s="298"/>
      <c r="I853" s="298"/>
      <c r="J853" s="298"/>
      <c r="K853" s="144">
        <f>'Isian Prodi'!F240</f>
        <v>0</v>
      </c>
      <c r="L853" s="326"/>
      <c r="M853" s="326"/>
    </row>
    <row r="854" spans="1:13" x14ac:dyDescent="0.25">
      <c r="A854" s="340"/>
      <c r="B854" s="315"/>
      <c r="C854" s="366"/>
      <c r="D854" s="103" t="s">
        <v>317</v>
      </c>
      <c r="E854" s="294"/>
      <c r="F854" s="300"/>
      <c r="G854" s="300"/>
      <c r="H854" s="298"/>
      <c r="I854" s="298"/>
      <c r="J854" s="298"/>
      <c r="K854" s="144">
        <f>'Isian Prodi'!G240</f>
        <v>0</v>
      </c>
      <c r="L854" s="326"/>
      <c r="M854" s="326"/>
    </row>
    <row r="855" spans="1:13" x14ac:dyDescent="0.25">
      <c r="A855" s="340"/>
      <c r="B855" s="315"/>
      <c r="C855" s="366"/>
      <c r="D855" s="103" t="s">
        <v>318</v>
      </c>
      <c r="E855" s="294"/>
      <c r="F855" s="300"/>
      <c r="G855" s="300"/>
      <c r="H855" s="298"/>
      <c r="I855" s="298"/>
      <c r="J855" s="298"/>
      <c r="K855" s="144">
        <f>'Isian Prodi'!H240</f>
        <v>0</v>
      </c>
      <c r="L855" s="326"/>
      <c r="M855" s="326"/>
    </row>
    <row r="856" spans="1:13" x14ac:dyDescent="0.25">
      <c r="A856" s="340"/>
      <c r="B856" s="315"/>
      <c r="C856" s="366"/>
      <c r="D856" s="104" t="s">
        <v>513</v>
      </c>
      <c r="E856" s="294"/>
      <c r="F856" s="300"/>
      <c r="G856" s="300"/>
      <c r="H856" s="298"/>
      <c r="I856" s="298"/>
      <c r="J856" s="298"/>
      <c r="K856" s="60">
        <f>IF((4*K852+3*K853+2*K854+K855)&gt;4,0,4*K852+3*K853+2*K854+K855)</f>
        <v>0</v>
      </c>
      <c r="L856" s="326"/>
      <c r="M856" s="326"/>
    </row>
    <row r="857" spans="1:13" x14ac:dyDescent="0.25">
      <c r="A857" s="340"/>
      <c r="B857" s="315"/>
      <c r="C857" s="366" t="s">
        <v>527</v>
      </c>
      <c r="D857" s="103" t="s">
        <v>315</v>
      </c>
      <c r="E857" s="294"/>
      <c r="F857" s="300"/>
      <c r="G857" s="300"/>
      <c r="H857" s="298"/>
      <c r="I857" s="298"/>
      <c r="J857" s="298"/>
      <c r="K857" s="144">
        <f>'Isian Prodi'!E241</f>
        <v>0</v>
      </c>
      <c r="L857" s="326"/>
      <c r="M857" s="326"/>
    </row>
    <row r="858" spans="1:13" x14ac:dyDescent="0.25">
      <c r="A858" s="340"/>
      <c r="B858" s="315"/>
      <c r="C858" s="366"/>
      <c r="D858" s="103" t="s">
        <v>316</v>
      </c>
      <c r="E858" s="294"/>
      <c r="F858" s="300"/>
      <c r="G858" s="300"/>
      <c r="H858" s="298"/>
      <c r="I858" s="298"/>
      <c r="J858" s="298"/>
      <c r="K858" s="145">
        <f>'Isian Prodi'!F241</f>
        <v>0</v>
      </c>
      <c r="L858" s="326"/>
      <c r="M858" s="326"/>
    </row>
    <row r="859" spans="1:13" x14ac:dyDescent="0.25">
      <c r="A859" s="340"/>
      <c r="B859" s="315"/>
      <c r="C859" s="366"/>
      <c r="D859" s="103" t="s">
        <v>317</v>
      </c>
      <c r="E859" s="294"/>
      <c r="F859" s="300"/>
      <c r="G859" s="300"/>
      <c r="H859" s="298"/>
      <c r="I859" s="298"/>
      <c r="J859" s="298"/>
      <c r="K859" s="145">
        <f>'Isian Prodi'!G241</f>
        <v>0</v>
      </c>
      <c r="L859" s="326"/>
      <c r="M859" s="326"/>
    </row>
    <row r="860" spans="1:13" x14ac:dyDescent="0.25">
      <c r="A860" s="340"/>
      <c r="B860" s="315"/>
      <c r="C860" s="366"/>
      <c r="D860" s="103" t="s">
        <v>318</v>
      </c>
      <c r="E860" s="294"/>
      <c r="F860" s="300"/>
      <c r="G860" s="300"/>
      <c r="H860" s="298"/>
      <c r="I860" s="298"/>
      <c r="J860" s="298"/>
      <c r="K860" s="145">
        <f>'Isian Prodi'!H241</f>
        <v>0</v>
      </c>
      <c r="L860" s="326"/>
      <c r="M860" s="326"/>
    </row>
    <row r="861" spans="1:13" x14ac:dyDescent="0.25">
      <c r="A861" s="340"/>
      <c r="B861" s="315"/>
      <c r="C861" s="366"/>
      <c r="D861" s="104" t="s">
        <v>514</v>
      </c>
      <c r="E861" s="294"/>
      <c r="F861" s="300"/>
      <c r="G861" s="300"/>
      <c r="H861" s="298"/>
      <c r="I861" s="298"/>
      <c r="J861" s="298"/>
      <c r="K861" s="60">
        <f>IF((4*K857+3*K858+2*K859+K860)&gt;4,0,4*K857+3*K858+2*K859+K860)</f>
        <v>0</v>
      </c>
      <c r="L861" s="326"/>
      <c r="M861" s="326"/>
    </row>
    <row r="862" spans="1:13" x14ac:dyDescent="0.25">
      <c r="A862" s="340"/>
      <c r="B862" s="315"/>
      <c r="C862" s="366" t="s">
        <v>528</v>
      </c>
      <c r="D862" s="103" t="s">
        <v>315</v>
      </c>
      <c r="E862" s="294"/>
      <c r="F862" s="300"/>
      <c r="G862" s="300"/>
      <c r="H862" s="298"/>
      <c r="I862" s="298"/>
      <c r="J862" s="298"/>
      <c r="K862" s="145">
        <f>'Isian Prodi'!E242</f>
        <v>0</v>
      </c>
      <c r="L862" s="326"/>
      <c r="M862" s="326"/>
    </row>
    <row r="863" spans="1:13" x14ac:dyDescent="0.25">
      <c r="A863" s="340"/>
      <c r="B863" s="315"/>
      <c r="C863" s="366"/>
      <c r="D863" s="103" t="s">
        <v>316</v>
      </c>
      <c r="E863" s="294"/>
      <c r="F863" s="300"/>
      <c r="G863" s="300"/>
      <c r="H863" s="298"/>
      <c r="I863" s="298"/>
      <c r="J863" s="298"/>
      <c r="K863" s="145">
        <f>'Isian Prodi'!F242</f>
        <v>0</v>
      </c>
      <c r="L863" s="326"/>
      <c r="M863" s="326"/>
    </row>
    <row r="864" spans="1:13" x14ac:dyDescent="0.25">
      <c r="A864" s="340"/>
      <c r="B864" s="315"/>
      <c r="C864" s="366"/>
      <c r="D864" s="103" t="s">
        <v>317</v>
      </c>
      <c r="E864" s="294"/>
      <c r="F864" s="300"/>
      <c r="G864" s="300"/>
      <c r="H864" s="298"/>
      <c r="I864" s="298"/>
      <c r="J864" s="298"/>
      <c r="K864" s="145">
        <f>'Isian Prodi'!G242</f>
        <v>0</v>
      </c>
      <c r="L864" s="326"/>
      <c r="M864" s="326"/>
    </row>
    <row r="865" spans="1:13" x14ac:dyDescent="0.25">
      <c r="A865" s="340"/>
      <c r="B865" s="315"/>
      <c r="C865" s="366"/>
      <c r="D865" s="103" t="s">
        <v>318</v>
      </c>
      <c r="E865" s="294"/>
      <c r="F865" s="300"/>
      <c r="G865" s="300"/>
      <c r="H865" s="298"/>
      <c r="I865" s="298"/>
      <c r="J865" s="298"/>
      <c r="K865" s="145">
        <f>'Isian Prodi'!H242</f>
        <v>0</v>
      </c>
      <c r="L865" s="326"/>
      <c r="M865" s="326"/>
    </row>
    <row r="866" spans="1:13" x14ac:dyDescent="0.25">
      <c r="A866" s="340"/>
      <c r="B866" s="315"/>
      <c r="C866" s="366"/>
      <c r="D866" s="104" t="s">
        <v>515</v>
      </c>
      <c r="E866" s="294"/>
      <c r="F866" s="300"/>
      <c r="G866" s="300"/>
      <c r="H866" s="298"/>
      <c r="I866" s="298"/>
      <c r="J866" s="298"/>
      <c r="K866" s="60">
        <f>IF((4*K862+3*K863+2*K864+K865)&gt;4,0,4*K862+3*K863+2*K864+K865)</f>
        <v>0</v>
      </c>
      <c r="L866" s="326"/>
      <c r="M866" s="326"/>
    </row>
    <row r="867" spans="1:13" x14ac:dyDescent="0.25">
      <c r="A867" s="340"/>
      <c r="B867" s="315"/>
      <c r="C867" s="367" t="s">
        <v>529</v>
      </c>
      <c r="D867" s="103" t="s">
        <v>315</v>
      </c>
      <c r="E867" s="294"/>
      <c r="F867" s="300"/>
      <c r="G867" s="300"/>
      <c r="H867" s="298"/>
      <c r="I867" s="298"/>
      <c r="J867" s="298"/>
      <c r="K867" s="145">
        <f>'Isian Prodi'!E243</f>
        <v>0</v>
      </c>
      <c r="L867" s="326"/>
      <c r="M867" s="326"/>
    </row>
    <row r="868" spans="1:13" x14ac:dyDescent="0.25">
      <c r="A868" s="340"/>
      <c r="B868" s="315"/>
      <c r="C868" s="367"/>
      <c r="D868" s="103" t="s">
        <v>316</v>
      </c>
      <c r="E868" s="294"/>
      <c r="F868" s="300"/>
      <c r="G868" s="300"/>
      <c r="H868" s="298"/>
      <c r="I868" s="298"/>
      <c r="J868" s="298"/>
      <c r="K868" s="145">
        <f>'Isian Prodi'!F243</f>
        <v>0</v>
      </c>
      <c r="L868" s="326"/>
      <c r="M868" s="326"/>
    </row>
    <row r="869" spans="1:13" x14ac:dyDescent="0.25">
      <c r="A869" s="340"/>
      <c r="B869" s="315"/>
      <c r="C869" s="367"/>
      <c r="D869" s="103" t="s">
        <v>317</v>
      </c>
      <c r="E869" s="294"/>
      <c r="F869" s="300"/>
      <c r="G869" s="300"/>
      <c r="H869" s="298"/>
      <c r="I869" s="298"/>
      <c r="J869" s="298"/>
      <c r="K869" s="145">
        <f>'Isian Prodi'!G243</f>
        <v>0</v>
      </c>
      <c r="L869" s="326"/>
      <c r="M869" s="326"/>
    </row>
    <row r="870" spans="1:13" x14ac:dyDescent="0.25">
      <c r="A870" s="340"/>
      <c r="B870" s="315"/>
      <c r="C870" s="367"/>
      <c r="D870" s="103" t="s">
        <v>318</v>
      </c>
      <c r="E870" s="294"/>
      <c r="F870" s="300"/>
      <c r="G870" s="300"/>
      <c r="H870" s="298"/>
      <c r="I870" s="298"/>
      <c r="J870" s="298"/>
      <c r="K870" s="145">
        <f>'Isian Prodi'!H243</f>
        <v>0</v>
      </c>
      <c r="L870" s="326"/>
      <c r="M870" s="326"/>
    </row>
    <row r="871" spans="1:13" x14ac:dyDescent="0.25">
      <c r="A871" s="340"/>
      <c r="B871" s="315"/>
      <c r="C871" s="367"/>
      <c r="D871" s="104" t="s">
        <v>516</v>
      </c>
      <c r="E871" s="294"/>
      <c r="F871" s="300"/>
      <c r="G871" s="300"/>
      <c r="H871" s="298"/>
      <c r="I871" s="298"/>
      <c r="J871" s="298"/>
      <c r="K871" s="60">
        <f>IF((4*K867+3*K868+2*K869+K870)&gt;4,0,4*K867+3*K868+2*K869+K870)</f>
        <v>0</v>
      </c>
      <c r="L871" s="326"/>
      <c r="M871" s="326"/>
    </row>
    <row r="872" spans="1:13" x14ac:dyDescent="0.25">
      <c r="A872" s="340"/>
      <c r="B872" s="315"/>
      <c r="C872" s="366" t="s">
        <v>530</v>
      </c>
      <c r="D872" s="103" t="s">
        <v>315</v>
      </c>
      <c r="E872" s="294"/>
      <c r="F872" s="300"/>
      <c r="G872" s="300"/>
      <c r="H872" s="298"/>
      <c r="I872" s="298"/>
      <c r="J872" s="298"/>
      <c r="K872" s="145">
        <f>'Isian Prodi'!E244</f>
        <v>0</v>
      </c>
      <c r="L872" s="326"/>
      <c r="M872" s="326"/>
    </row>
    <row r="873" spans="1:13" x14ac:dyDescent="0.25">
      <c r="A873" s="340"/>
      <c r="B873" s="315"/>
      <c r="C873" s="366"/>
      <c r="D873" s="103" t="s">
        <v>316</v>
      </c>
      <c r="E873" s="294"/>
      <c r="F873" s="300"/>
      <c r="G873" s="300"/>
      <c r="H873" s="298"/>
      <c r="I873" s="298"/>
      <c r="J873" s="298"/>
      <c r="K873" s="145">
        <f>'Isian Prodi'!F244</f>
        <v>0</v>
      </c>
      <c r="L873" s="326"/>
      <c r="M873" s="326"/>
    </row>
    <row r="874" spans="1:13" x14ac:dyDescent="0.25">
      <c r="A874" s="340"/>
      <c r="B874" s="315"/>
      <c r="C874" s="366"/>
      <c r="D874" s="103" t="s">
        <v>317</v>
      </c>
      <c r="E874" s="294"/>
      <c r="F874" s="300"/>
      <c r="G874" s="300"/>
      <c r="H874" s="298"/>
      <c r="I874" s="298"/>
      <c r="J874" s="298"/>
      <c r="K874" s="145">
        <f>'Isian Prodi'!G244</f>
        <v>0</v>
      </c>
      <c r="L874" s="326"/>
      <c r="M874" s="326"/>
    </row>
    <row r="875" spans="1:13" x14ac:dyDescent="0.25">
      <c r="A875" s="340"/>
      <c r="B875" s="315"/>
      <c r="C875" s="366"/>
      <c r="D875" s="103" t="s">
        <v>318</v>
      </c>
      <c r="E875" s="294"/>
      <c r="F875" s="300"/>
      <c r="G875" s="300"/>
      <c r="H875" s="298"/>
      <c r="I875" s="298"/>
      <c r="J875" s="298"/>
      <c r="K875" s="145">
        <f>'Isian Prodi'!H244</f>
        <v>0</v>
      </c>
      <c r="L875" s="326"/>
      <c r="M875" s="326"/>
    </row>
    <row r="876" spans="1:13" x14ac:dyDescent="0.25">
      <c r="A876" s="340"/>
      <c r="B876" s="315"/>
      <c r="C876" s="366"/>
      <c r="D876" s="104" t="s">
        <v>517</v>
      </c>
      <c r="E876" s="294"/>
      <c r="F876" s="300"/>
      <c r="G876" s="300"/>
      <c r="H876" s="298"/>
      <c r="I876" s="298"/>
      <c r="J876" s="298"/>
      <c r="K876" s="60">
        <f>IF((4*K872+3*K873+2*K874+K875)&gt;4,0,4*K872+3*K873+2*K874+K875)</f>
        <v>0</v>
      </c>
      <c r="L876" s="326"/>
      <c r="M876" s="326"/>
    </row>
    <row r="877" spans="1:13" x14ac:dyDescent="0.25">
      <c r="A877" s="340"/>
      <c r="B877" s="315"/>
      <c r="C877" s="366" t="s">
        <v>531</v>
      </c>
      <c r="D877" s="103" t="s">
        <v>315</v>
      </c>
      <c r="E877" s="294"/>
      <c r="F877" s="300"/>
      <c r="G877" s="300"/>
      <c r="H877" s="298"/>
      <c r="I877" s="298"/>
      <c r="J877" s="298"/>
      <c r="K877" s="145">
        <f>'Isian Prodi'!E245</f>
        <v>0</v>
      </c>
      <c r="L877" s="326"/>
      <c r="M877" s="326"/>
    </row>
    <row r="878" spans="1:13" x14ac:dyDescent="0.25">
      <c r="A878" s="340"/>
      <c r="B878" s="315"/>
      <c r="C878" s="366"/>
      <c r="D878" s="103" t="s">
        <v>316</v>
      </c>
      <c r="E878" s="294"/>
      <c r="F878" s="300"/>
      <c r="G878" s="300"/>
      <c r="H878" s="298"/>
      <c r="I878" s="298"/>
      <c r="J878" s="298"/>
      <c r="K878" s="145">
        <f>'Isian Prodi'!F245</f>
        <v>0</v>
      </c>
      <c r="L878" s="326"/>
      <c r="M878" s="326"/>
    </row>
    <row r="879" spans="1:13" x14ac:dyDescent="0.25">
      <c r="A879" s="340"/>
      <c r="B879" s="315"/>
      <c r="C879" s="366"/>
      <c r="D879" s="103" t="s">
        <v>317</v>
      </c>
      <c r="E879" s="294"/>
      <c r="F879" s="300"/>
      <c r="G879" s="300"/>
      <c r="H879" s="298"/>
      <c r="I879" s="298"/>
      <c r="J879" s="298"/>
      <c r="K879" s="145">
        <f>'Isian Prodi'!G245</f>
        <v>0</v>
      </c>
      <c r="L879" s="326"/>
      <c r="M879" s="326"/>
    </row>
    <row r="880" spans="1:13" x14ac:dyDescent="0.25">
      <c r="A880" s="340"/>
      <c r="B880" s="315"/>
      <c r="C880" s="366"/>
      <c r="D880" s="103" t="s">
        <v>318</v>
      </c>
      <c r="E880" s="294"/>
      <c r="F880" s="300"/>
      <c r="G880" s="300"/>
      <c r="H880" s="298"/>
      <c r="I880" s="298"/>
      <c r="J880" s="298"/>
      <c r="K880" s="145">
        <f>'Isian Prodi'!H245</f>
        <v>0</v>
      </c>
      <c r="L880" s="326"/>
      <c r="M880" s="326"/>
    </row>
    <row r="881" spans="1:13" x14ac:dyDescent="0.25">
      <c r="A881" s="340"/>
      <c r="B881" s="315"/>
      <c r="C881" s="366"/>
      <c r="D881" s="104" t="s">
        <v>521</v>
      </c>
      <c r="E881" s="294"/>
      <c r="F881" s="300"/>
      <c r="G881" s="300"/>
      <c r="H881" s="298"/>
      <c r="I881" s="298"/>
      <c r="J881" s="298"/>
      <c r="K881" s="60">
        <f>IF((4*K877+3*K878+2*K879+K880)&gt;4,0,4*K877+3*K878+2*K879+K880)</f>
        <v>0</v>
      </c>
      <c r="L881" s="326"/>
      <c r="M881" s="326"/>
    </row>
    <row r="882" spans="1:13" x14ac:dyDescent="0.25">
      <c r="A882" s="340"/>
      <c r="B882" s="315"/>
      <c r="C882" s="367" t="s">
        <v>532</v>
      </c>
      <c r="D882" s="103" t="s">
        <v>315</v>
      </c>
      <c r="E882" s="294"/>
      <c r="F882" s="300"/>
      <c r="G882" s="300"/>
      <c r="H882" s="298"/>
      <c r="I882" s="298"/>
      <c r="J882" s="298"/>
      <c r="K882" s="145">
        <f>'Isian Prodi'!E246</f>
        <v>0</v>
      </c>
      <c r="L882" s="326"/>
      <c r="M882" s="326"/>
    </row>
    <row r="883" spans="1:13" x14ac:dyDescent="0.25">
      <c r="A883" s="340"/>
      <c r="B883" s="315"/>
      <c r="C883" s="367"/>
      <c r="D883" s="103" t="s">
        <v>316</v>
      </c>
      <c r="E883" s="294"/>
      <c r="F883" s="300"/>
      <c r="G883" s="300"/>
      <c r="H883" s="298"/>
      <c r="I883" s="298"/>
      <c r="J883" s="298"/>
      <c r="K883" s="145">
        <f>'Isian Prodi'!F246</f>
        <v>0</v>
      </c>
      <c r="L883" s="326"/>
      <c r="M883" s="326"/>
    </row>
    <row r="884" spans="1:13" x14ac:dyDescent="0.25">
      <c r="A884" s="340"/>
      <c r="B884" s="315"/>
      <c r="C884" s="367"/>
      <c r="D884" s="103" t="s">
        <v>317</v>
      </c>
      <c r="E884" s="294"/>
      <c r="F884" s="300"/>
      <c r="G884" s="300"/>
      <c r="H884" s="298"/>
      <c r="I884" s="298"/>
      <c r="J884" s="298"/>
      <c r="K884" s="145">
        <f>'Isian Prodi'!G246</f>
        <v>0</v>
      </c>
      <c r="L884" s="326"/>
      <c r="M884" s="326"/>
    </row>
    <row r="885" spans="1:13" x14ac:dyDescent="0.25">
      <c r="A885" s="340"/>
      <c r="B885" s="315"/>
      <c r="C885" s="367"/>
      <c r="D885" s="103" t="s">
        <v>318</v>
      </c>
      <c r="E885" s="294"/>
      <c r="F885" s="300"/>
      <c r="G885" s="300"/>
      <c r="H885" s="298"/>
      <c r="I885" s="298"/>
      <c r="J885" s="298"/>
      <c r="K885" s="145">
        <f>'Isian Prodi'!H246</f>
        <v>0</v>
      </c>
      <c r="L885" s="326"/>
      <c r="M885" s="326"/>
    </row>
    <row r="886" spans="1:13" x14ac:dyDescent="0.25">
      <c r="A886" s="340"/>
      <c r="B886" s="315"/>
      <c r="C886" s="367"/>
      <c r="D886" s="104" t="s">
        <v>522</v>
      </c>
      <c r="E886" s="294"/>
      <c r="F886" s="300"/>
      <c r="G886" s="300"/>
      <c r="H886" s="299"/>
      <c r="I886" s="299"/>
      <c r="J886" s="299"/>
      <c r="K886" s="60">
        <f>IF((4*K882+3*K883+2*K884+K885)&gt;4,0,4*K882+3*K883+2*K884+K885)</f>
        <v>0</v>
      </c>
      <c r="L886" s="326"/>
      <c r="M886" s="326"/>
    </row>
    <row r="887" spans="1:13" ht="15" customHeight="1" x14ac:dyDescent="0.25">
      <c r="A887" s="340"/>
      <c r="B887" s="315"/>
      <c r="C887" s="304" t="s">
        <v>468</v>
      </c>
      <c r="D887" s="304"/>
      <c r="E887" s="304"/>
      <c r="F887" s="304"/>
      <c r="G887" s="183"/>
      <c r="H887" s="183"/>
      <c r="I887" s="183"/>
      <c r="J887" s="183"/>
      <c r="K887" s="62">
        <f>(K856+K861+K866+K871+K876+K881+K886)/7</f>
        <v>0</v>
      </c>
      <c r="L887" s="326"/>
      <c r="M887" s="326"/>
    </row>
    <row r="888" spans="1:13" x14ac:dyDescent="0.25">
      <c r="A888" s="340"/>
      <c r="B888" s="315"/>
      <c r="C888" s="304" t="s">
        <v>7</v>
      </c>
      <c r="D888" s="304"/>
      <c r="E888" s="304"/>
      <c r="F888" s="304"/>
      <c r="G888" s="183"/>
      <c r="H888" s="183"/>
      <c r="I888" s="183"/>
      <c r="J888" s="183"/>
      <c r="K888" s="62">
        <f>IF(K849&gt;=K850,K887,K849/K850*K887)</f>
        <v>0</v>
      </c>
      <c r="L888" s="326"/>
      <c r="M888" s="326"/>
    </row>
    <row r="890" spans="1:13" ht="45" customHeight="1" x14ac:dyDescent="0.25">
      <c r="A890" s="340">
        <v>64</v>
      </c>
      <c r="B890" s="316" t="s">
        <v>914</v>
      </c>
      <c r="C890" s="291" t="s">
        <v>915</v>
      </c>
      <c r="D890" s="291"/>
      <c r="E890" s="310" t="s">
        <v>1060</v>
      </c>
      <c r="F890" s="300" t="s">
        <v>993</v>
      </c>
      <c r="G890" s="300" t="s">
        <v>994</v>
      </c>
      <c r="H890" s="203" t="s">
        <v>698</v>
      </c>
      <c r="I890" s="203">
        <v>4</v>
      </c>
      <c r="J890" s="212" t="str">
        <f>IF((IF(OR((H890&amp;"."&amp;I890)=$R$8,(H890&amp;"."&amp;I890)=$S$8,(H890&amp;"."&amp;I890)=$T$8,(H890&amp;"."&amp;I890)=$U$8,(H890&amp;"."&amp;I890)=$V$8,(H890&amp;"."&amp;I890)=$W$8),1,0))=1,"EKSTREM",IF((IF(OR((H890&amp;"."&amp;I890)=$R$9,(H890&amp;"."&amp;I890)=$S$9,(H890&amp;"."&amp;I890)=$T$9,(H890&amp;"."&amp;I890)=$U$9,(H890&amp;"."&amp;I890)=$V$9,(H890&amp;"."&amp;I890)=$W$9,(H890&amp;"."&amp;I890)=$X$9),1,0))=1,"TINGGI",IF((IF(OR((H890&amp;"."&amp;I890)=$R$10,(H890&amp;"."&amp;I890)=$S$10,(H890&amp;"."&amp;I890)=$T$10,(H890&amp;"."&amp;I890)=$U$10,(H890&amp;"."&amp;I890)=$V$10,(H890&amp;"."&amp;I890)=$W$10),1,0))=1,"MODERAT",IF((IF(OR((H890&amp;"."&amp;I890)=$R$11,(H890&amp;"."&amp;I890)=$S$11,(H890&amp;"."&amp;I890)=$T$11,(H890&amp;"."&amp;I890)=$U$11,(H890&amp;"."&amp;I890)=$V$11,(H890&amp;"."&amp;I890)=$W$11),1,0))=1,"RENDAH","-"))))</f>
        <v>TINGGI</v>
      </c>
      <c r="K890" s="7"/>
      <c r="L890" s="326" t="s">
        <v>1078</v>
      </c>
      <c r="M890" s="326" t="s">
        <v>1079</v>
      </c>
    </row>
    <row r="891" spans="1:13" x14ac:dyDescent="0.25">
      <c r="A891" s="340"/>
      <c r="B891" s="316"/>
      <c r="C891" s="122" t="s">
        <v>539</v>
      </c>
      <c r="D891" s="122"/>
      <c r="E891" s="313"/>
      <c r="F891" s="300"/>
      <c r="G891" s="300"/>
      <c r="H891" s="297"/>
      <c r="I891" s="297"/>
      <c r="J891" s="297"/>
      <c r="K891" s="117">
        <f>'Isian Prodi'!E252</f>
        <v>0</v>
      </c>
      <c r="L891" s="326"/>
      <c r="M891" s="326"/>
    </row>
    <row r="892" spans="1:13" x14ac:dyDescent="0.25">
      <c r="A892" s="340"/>
      <c r="B892" s="316"/>
      <c r="C892" s="122" t="s">
        <v>540</v>
      </c>
      <c r="D892" s="122"/>
      <c r="E892" s="313"/>
      <c r="F892" s="300"/>
      <c r="G892" s="300"/>
      <c r="H892" s="298"/>
      <c r="I892" s="298"/>
      <c r="J892" s="298"/>
      <c r="K892" s="117">
        <f>'Isian Prodi'!E253</f>
        <v>0</v>
      </c>
      <c r="L892" s="326"/>
      <c r="M892" s="326"/>
    </row>
    <row r="893" spans="1:13" x14ac:dyDescent="0.25">
      <c r="A893" s="340"/>
      <c r="B893" s="316"/>
      <c r="C893" s="122" t="s">
        <v>541</v>
      </c>
      <c r="D893" s="122"/>
      <c r="E893" s="313"/>
      <c r="F893" s="300"/>
      <c r="G893" s="300"/>
      <c r="H893" s="298"/>
      <c r="I893" s="298"/>
      <c r="J893" s="298"/>
      <c r="K893" s="117">
        <f>'Isian Prodi'!E254</f>
        <v>0</v>
      </c>
      <c r="L893" s="326"/>
      <c r="M893" s="326"/>
    </row>
    <row r="894" spans="1:13" x14ac:dyDescent="0.25">
      <c r="A894" s="340"/>
      <c r="B894" s="316"/>
      <c r="C894" s="122" t="s">
        <v>542</v>
      </c>
      <c r="D894" s="122"/>
      <c r="E894" s="313"/>
      <c r="F894" s="300"/>
      <c r="G894" s="300"/>
      <c r="H894" s="298"/>
      <c r="I894" s="298"/>
      <c r="J894" s="298"/>
      <c r="K894" s="117">
        <f>'Isian Prodi'!E255</f>
        <v>0</v>
      </c>
      <c r="L894" s="326"/>
      <c r="M894" s="326"/>
    </row>
    <row r="895" spans="1:13" x14ac:dyDescent="0.25">
      <c r="A895" s="340"/>
      <c r="B895" s="316"/>
      <c r="C895" s="122" t="s">
        <v>543</v>
      </c>
      <c r="D895" s="122"/>
      <c r="E895" s="313"/>
      <c r="F895" s="300"/>
      <c r="G895" s="300"/>
      <c r="H895" s="298"/>
      <c r="I895" s="298"/>
      <c r="J895" s="298"/>
      <c r="K895" s="117">
        <f>'Isian Prodi'!E256</f>
        <v>0</v>
      </c>
      <c r="L895" s="326"/>
      <c r="M895" s="326"/>
    </row>
    <row r="896" spans="1:13" x14ac:dyDescent="0.25">
      <c r="A896" s="340"/>
      <c r="B896" s="316"/>
      <c r="C896" s="122" t="s">
        <v>544</v>
      </c>
      <c r="D896" s="122"/>
      <c r="E896" s="313"/>
      <c r="F896" s="300"/>
      <c r="G896" s="300"/>
      <c r="H896" s="298"/>
      <c r="I896" s="298"/>
      <c r="J896" s="298"/>
      <c r="K896" s="117">
        <f>'Isian Prodi'!E257</f>
        <v>0</v>
      </c>
      <c r="L896" s="326"/>
      <c r="M896" s="326"/>
    </row>
    <row r="897" spans="1:13" x14ac:dyDescent="0.25">
      <c r="A897" s="340"/>
      <c r="B897" s="316"/>
      <c r="C897" s="122" t="s">
        <v>545</v>
      </c>
      <c r="D897" s="122"/>
      <c r="E897" s="313"/>
      <c r="F897" s="300"/>
      <c r="G897" s="300"/>
      <c r="H897" s="298"/>
      <c r="I897" s="298"/>
      <c r="J897" s="298"/>
      <c r="K897" s="117">
        <f>'Isian Prodi'!E258</f>
        <v>0</v>
      </c>
      <c r="L897" s="326"/>
      <c r="M897" s="326"/>
    </row>
    <row r="898" spans="1:13" x14ac:dyDescent="0.25">
      <c r="A898" s="340"/>
      <c r="B898" s="316"/>
      <c r="C898" s="122" t="s">
        <v>546</v>
      </c>
      <c r="D898" s="122"/>
      <c r="E898" s="313"/>
      <c r="F898" s="300"/>
      <c r="G898" s="300"/>
      <c r="H898" s="298"/>
      <c r="I898" s="298"/>
      <c r="J898" s="298"/>
      <c r="K898" s="117">
        <f>'Isian Prodi'!E259</f>
        <v>0</v>
      </c>
      <c r="L898" s="326"/>
      <c r="M898" s="326"/>
    </row>
    <row r="899" spans="1:13" x14ac:dyDescent="0.25">
      <c r="A899" s="340"/>
      <c r="B899" s="316"/>
      <c r="C899" s="122" t="s">
        <v>547</v>
      </c>
      <c r="D899" s="122"/>
      <c r="E899" s="313"/>
      <c r="F899" s="300"/>
      <c r="G899" s="300"/>
      <c r="H899" s="298"/>
      <c r="I899" s="298"/>
      <c r="J899" s="298"/>
      <c r="K899" s="117">
        <f>'Isian Prodi'!E260</f>
        <v>0</v>
      </c>
      <c r="L899" s="326"/>
      <c r="M899" s="326"/>
    </row>
    <row r="900" spans="1:13" x14ac:dyDescent="0.25">
      <c r="A900" s="340"/>
      <c r="B900" s="316"/>
      <c r="C900" s="122" t="s">
        <v>548</v>
      </c>
      <c r="D900" s="122"/>
      <c r="E900" s="313"/>
      <c r="F900" s="300"/>
      <c r="G900" s="300"/>
      <c r="H900" s="298"/>
      <c r="I900" s="298"/>
      <c r="J900" s="298"/>
      <c r="K900" s="117">
        <f>'Isian Prodi'!E261</f>
        <v>0</v>
      </c>
      <c r="L900" s="326"/>
      <c r="M900" s="326"/>
    </row>
    <row r="901" spans="1:13" x14ac:dyDescent="0.25">
      <c r="A901" s="340"/>
      <c r="B901" s="316"/>
      <c r="C901" s="122" t="s">
        <v>549</v>
      </c>
      <c r="D901" s="122"/>
      <c r="E901" s="313"/>
      <c r="F901" s="300"/>
      <c r="G901" s="300"/>
      <c r="H901" s="298"/>
      <c r="I901" s="298"/>
      <c r="J901" s="298"/>
      <c r="K901" s="117">
        <f>'Isian Prodi'!B44</f>
        <v>0</v>
      </c>
      <c r="L901" s="326"/>
      <c r="M901" s="326"/>
    </row>
    <row r="902" spans="1:13" x14ac:dyDescent="0.25">
      <c r="A902" s="340"/>
      <c r="B902" s="316"/>
      <c r="C902" s="122" t="s">
        <v>552</v>
      </c>
      <c r="D902" s="122"/>
      <c r="E902" s="313"/>
      <c r="F902" s="300"/>
      <c r="G902" s="300"/>
      <c r="H902" s="298"/>
      <c r="I902" s="298"/>
      <c r="J902" s="298"/>
      <c r="K902" s="132">
        <f>IF(K901&gt;0,(K894+K897+K900)/K901,0)</f>
        <v>0</v>
      </c>
      <c r="L902" s="326"/>
      <c r="M902" s="326"/>
    </row>
    <row r="903" spans="1:13" x14ac:dyDescent="0.25">
      <c r="A903" s="340"/>
      <c r="B903" s="316"/>
      <c r="C903" s="122" t="s">
        <v>553</v>
      </c>
      <c r="D903" s="122"/>
      <c r="E903" s="313"/>
      <c r="F903" s="300"/>
      <c r="G903" s="300"/>
      <c r="H903" s="298"/>
      <c r="I903" s="298"/>
      <c r="J903" s="298"/>
      <c r="K903" s="132">
        <f>IF(K901&gt;0,(K892+K893+K896+K899)/K901,0)</f>
        <v>0</v>
      </c>
      <c r="L903" s="326"/>
      <c r="M903" s="326"/>
    </row>
    <row r="904" spans="1:13" x14ac:dyDescent="0.25">
      <c r="A904" s="340"/>
      <c r="B904" s="316"/>
      <c r="C904" s="122" t="s">
        <v>554</v>
      </c>
      <c r="D904" s="122"/>
      <c r="E904" s="314"/>
      <c r="F904" s="300"/>
      <c r="G904" s="300"/>
      <c r="H904" s="299"/>
      <c r="I904" s="299"/>
      <c r="J904" s="299"/>
      <c r="K904" s="132">
        <f>IF(K901&gt;0,(K891+K895+K898)/K901,0)</f>
        <v>0</v>
      </c>
      <c r="L904" s="326"/>
      <c r="M904" s="326"/>
    </row>
    <row r="905" spans="1:13" ht="15" hidden="1" customHeight="1" x14ac:dyDescent="0.25">
      <c r="A905" s="340"/>
      <c r="B905" s="316"/>
      <c r="C905" s="140" t="s">
        <v>106</v>
      </c>
      <c r="D905" s="138">
        <v>0.01</v>
      </c>
      <c r="E905" s="122"/>
      <c r="F905" s="300"/>
      <c r="G905" s="300"/>
      <c r="H905" s="184"/>
      <c r="I905" s="184"/>
      <c r="J905" s="184"/>
      <c r="K905" s="61"/>
      <c r="L905" s="326"/>
      <c r="M905" s="326"/>
    </row>
    <row r="906" spans="1:13" ht="15" hidden="1" customHeight="1" x14ac:dyDescent="0.25">
      <c r="A906" s="340"/>
      <c r="B906" s="316"/>
      <c r="C906" s="140" t="s">
        <v>107</v>
      </c>
      <c r="D906" s="138">
        <v>0.1</v>
      </c>
      <c r="E906" s="122"/>
      <c r="F906" s="300"/>
      <c r="G906" s="300"/>
      <c r="H906" s="184"/>
      <c r="I906" s="184"/>
      <c r="J906" s="184"/>
      <c r="K906" s="61"/>
      <c r="L906" s="326"/>
      <c r="M906" s="326"/>
    </row>
    <row r="907" spans="1:13" ht="15" hidden="1" customHeight="1" x14ac:dyDescent="0.25">
      <c r="A907" s="340"/>
      <c r="B907" s="316"/>
      <c r="C907" s="140" t="s">
        <v>108</v>
      </c>
      <c r="D907" s="138">
        <v>0.5</v>
      </c>
      <c r="E907" s="122"/>
      <c r="F907" s="300"/>
      <c r="G907" s="300"/>
      <c r="H907" s="184"/>
      <c r="I907" s="184"/>
      <c r="J907" s="184"/>
      <c r="K907" s="61"/>
      <c r="L907" s="326"/>
      <c r="M907" s="326"/>
    </row>
    <row r="908" spans="1:13" ht="15" hidden="1" customHeight="1" x14ac:dyDescent="0.25">
      <c r="A908" s="340"/>
      <c r="B908" s="316"/>
      <c r="C908" s="140"/>
      <c r="D908" s="113" t="s">
        <v>499</v>
      </c>
      <c r="E908" s="122"/>
      <c r="F908" s="300"/>
      <c r="G908" s="300"/>
      <c r="H908" s="184"/>
      <c r="I908" s="184"/>
      <c r="J908" s="184"/>
      <c r="K908" s="140" t="str">
        <f>IF(K902&gt;=D905,"YES","NO")</f>
        <v>NO</v>
      </c>
      <c r="L908" s="326"/>
      <c r="M908" s="326"/>
    </row>
    <row r="909" spans="1:13" ht="15" hidden="1" customHeight="1" x14ac:dyDescent="0.25">
      <c r="A909" s="340"/>
      <c r="B909" s="316"/>
      <c r="C909" s="140"/>
      <c r="D909" s="113" t="s">
        <v>500</v>
      </c>
      <c r="E909" s="122"/>
      <c r="F909" s="300"/>
      <c r="G909" s="300"/>
      <c r="H909" s="184"/>
      <c r="I909" s="184"/>
      <c r="J909" s="184"/>
      <c r="K909" s="140" t="str">
        <f>IF(AND(K902&lt;D905,K903&gt;=D906),"YES","NO")</f>
        <v>NO</v>
      </c>
      <c r="L909" s="326"/>
      <c r="M909" s="326"/>
    </row>
    <row r="910" spans="1:13" ht="15" hidden="1" customHeight="1" x14ac:dyDescent="0.25">
      <c r="A910" s="340"/>
      <c r="B910" s="316"/>
      <c r="C910" s="140"/>
      <c r="D910" s="113" t="s">
        <v>501</v>
      </c>
      <c r="E910" s="122"/>
      <c r="F910" s="300"/>
      <c r="G910" s="300"/>
      <c r="H910" s="184"/>
      <c r="I910" s="184"/>
      <c r="J910" s="184"/>
      <c r="K910" s="140" t="str">
        <f>IF(OR(AND(K902&gt;0,K902&lt;D905,K903=0),AND(K903&gt;0,K903&lt;D906,K902=0),AND(K902&gt;0,K902&lt;D905,K903&gt;0,K903&lt;D906)),"YES","NO")</f>
        <v>NO</v>
      </c>
      <c r="L910" s="326"/>
      <c r="M910" s="326"/>
    </row>
    <row r="911" spans="1:13" ht="15" hidden="1" customHeight="1" x14ac:dyDescent="0.25">
      <c r="A911" s="340"/>
      <c r="B911" s="316"/>
      <c r="C911" s="140"/>
      <c r="D911" s="113" t="s">
        <v>550</v>
      </c>
      <c r="E911" s="122"/>
      <c r="F911" s="300"/>
      <c r="G911" s="300"/>
      <c r="H911" s="184"/>
      <c r="I911" s="184"/>
      <c r="J911" s="184"/>
      <c r="K911" s="140" t="str">
        <f>IF(AND(K902=0,K903=0,K904&gt;=D907),"YES","NO")</f>
        <v>NO</v>
      </c>
      <c r="L911" s="326"/>
      <c r="M911" s="326"/>
    </row>
    <row r="912" spans="1:13" ht="15" hidden="1" customHeight="1" x14ac:dyDescent="0.25">
      <c r="A912" s="340"/>
      <c r="B912" s="316"/>
      <c r="C912" s="140"/>
      <c r="D912" s="113" t="s">
        <v>551</v>
      </c>
      <c r="E912" s="122"/>
      <c r="F912" s="300"/>
      <c r="G912" s="300"/>
      <c r="H912" s="184"/>
      <c r="I912" s="184"/>
      <c r="J912" s="184"/>
      <c r="K912" s="140" t="str">
        <f>IF(AND(K902=0,K903=0,K904&lt;D907),"YES","NO")</f>
        <v>YES</v>
      </c>
      <c r="L912" s="326"/>
      <c r="M912" s="326"/>
    </row>
    <row r="913" spans="1:13" x14ac:dyDescent="0.25">
      <c r="A913" s="340"/>
      <c r="B913" s="316"/>
      <c r="C913" s="304" t="s">
        <v>7</v>
      </c>
      <c r="D913" s="304"/>
      <c r="E913" s="304"/>
      <c r="F913" s="304"/>
      <c r="G913" s="183"/>
      <c r="H913" s="183"/>
      <c r="I913" s="183"/>
      <c r="J913" s="183"/>
      <c r="K913" s="147">
        <f>IF(K908="YES",4,IF(K909="YES",3+K902/D905,IF(K910="YES",2+2*K902/D905+K903/D906-(K902*K903)/(D905*D906),IF(K911="YES",2,2*K904/D907))))</f>
        <v>0</v>
      </c>
      <c r="L913" s="326"/>
      <c r="M913" s="326"/>
    </row>
    <row r="915" spans="1:13" ht="30.75" customHeight="1" x14ac:dyDescent="0.25">
      <c r="A915" s="340">
        <v>65</v>
      </c>
      <c r="B915" s="315"/>
      <c r="C915" s="291" t="s">
        <v>916</v>
      </c>
      <c r="D915" s="291"/>
      <c r="E915" s="294" t="s">
        <v>1061</v>
      </c>
      <c r="F915" s="300" t="s">
        <v>993</v>
      </c>
      <c r="G915" s="300" t="s">
        <v>994</v>
      </c>
      <c r="H915" s="203" t="s">
        <v>698</v>
      </c>
      <c r="I915" s="203">
        <v>4</v>
      </c>
      <c r="J915" s="212" t="str">
        <f>IF((IF(OR((H915&amp;"."&amp;I915)=$R$8,(H915&amp;"."&amp;I915)=$S$8,(H915&amp;"."&amp;I915)=$T$8,(H915&amp;"."&amp;I915)=$U$8,(H915&amp;"."&amp;I915)=$V$8,(H915&amp;"."&amp;I915)=$W$8),1,0))=1,"EKSTREM",IF((IF(OR((H915&amp;"."&amp;I915)=$R$9,(H915&amp;"."&amp;I915)=$S$9,(H915&amp;"."&amp;I915)=$T$9,(H915&amp;"."&amp;I915)=$U$9,(H915&amp;"."&amp;I915)=$V$9,(H915&amp;"."&amp;I915)=$W$9,(H915&amp;"."&amp;I915)=$X$9),1,0))=1,"TINGGI",IF((IF(OR((H915&amp;"."&amp;I915)=$R$10,(H915&amp;"."&amp;I915)=$S$10,(H915&amp;"."&amp;I915)=$T$10,(H915&amp;"."&amp;I915)=$U$10,(H915&amp;"."&amp;I915)=$V$10,(H915&amp;"."&amp;I915)=$W$10),1,0))=1,"MODERAT",IF((IF(OR((H915&amp;"."&amp;I915)=$R$11,(H915&amp;"."&amp;I915)=$S$11,(H915&amp;"."&amp;I915)=$T$11,(H915&amp;"."&amp;I915)=$U$11,(H915&amp;"."&amp;I915)=$V$11,(H915&amp;"."&amp;I915)=$W$11),1,0))=1,"RENDAH","-"))))</f>
        <v>TINGGI</v>
      </c>
      <c r="K915" s="7"/>
      <c r="L915" s="326" t="s">
        <v>1078</v>
      </c>
      <c r="M915" s="326" t="s">
        <v>1079</v>
      </c>
    </row>
    <row r="916" spans="1:13" ht="30" customHeight="1" x14ac:dyDescent="0.25">
      <c r="A916" s="340"/>
      <c r="B916" s="315"/>
      <c r="C916" s="328" t="s">
        <v>569</v>
      </c>
      <c r="D916" s="328"/>
      <c r="E916" s="294"/>
      <c r="F916" s="300"/>
      <c r="G916" s="300"/>
      <c r="H916" s="297"/>
      <c r="I916" s="297"/>
      <c r="J916" s="297"/>
      <c r="K916" s="117">
        <f>'Isian Prodi'!E267</f>
        <v>0</v>
      </c>
      <c r="L916" s="326"/>
      <c r="M916" s="326"/>
    </row>
    <row r="917" spans="1:13" ht="45" customHeight="1" x14ac:dyDescent="0.25">
      <c r="A917" s="340"/>
      <c r="B917" s="315"/>
      <c r="C917" s="328" t="s">
        <v>570</v>
      </c>
      <c r="D917" s="328"/>
      <c r="E917" s="294"/>
      <c r="F917" s="300"/>
      <c r="G917" s="300"/>
      <c r="H917" s="298"/>
      <c r="I917" s="298"/>
      <c r="J917" s="298"/>
      <c r="K917" s="117">
        <f>'Isian Prodi'!E268</f>
        <v>0</v>
      </c>
      <c r="L917" s="326"/>
      <c r="M917" s="326"/>
    </row>
    <row r="918" spans="1:13" ht="45" customHeight="1" x14ac:dyDescent="0.25">
      <c r="A918" s="340"/>
      <c r="B918" s="315"/>
      <c r="C918" s="328" t="s">
        <v>571</v>
      </c>
      <c r="D918" s="328"/>
      <c r="E918" s="294"/>
      <c r="F918" s="300"/>
      <c r="G918" s="300"/>
      <c r="H918" s="298"/>
      <c r="I918" s="298"/>
      <c r="J918" s="298"/>
      <c r="K918" s="117">
        <f>'Isian Prodi'!E269</f>
        <v>0</v>
      </c>
      <c r="L918" s="326"/>
      <c r="M918" s="326"/>
    </row>
    <row r="919" spans="1:13" ht="30" customHeight="1" x14ac:dyDescent="0.25">
      <c r="A919" s="340"/>
      <c r="B919" s="315"/>
      <c r="C919" s="328" t="s">
        <v>572</v>
      </c>
      <c r="D919" s="328"/>
      <c r="E919" s="294"/>
      <c r="F919" s="300"/>
      <c r="G919" s="300"/>
      <c r="H919" s="298"/>
      <c r="I919" s="298"/>
      <c r="J919" s="298"/>
      <c r="K919" s="117">
        <f>'Isian Prodi'!E270</f>
        <v>0</v>
      </c>
      <c r="L919" s="326"/>
      <c r="M919" s="326"/>
    </row>
    <row r="920" spans="1:13" x14ac:dyDescent="0.25">
      <c r="A920" s="340"/>
      <c r="B920" s="315"/>
      <c r="C920" s="328" t="s">
        <v>573</v>
      </c>
      <c r="D920" s="328"/>
      <c r="E920" s="294"/>
      <c r="F920" s="300"/>
      <c r="G920" s="300"/>
      <c r="H920" s="299"/>
      <c r="I920" s="299"/>
      <c r="J920" s="299"/>
      <c r="K920" s="170">
        <f>2*(K916+K917+K918)+K919</f>
        <v>0</v>
      </c>
      <c r="L920" s="326"/>
      <c r="M920" s="326"/>
    </row>
    <row r="921" spans="1:13" ht="15" hidden="1" customHeight="1" x14ac:dyDescent="0.25">
      <c r="A921" s="340"/>
      <c r="B921" s="315"/>
      <c r="C921" s="118" t="s">
        <v>475</v>
      </c>
      <c r="D921" s="113">
        <v>1</v>
      </c>
      <c r="E921" s="294"/>
      <c r="F921" s="300"/>
      <c r="G921" s="300"/>
      <c r="H921" s="194"/>
      <c r="I921" s="194"/>
      <c r="J921" s="194"/>
      <c r="K921" s="61"/>
      <c r="L921" s="326"/>
      <c r="M921" s="326"/>
    </row>
    <row r="922" spans="1:13" x14ac:dyDescent="0.25">
      <c r="A922" s="340"/>
      <c r="B922" s="315"/>
      <c r="C922" s="304" t="s">
        <v>7</v>
      </c>
      <c r="D922" s="304"/>
      <c r="E922" s="304"/>
      <c r="F922" s="304"/>
      <c r="G922" s="183"/>
      <c r="H922" s="183"/>
      <c r="I922" s="183"/>
      <c r="J922" s="183"/>
      <c r="K922" s="147">
        <f>IF(K920&gt;=D921,4,2+2/D921*K920)</f>
        <v>2</v>
      </c>
      <c r="L922" s="326"/>
      <c r="M922" s="326"/>
    </row>
    <row r="923" spans="1:13" ht="15.75" thickBot="1" x14ac:dyDescent="0.3"/>
    <row r="924" spans="1:13" x14ac:dyDescent="0.25">
      <c r="A924" s="329">
        <v>66</v>
      </c>
      <c r="B924" s="332" t="s">
        <v>662</v>
      </c>
      <c r="C924" s="335" t="s">
        <v>663</v>
      </c>
      <c r="D924" s="336"/>
      <c r="E924" s="294" t="s">
        <v>1062</v>
      </c>
      <c r="F924" s="301" t="s">
        <v>993</v>
      </c>
      <c r="G924" s="301" t="s">
        <v>994</v>
      </c>
      <c r="H924" s="203" t="s">
        <v>698</v>
      </c>
      <c r="I924" s="203">
        <v>4</v>
      </c>
      <c r="J924" s="212" t="str">
        <f>IF((IF(OR((H924&amp;"."&amp;I924)=$R$8,(H924&amp;"."&amp;I924)=$S$8,(H924&amp;"."&amp;I924)=$T$8,(H924&amp;"."&amp;I924)=$U$8,(H924&amp;"."&amp;I924)=$V$8,(H924&amp;"."&amp;I924)=$W$8),1,0))=1,"EKSTREM",IF((IF(OR((H924&amp;"."&amp;I924)=$R$9,(H924&amp;"."&amp;I924)=$S$9,(H924&amp;"."&amp;I924)=$T$9,(H924&amp;"."&amp;I924)=$U$9,(H924&amp;"."&amp;I924)=$V$9,(H924&amp;"."&amp;I924)=$W$9,(H924&amp;"."&amp;I924)=$X$9),1,0))=1,"TINGGI",IF((IF(OR((H924&amp;"."&amp;I924)=$R$10,(H924&amp;"."&amp;I924)=$S$10,(H924&amp;"."&amp;I924)=$T$10,(H924&amp;"."&amp;I924)=$U$10,(H924&amp;"."&amp;I924)=$V$10,(H924&amp;"."&amp;I924)=$W$10),1,0))=1,"MODERAT",IF((IF(OR((H924&amp;"."&amp;I924)=$R$11,(H924&amp;"."&amp;I924)=$S$11,(H924&amp;"."&amp;I924)=$T$11,(H924&amp;"."&amp;I924)=$U$11,(H924&amp;"."&amp;I924)=$V$11,(H924&amp;"."&amp;I924)=$W$11),1,0))=1,"RENDAH","-"))))</f>
        <v>TINGGI</v>
      </c>
      <c r="K924" s="10">
        <v>0</v>
      </c>
      <c r="L924" s="326" t="s">
        <v>1078</v>
      </c>
      <c r="M924" s="326" t="s">
        <v>1079</v>
      </c>
    </row>
    <row r="925" spans="1:13" ht="165" x14ac:dyDescent="0.25">
      <c r="A925" s="330"/>
      <c r="B925" s="333"/>
      <c r="C925" s="149">
        <v>4</v>
      </c>
      <c r="D925" s="174" t="s">
        <v>664</v>
      </c>
      <c r="E925" s="294"/>
      <c r="F925" s="302"/>
      <c r="G925" s="302"/>
      <c r="H925" s="297"/>
      <c r="I925" s="297"/>
      <c r="J925" s="297"/>
      <c r="K925" s="297"/>
      <c r="L925" s="326"/>
      <c r="M925" s="326"/>
    </row>
    <row r="926" spans="1:13" ht="165" x14ac:dyDescent="0.25">
      <c r="A926" s="330"/>
      <c r="B926" s="333"/>
      <c r="C926" s="149">
        <v>3</v>
      </c>
      <c r="D926" s="174" t="s">
        <v>665</v>
      </c>
      <c r="E926" s="294"/>
      <c r="F926" s="302"/>
      <c r="G926" s="302"/>
      <c r="H926" s="298"/>
      <c r="I926" s="298"/>
      <c r="J926" s="298"/>
      <c r="K926" s="298"/>
      <c r="L926" s="326"/>
      <c r="M926" s="326"/>
    </row>
    <row r="927" spans="1:13" ht="150" x14ac:dyDescent="0.25">
      <c r="A927" s="330"/>
      <c r="B927" s="333"/>
      <c r="C927" s="149">
        <v>2</v>
      </c>
      <c r="D927" s="174" t="s">
        <v>666</v>
      </c>
      <c r="E927" s="294"/>
      <c r="F927" s="302"/>
      <c r="G927" s="302"/>
      <c r="H927" s="298"/>
      <c r="I927" s="298"/>
      <c r="J927" s="298"/>
      <c r="K927" s="298"/>
      <c r="L927" s="326"/>
      <c r="M927" s="326"/>
    </row>
    <row r="928" spans="1:13" ht="135" x14ac:dyDescent="0.25">
      <c r="A928" s="330"/>
      <c r="B928" s="333"/>
      <c r="C928" s="149">
        <v>1</v>
      </c>
      <c r="D928" s="174" t="s">
        <v>667</v>
      </c>
      <c r="E928" s="294"/>
      <c r="F928" s="302"/>
      <c r="G928" s="302"/>
      <c r="H928" s="298"/>
      <c r="I928" s="298"/>
      <c r="J928" s="298"/>
      <c r="K928" s="298"/>
      <c r="L928" s="326"/>
      <c r="M928" s="326"/>
    </row>
    <row r="929" spans="1:13" x14ac:dyDescent="0.25">
      <c r="A929" s="330"/>
      <c r="B929" s="333"/>
      <c r="C929" s="149">
        <v>0</v>
      </c>
      <c r="D929" s="174" t="s">
        <v>668</v>
      </c>
      <c r="E929" s="294"/>
      <c r="F929" s="303"/>
      <c r="G929" s="303"/>
      <c r="H929" s="299"/>
      <c r="I929" s="299"/>
      <c r="J929" s="299"/>
      <c r="K929" s="299"/>
      <c r="L929" s="326"/>
      <c r="M929" s="326"/>
    </row>
    <row r="930" spans="1:13" ht="15.75" thickBot="1" x14ac:dyDescent="0.3">
      <c r="A930" s="331"/>
      <c r="B930" s="334"/>
      <c r="C930" s="304" t="s">
        <v>7</v>
      </c>
      <c r="D930" s="304"/>
      <c r="E930" s="304"/>
      <c r="F930" s="304"/>
      <c r="G930" s="183"/>
      <c r="H930" s="183"/>
      <c r="I930" s="183"/>
      <c r="J930" s="183"/>
      <c r="K930" s="11">
        <f>IF(OR(ISBLANK(K924),K924&lt;0,K924&gt;4),0,K924)</f>
        <v>0</v>
      </c>
      <c r="L930" s="326"/>
      <c r="M930" s="326"/>
    </row>
    <row r="931" spans="1:13" ht="15.75" thickBot="1" x14ac:dyDescent="0.3">
      <c r="A931" s="175"/>
      <c r="B931" s="175"/>
      <c r="C931" s="176"/>
      <c r="D931" s="177"/>
    </row>
    <row r="932" spans="1:13" x14ac:dyDescent="0.25">
      <c r="A932" s="329">
        <v>67</v>
      </c>
      <c r="B932" s="332" t="s">
        <v>669</v>
      </c>
      <c r="C932" s="335" t="s">
        <v>670</v>
      </c>
      <c r="D932" s="336"/>
      <c r="E932" s="294" t="s">
        <v>997</v>
      </c>
      <c r="F932" s="301" t="s">
        <v>993</v>
      </c>
      <c r="G932" s="301" t="s">
        <v>994</v>
      </c>
      <c r="H932" s="203" t="s">
        <v>698</v>
      </c>
      <c r="I932" s="203">
        <v>4</v>
      </c>
      <c r="J932" s="212" t="str">
        <f>IF((IF(OR((H932&amp;"."&amp;I932)=$R$8,(H932&amp;"."&amp;I932)=$S$8,(H932&amp;"."&amp;I932)=$T$8,(H932&amp;"."&amp;I932)=$U$8,(H932&amp;"."&amp;I932)=$V$8,(H932&amp;"."&amp;I932)=$W$8),1,0))=1,"EKSTREM",IF((IF(OR((H932&amp;"."&amp;I932)=$R$9,(H932&amp;"."&amp;I932)=$S$9,(H932&amp;"."&amp;I932)=$T$9,(H932&amp;"."&amp;I932)=$U$9,(H932&amp;"."&amp;I932)=$V$9,(H932&amp;"."&amp;I932)=$W$9,(H932&amp;"."&amp;I932)=$X$9),1,0))=1,"TINGGI",IF((IF(OR((H932&amp;"."&amp;I932)=$R$10,(H932&amp;"."&amp;I932)=$S$10,(H932&amp;"."&amp;I932)=$T$10,(H932&amp;"."&amp;I932)=$U$10,(H932&amp;"."&amp;I932)=$V$10,(H932&amp;"."&amp;I932)=$W$10),1,0))=1,"MODERAT",IF((IF(OR((H932&amp;"."&amp;I932)=$R$11,(H932&amp;"."&amp;I932)=$S$11,(H932&amp;"."&amp;I932)=$T$11,(H932&amp;"."&amp;I932)=$U$11,(H932&amp;"."&amp;I932)=$V$11,(H932&amp;"."&amp;I932)=$W$11),1,0))=1,"RENDAH","-"))))</f>
        <v>TINGGI</v>
      </c>
      <c r="K932" s="10">
        <v>0</v>
      </c>
      <c r="L932" s="326" t="s">
        <v>1078</v>
      </c>
      <c r="M932" s="326" t="s">
        <v>1079</v>
      </c>
    </row>
    <row r="933" spans="1:13" ht="150" x14ac:dyDescent="0.25">
      <c r="A933" s="330"/>
      <c r="B933" s="333"/>
      <c r="C933" s="149">
        <v>4</v>
      </c>
      <c r="D933" s="174" t="s">
        <v>671</v>
      </c>
      <c r="E933" s="294"/>
      <c r="F933" s="302"/>
      <c r="G933" s="302"/>
      <c r="H933" s="297"/>
      <c r="I933" s="297"/>
      <c r="J933" s="297"/>
      <c r="K933" s="297"/>
      <c r="L933" s="326"/>
      <c r="M933" s="326"/>
    </row>
    <row r="934" spans="1:13" ht="135" x14ac:dyDescent="0.25">
      <c r="A934" s="330"/>
      <c r="B934" s="333"/>
      <c r="C934" s="149">
        <v>3</v>
      </c>
      <c r="D934" s="174" t="s">
        <v>672</v>
      </c>
      <c r="E934" s="294"/>
      <c r="F934" s="302"/>
      <c r="G934" s="302"/>
      <c r="H934" s="298"/>
      <c r="I934" s="298"/>
      <c r="J934" s="298"/>
      <c r="K934" s="298"/>
      <c r="L934" s="326"/>
      <c r="M934" s="326"/>
    </row>
    <row r="935" spans="1:13" ht="90" x14ac:dyDescent="0.25">
      <c r="A935" s="330"/>
      <c r="B935" s="333"/>
      <c r="C935" s="149">
        <v>2</v>
      </c>
      <c r="D935" s="174" t="s">
        <v>673</v>
      </c>
      <c r="E935" s="294"/>
      <c r="F935" s="302"/>
      <c r="G935" s="302"/>
      <c r="H935" s="298"/>
      <c r="I935" s="298"/>
      <c r="J935" s="298"/>
      <c r="K935" s="298"/>
      <c r="L935" s="326"/>
      <c r="M935" s="326"/>
    </row>
    <row r="936" spans="1:13" ht="105" x14ac:dyDescent="0.25">
      <c r="A936" s="330"/>
      <c r="B936" s="333"/>
      <c r="C936" s="149">
        <v>1</v>
      </c>
      <c r="D936" s="174" t="s">
        <v>674</v>
      </c>
      <c r="E936" s="294"/>
      <c r="F936" s="302"/>
      <c r="G936" s="302"/>
      <c r="H936" s="298"/>
      <c r="I936" s="298"/>
      <c r="J936" s="298"/>
      <c r="K936" s="298"/>
      <c r="L936" s="326"/>
      <c r="M936" s="326"/>
    </row>
    <row r="937" spans="1:13" x14ac:dyDescent="0.25">
      <c r="A937" s="330"/>
      <c r="B937" s="333"/>
      <c r="C937" s="149">
        <v>0</v>
      </c>
      <c r="D937" s="174" t="s">
        <v>675</v>
      </c>
      <c r="E937" s="294"/>
      <c r="F937" s="303"/>
      <c r="G937" s="303"/>
      <c r="H937" s="299"/>
      <c r="I937" s="299"/>
      <c r="J937" s="299"/>
      <c r="K937" s="299"/>
      <c r="L937" s="326"/>
      <c r="M937" s="326"/>
    </row>
    <row r="938" spans="1:13" ht="15.75" thickBot="1" x14ac:dyDescent="0.3">
      <c r="A938" s="331"/>
      <c r="B938" s="334"/>
      <c r="C938" s="304" t="s">
        <v>7</v>
      </c>
      <c r="D938" s="304"/>
      <c r="E938" s="304"/>
      <c r="F938" s="304"/>
      <c r="G938" s="183"/>
      <c r="H938" s="183"/>
      <c r="I938" s="183"/>
      <c r="J938" s="183"/>
      <c r="K938" s="11">
        <f>IF(OR(ISBLANK(K932),K932&lt;0,K932&gt;4),0,K932)</f>
        <v>0</v>
      </c>
      <c r="L938" s="326"/>
      <c r="M938" s="326"/>
    </row>
    <row r="939" spans="1:13" ht="15.75" thickBot="1" x14ac:dyDescent="0.3">
      <c r="A939" s="178"/>
      <c r="B939" s="178"/>
      <c r="C939" s="179"/>
      <c r="D939" s="180"/>
    </row>
    <row r="940" spans="1:13" x14ac:dyDescent="0.25">
      <c r="A940" s="329">
        <v>68</v>
      </c>
      <c r="B940" s="332" t="s">
        <v>676</v>
      </c>
      <c r="C940" s="335" t="s">
        <v>677</v>
      </c>
      <c r="D940" s="336"/>
      <c r="E940" s="294"/>
      <c r="F940" s="301" t="s">
        <v>993</v>
      </c>
      <c r="G940" s="301" t="s">
        <v>994</v>
      </c>
      <c r="H940" s="203" t="s">
        <v>698</v>
      </c>
      <c r="I940" s="203">
        <v>4</v>
      </c>
      <c r="J940" s="212" t="str">
        <f>IF((IF(OR((H940&amp;"."&amp;I940)=$R$8,(H940&amp;"."&amp;I940)=$S$8,(H940&amp;"."&amp;I940)=$T$8,(H940&amp;"."&amp;I940)=$U$8,(H940&amp;"."&amp;I940)=$V$8,(H940&amp;"."&amp;I940)=$W$8),1,0))=1,"EKSTREM",IF((IF(OR((H940&amp;"."&amp;I940)=$R$9,(H940&amp;"."&amp;I940)=$S$9,(H940&amp;"."&amp;I940)=$T$9,(H940&amp;"."&amp;I940)=$U$9,(H940&amp;"."&amp;I940)=$V$9,(H940&amp;"."&amp;I940)=$W$9,(H940&amp;"."&amp;I940)=$X$9),1,0))=1,"TINGGI",IF((IF(OR((H940&amp;"."&amp;I940)=$R$10,(H940&amp;"."&amp;I940)=$S$10,(H940&amp;"."&amp;I940)=$T$10,(H940&amp;"."&amp;I940)=$U$10,(H940&amp;"."&amp;I940)=$V$10,(H940&amp;"."&amp;I940)=$W$10),1,0))=1,"MODERAT",IF((IF(OR((H940&amp;"."&amp;I940)=$R$11,(H940&amp;"."&amp;I940)=$S$11,(H940&amp;"."&amp;I940)=$T$11,(H940&amp;"."&amp;I940)=$U$11,(H940&amp;"."&amp;I940)=$V$11,(H940&amp;"."&amp;I940)=$W$11),1,0))=1,"RENDAH","-"))))</f>
        <v>TINGGI</v>
      </c>
      <c r="K940" s="10">
        <v>0</v>
      </c>
      <c r="L940" s="326" t="s">
        <v>1078</v>
      </c>
      <c r="M940" s="326" t="s">
        <v>1079</v>
      </c>
    </row>
    <row r="941" spans="1:13" ht="135" x14ac:dyDescent="0.25">
      <c r="A941" s="330"/>
      <c r="B941" s="333"/>
      <c r="C941" s="149">
        <v>4</v>
      </c>
      <c r="D941" s="174" t="s">
        <v>678</v>
      </c>
      <c r="E941" s="294"/>
      <c r="F941" s="302"/>
      <c r="G941" s="302"/>
      <c r="H941" s="297"/>
      <c r="I941" s="297"/>
      <c r="J941" s="297"/>
      <c r="K941" s="297"/>
      <c r="L941" s="326"/>
      <c r="M941" s="326"/>
    </row>
    <row r="942" spans="1:13" ht="105" x14ac:dyDescent="0.25">
      <c r="A942" s="330"/>
      <c r="B942" s="333"/>
      <c r="C942" s="149">
        <v>3</v>
      </c>
      <c r="D942" s="174" t="s">
        <v>679</v>
      </c>
      <c r="E942" s="294"/>
      <c r="F942" s="302"/>
      <c r="G942" s="302"/>
      <c r="H942" s="298"/>
      <c r="I942" s="298"/>
      <c r="J942" s="298"/>
      <c r="K942" s="298"/>
      <c r="L942" s="326"/>
      <c r="M942" s="326"/>
    </row>
    <row r="943" spans="1:13" ht="90" x14ac:dyDescent="0.25">
      <c r="A943" s="330"/>
      <c r="B943" s="333"/>
      <c r="C943" s="149">
        <v>2</v>
      </c>
      <c r="D943" s="174" t="s">
        <v>680</v>
      </c>
      <c r="E943" s="294"/>
      <c r="F943" s="302"/>
      <c r="G943" s="302"/>
      <c r="H943" s="298"/>
      <c r="I943" s="298"/>
      <c r="J943" s="298"/>
      <c r="K943" s="298"/>
      <c r="L943" s="326"/>
      <c r="M943" s="326"/>
    </row>
    <row r="944" spans="1:13" ht="75" x14ac:dyDescent="0.25">
      <c r="A944" s="330"/>
      <c r="B944" s="333"/>
      <c r="C944" s="149">
        <v>1</v>
      </c>
      <c r="D944" s="174" t="s">
        <v>681</v>
      </c>
      <c r="E944" s="294"/>
      <c r="F944" s="302"/>
      <c r="G944" s="302"/>
      <c r="H944" s="298"/>
      <c r="I944" s="298"/>
      <c r="J944" s="298"/>
      <c r="K944" s="298"/>
      <c r="L944" s="326"/>
      <c r="M944" s="326"/>
    </row>
    <row r="945" spans="1:13" x14ac:dyDescent="0.25">
      <c r="A945" s="330"/>
      <c r="B945" s="333"/>
      <c r="C945" s="149">
        <v>0</v>
      </c>
      <c r="D945" s="174" t="s">
        <v>682</v>
      </c>
      <c r="E945" s="294"/>
      <c r="F945" s="303"/>
      <c r="G945" s="303"/>
      <c r="H945" s="299"/>
      <c r="I945" s="299"/>
      <c r="J945" s="299"/>
      <c r="K945" s="299"/>
      <c r="L945" s="326"/>
      <c r="M945" s="326"/>
    </row>
    <row r="946" spans="1:13" ht="15.75" thickBot="1" x14ac:dyDescent="0.3">
      <c r="A946" s="331"/>
      <c r="B946" s="334"/>
      <c r="C946" s="304" t="s">
        <v>7</v>
      </c>
      <c r="D946" s="304"/>
      <c r="E946" s="304"/>
      <c r="F946" s="304"/>
      <c r="G946" s="183"/>
      <c r="H946" s="183"/>
      <c r="I946" s="183"/>
      <c r="J946" s="183"/>
      <c r="K946" s="11">
        <f>IF(OR(ISBLANK(K940),K940&lt;0,K940&gt;4),0,K940)</f>
        <v>0</v>
      </c>
      <c r="L946" s="326"/>
      <c r="M946" s="326"/>
    </row>
    <row r="947" spans="1:13" ht="15.75" thickBot="1" x14ac:dyDescent="0.3">
      <c r="A947" s="178"/>
      <c r="B947" s="178"/>
      <c r="C947" s="179"/>
      <c r="D947" s="180"/>
    </row>
    <row r="948" spans="1:13" x14ac:dyDescent="0.25">
      <c r="A948" s="329">
        <v>69</v>
      </c>
      <c r="B948" s="332" t="s">
        <v>683</v>
      </c>
      <c r="C948" s="335" t="s">
        <v>684</v>
      </c>
      <c r="D948" s="336"/>
      <c r="E948" s="294" t="s">
        <v>997</v>
      </c>
      <c r="F948" s="301" t="s">
        <v>993</v>
      </c>
      <c r="G948" s="301" t="s">
        <v>994</v>
      </c>
      <c r="H948" s="203" t="s">
        <v>698</v>
      </c>
      <c r="I948" s="203">
        <v>4</v>
      </c>
      <c r="J948" s="212" t="str">
        <f>IF((IF(OR((H948&amp;"."&amp;I948)=$R$8,(H948&amp;"."&amp;I948)=$S$8,(H948&amp;"."&amp;I948)=$T$8,(H948&amp;"."&amp;I948)=$U$8,(H948&amp;"."&amp;I948)=$V$8,(H948&amp;"."&amp;I948)=$W$8),1,0))=1,"EKSTREM",IF((IF(OR((H948&amp;"."&amp;I948)=$R$9,(H948&amp;"."&amp;I948)=$S$9,(H948&amp;"."&amp;I948)=$T$9,(H948&amp;"."&amp;I948)=$U$9,(H948&amp;"."&amp;I948)=$V$9,(H948&amp;"."&amp;I948)=$W$9,(H948&amp;"."&amp;I948)=$X$9),1,0))=1,"TINGGI",IF((IF(OR((H948&amp;"."&amp;I948)=$R$10,(H948&amp;"."&amp;I948)=$S$10,(H948&amp;"."&amp;I948)=$T$10,(H948&amp;"."&amp;I948)=$U$10,(H948&amp;"."&amp;I948)=$V$10,(H948&amp;"."&amp;I948)=$W$10),1,0))=1,"MODERAT",IF((IF(OR((H948&amp;"."&amp;I948)=$R$11,(H948&amp;"."&amp;I948)=$S$11,(H948&amp;"."&amp;I948)=$T$11,(H948&amp;"."&amp;I948)=$U$11,(H948&amp;"."&amp;I948)=$V$11,(H948&amp;"."&amp;I948)=$W$11),1,0))=1,"RENDAH","-"))))</f>
        <v>TINGGI</v>
      </c>
      <c r="K948" s="10">
        <v>0</v>
      </c>
      <c r="L948" s="326" t="s">
        <v>1078</v>
      </c>
      <c r="M948" s="326" t="s">
        <v>1079</v>
      </c>
    </row>
    <row r="949" spans="1:13" ht="105" x14ac:dyDescent="0.25">
      <c r="A949" s="330"/>
      <c r="B949" s="333"/>
      <c r="C949" s="149">
        <v>4</v>
      </c>
      <c r="D949" s="174" t="s">
        <v>685</v>
      </c>
      <c r="E949" s="294"/>
      <c r="F949" s="302"/>
      <c r="G949" s="302"/>
      <c r="H949" s="297"/>
      <c r="I949" s="297"/>
      <c r="J949" s="297"/>
      <c r="K949" s="297"/>
      <c r="L949" s="326"/>
      <c r="M949" s="326"/>
    </row>
    <row r="950" spans="1:13" ht="90" x14ac:dyDescent="0.25">
      <c r="A950" s="330"/>
      <c r="B950" s="333"/>
      <c r="C950" s="149">
        <v>3</v>
      </c>
      <c r="D950" s="174" t="s">
        <v>686</v>
      </c>
      <c r="E950" s="294"/>
      <c r="F950" s="302"/>
      <c r="G950" s="302"/>
      <c r="H950" s="298"/>
      <c r="I950" s="298"/>
      <c r="J950" s="298"/>
      <c r="K950" s="298"/>
      <c r="L950" s="326"/>
      <c r="M950" s="326"/>
    </row>
    <row r="951" spans="1:13" ht="75" x14ac:dyDescent="0.25">
      <c r="A951" s="330"/>
      <c r="B951" s="333"/>
      <c r="C951" s="149">
        <v>2</v>
      </c>
      <c r="D951" s="174" t="s">
        <v>687</v>
      </c>
      <c r="E951" s="294"/>
      <c r="F951" s="302"/>
      <c r="G951" s="302"/>
      <c r="H951" s="298"/>
      <c r="I951" s="298"/>
      <c r="J951" s="298"/>
      <c r="K951" s="298"/>
      <c r="L951" s="326"/>
      <c r="M951" s="326"/>
    </row>
    <row r="952" spans="1:13" ht="30" x14ac:dyDescent="0.25">
      <c r="A952" s="330"/>
      <c r="B952" s="333"/>
      <c r="C952" s="149">
        <v>1</v>
      </c>
      <c r="D952" s="174" t="s">
        <v>688</v>
      </c>
      <c r="E952" s="294"/>
      <c r="F952" s="302"/>
      <c r="G952" s="302"/>
      <c r="H952" s="298"/>
      <c r="I952" s="298"/>
      <c r="J952" s="298"/>
      <c r="K952" s="298"/>
      <c r="L952" s="326"/>
      <c r="M952" s="326"/>
    </row>
    <row r="953" spans="1:13" ht="30" x14ac:dyDescent="0.25">
      <c r="A953" s="330"/>
      <c r="B953" s="333"/>
      <c r="C953" s="149">
        <v>0</v>
      </c>
      <c r="D953" s="174" t="s">
        <v>689</v>
      </c>
      <c r="E953" s="294"/>
      <c r="F953" s="303"/>
      <c r="G953" s="303"/>
      <c r="H953" s="299"/>
      <c r="I953" s="299"/>
      <c r="J953" s="299"/>
      <c r="K953" s="299"/>
      <c r="L953" s="326"/>
      <c r="M953" s="326"/>
    </row>
    <row r="954" spans="1:13" ht="15.75" thickBot="1" x14ac:dyDescent="0.3">
      <c r="A954" s="331"/>
      <c r="B954" s="334"/>
      <c r="C954" s="304" t="s">
        <v>7</v>
      </c>
      <c r="D954" s="304"/>
      <c r="E954" s="304"/>
      <c r="F954" s="304"/>
      <c r="G954" s="183"/>
      <c r="H954" s="183"/>
      <c r="I954" s="183"/>
      <c r="J954" s="183"/>
      <c r="K954" s="11">
        <f>IF(OR(ISBLANK(K948),K948&lt;0,K948&gt;4),0,K948)</f>
        <v>0</v>
      </c>
      <c r="L954" s="326"/>
      <c r="M954" s="326"/>
    </row>
  </sheetData>
  <protectedRanges>
    <protectedRange sqref="K671:K679" name="Skor 1 sd 10"/>
    <protectedRange sqref="K717" name="Skor 1 sd 10_1"/>
    <protectedRange sqref="K709:K716" name="Skor 1 sd 10_1_1"/>
    <protectedRange sqref="K723:K731" name="Skor 1 sd 10_2"/>
    <protectedRange sqref="K735:K740" name="Skor 1 sd 10_3"/>
    <protectedRange sqref="K144" name="Skor 1 sd 10_5"/>
  </protectedRanges>
  <mergeCells count="1249">
    <mergeCell ref="G234:G235"/>
    <mergeCell ref="G238:G241"/>
    <mergeCell ref="M213:M217"/>
    <mergeCell ref="K465:K469"/>
    <mergeCell ref="K471:K475"/>
    <mergeCell ref="M402:M408"/>
    <mergeCell ref="H269:H275"/>
    <mergeCell ref="I269:I275"/>
    <mergeCell ref="J269:J275"/>
    <mergeCell ref="F458:F475"/>
    <mergeCell ref="H176:H186"/>
    <mergeCell ref="I176:I186"/>
    <mergeCell ref="J176:J186"/>
    <mergeCell ref="K176:K180"/>
    <mergeCell ref="L402:L408"/>
    <mergeCell ref="L500:L530"/>
    <mergeCell ref="M500:M530"/>
    <mergeCell ref="L458:L476"/>
    <mergeCell ref="M458:M476"/>
    <mergeCell ref="G478:G483"/>
    <mergeCell ref="H479:H483"/>
    <mergeCell ref="I479:I483"/>
    <mergeCell ref="J479:J483"/>
    <mergeCell ref="K479:K483"/>
    <mergeCell ref="H487:H497"/>
    <mergeCell ref="I487:I497"/>
    <mergeCell ref="J487:J497"/>
    <mergeCell ref="L486:L498"/>
    <mergeCell ref="M486:M498"/>
    <mergeCell ref="G458:G475"/>
    <mergeCell ref="K459:K463"/>
    <mergeCell ref="M478:M484"/>
    <mergeCell ref="H190:H196"/>
    <mergeCell ref="I190:I196"/>
    <mergeCell ref="J190:J196"/>
    <mergeCell ref="G189:G196"/>
    <mergeCell ref="G228:G231"/>
    <mergeCell ref="A745:A751"/>
    <mergeCell ref="B745:B751"/>
    <mergeCell ref="C739:D739"/>
    <mergeCell ref="C740:D740"/>
    <mergeCell ref="C745:D745"/>
    <mergeCell ref="E745:E750"/>
    <mergeCell ref="F745:F750"/>
    <mergeCell ref="C727:D727"/>
    <mergeCell ref="C728:D728"/>
    <mergeCell ref="C729:D729"/>
    <mergeCell ref="C730:D730"/>
    <mergeCell ref="F708:F717"/>
    <mergeCell ref="A650:A656"/>
    <mergeCell ref="B650:B656"/>
    <mergeCell ref="E658:E659"/>
    <mergeCell ref="F658:F659"/>
    <mergeCell ref="C660:F660"/>
    <mergeCell ref="A658:A660"/>
    <mergeCell ref="A670:A680"/>
    <mergeCell ref="B670:B680"/>
    <mergeCell ref="C682:D682"/>
    <mergeCell ref="C671:D671"/>
    <mergeCell ref="C672:D672"/>
    <mergeCell ref="C673:D673"/>
    <mergeCell ref="C674:D674"/>
    <mergeCell ref="C685:D685"/>
    <mergeCell ref="C670:D670"/>
    <mergeCell ref="C687:D687"/>
    <mergeCell ref="C688:D688"/>
    <mergeCell ref="C689:D689"/>
    <mergeCell ref="C736:D736"/>
    <mergeCell ref="C737:D737"/>
    <mergeCell ref="C738:D738"/>
    <mergeCell ref="C722:D722"/>
    <mergeCell ref="L722:L732"/>
    <mergeCell ref="G6:J6"/>
    <mergeCell ref="A6:A7"/>
    <mergeCell ref="B6:B7"/>
    <mergeCell ref="E6:E7"/>
    <mergeCell ref="F6:F7"/>
    <mergeCell ref="A734:A743"/>
    <mergeCell ref="B734:B743"/>
    <mergeCell ref="C731:D731"/>
    <mergeCell ref="F722:F731"/>
    <mergeCell ref="E722:E731"/>
    <mergeCell ref="A722:A732"/>
    <mergeCell ref="B722:B732"/>
    <mergeCell ref="E708:E717"/>
    <mergeCell ref="C662:D662"/>
    <mergeCell ref="C668:F668"/>
    <mergeCell ref="F662:F667"/>
    <mergeCell ref="C686:D686"/>
    <mergeCell ref="G48:G59"/>
    <mergeCell ref="C724:D724"/>
    <mergeCell ref="C725:D725"/>
    <mergeCell ref="C726:D726"/>
    <mergeCell ref="I338:I348"/>
    <mergeCell ref="J338:J348"/>
    <mergeCell ref="F337:F348"/>
    <mergeCell ref="G337:G348"/>
    <mergeCell ref="L337:L349"/>
    <mergeCell ref="H376:H378"/>
    <mergeCell ref="L753:L780"/>
    <mergeCell ref="M753:M780"/>
    <mergeCell ref="K6:K7"/>
    <mergeCell ref="L6:L7"/>
    <mergeCell ref="M6:M7"/>
    <mergeCell ref="C6:D7"/>
    <mergeCell ref="C787:D787"/>
    <mergeCell ref="C788:D788"/>
    <mergeCell ref="C789:D789"/>
    <mergeCell ref="C790:D790"/>
    <mergeCell ref="C791:D791"/>
    <mergeCell ref="C743:F743"/>
    <mergeCell ref="L734:L743"/>
    <mergeCell ref="F734:F740"/>
    <mergeCell ref="E734:E740"/>
    <mergeCell ref="M722:M732"/>
    <mergeCell ref="C732:F732"/>
    <mergeCell ref="C723:D723"/>
    <mergeCell ref="C693:F693"/>
    <mergeCell ref="F682:F689"/>
    <mergeCell ref="C656:F656"/>
    <mergeCell ref="L650:L656"/>
    <mergeCell ref="M650:M656"/>
    <mergeCell ref="E650:E655"/>
    <mergeCell ref="C658:D658"/>
    <mergeCell ref="C659:D659"/>
    <mergeCell ref="L745:L751"/>
    <mergeCell ref="M745:M751"/>
    <mergeCell ref="C751:F751"/>
    <mergeCell ref="M734:M743"/>
    <mergeCell ref="C734:D734"/>
    <mergeCell ref="C735:D735"/>
    <mergeCell ref="A753:A780"/>
    <mergeCell ref="B753:B780"/>
    <mergeCell ref="C782:D782"/>
    <mergeCell ref="F782:F805"/>
    <mergeCell ref="C762:D762"/>
    <mergeCell ref="C763:C765"/>
    <mergeCell ref="C766:C768"/>
    <mergeCell ref="C769:C771"/>
    <mergeCell ref="C778:D778"/>
    <mergeCell ref="C753:D753"/>
    <mergeCell ref="C754:D754"/>
    <mergeCell ref="C755:D755"/>
    <mergeCell ref="C756:D756"/>
    <mergeCell ref="C757:D757"/>
    <mergeCell ref="C785:D785"/>
    <mergeCell ref="C786:D786"/>
    <mergeCell ref="A782:A807"/>
    <mergeCell ref="C792:C794"/>
    <mergeCell ref="C795:C797"/>
    <mergeCell ref="C798:C800"/>
    <mergeCell ref="C758:D758"/>
    <mergeCell ref="C759:D759"/>
    <mergeCell ref="C760:D760"/>
    <mergeCell ref="C761:D761"/>
    <mergeCell ref="C805:D805"/>
    <mergeCell ref="C780:F780"/>
    <mergeCell ref="C779:F779"/>
    <mergeCell ref="F753:F778"/>
    <mergeCell ref="E753:E778"/>
    <mergeCell ref="M662:M668"/>
    <mergeCell ref="A662:A668"/>
    <mergeCell ref="B662:B668"/>
    <mergeCell ref="C648:F648"/>
    <mergeCell ref="F642:F647"/>
    <mergeCell ref="L642:L648"/>
    <mergeCell ref="M642:M648"/>
    <mergeCell ref="E642:E647"/>
    <mergeCell ref="B642:B648"/>
    <mergeCell ref="A642:A648"/>
    <mergeCell ref="C650:D650"/>
    <mergeCell ref="F650:F655"/>
    <mergeCell ref="C634:D634"/>
    <mergeCell ref="E634:E639"/>
    <mergeCell ref="F634:F639"/>
    <mergeCell ref="C640:F640"/>
    <mergeCell ref="L634:L640"/>
    <mergeCell ref="M634:M640"/>
    <mergeCell ref="A634:A640"/>
    <mergeCell ref="B634:B640"/>
    <mergeCell ref="C642:D642"/>
    <mergeCell ref="G642:G647"/>
    <mergeCell ref="G658:G659"/>
    <mergeCell ref="G662:G667"/>
    <mergeCell ref="H643:H647"/>
    <mergeCell ref="I643:I647"/>
    <mergeCell ref="J643:J647"/>
    <mergeCell ref="L658:L660"/>
    <mergeCell ref="M658:M660"/>
    <mergeCell ref="B658:B660"/>
    <mergeCell ref="L662:L668"/>
    <mergeCell ref="E662:E667"/>
    <mergeCell ref="F626:F631"/>
    <mergeCell ref="L626:L632"/>
    <mergeCell ref="M626:M632"/>
    <mergeCell ref="A626:A632"/>
    <mergeCell ref="B626:B632"/>
    <mergeCell ref="C614:D614"/>
    <mergeCell ref="E614:E615"/>
    <mergeCell ref="F614:F615"/>
    <mergeCell ref="L614:L616"/>
    <mergeCell ref="M614:M616"/>
    <mergeCell ref="C616:F616"/>
    <mergeCell ref="A614:A616"/>
    <mergeCell ref="B614:B616"/>
    <mergeCell ref="C615:D615"/>
    <mergeCell ref="C618:D618"/>
    <mergeCell ref="C624:F624"/>
    <mergeCell ref="E618:E623"/>
    <mergeCell ref="F618:F623"/>
    <mergeCell ref="L618:L624"/>
    <mergeCell ref="M618:M624"/>
    <mergeCell ref="A618:A624"/>
    <mergeCell ref="B618:B624"/>
    <mergeCell ref="G614:G615"/>
    <mergeCell ref="L606:L612"/>
    <mergeCell ref="M606:M612"/>
    <mergeCell ref="C612:F612"/>
    <mergeCell ref="E606:E611"/>
    <mergeCell ref="A606:A612"/>
    <mergeCell ref="B606:B612"/>
    <mergeCell ref="C590:D590"/>
    <mergeCell ref="C596:F596"/>
    <mergeCell ref="F590:F595"/>
    <mergeCell ref="L590:L596"/>
    <mergeCell ref="M590:M596"/>
    <mergeCell ref="E590:E595"/>
    <mergeCell ref="B590:B596"/>
    <mergeCell ref="A590:A596"/>
    <mergeCell ref="C598:D598"/>
    <mergeCell ref="F598:F603"/>
    <mergeCell ref="L598:L604"/>
    <mergeCell ref="M598:M604"/>
    <mergeCell ref="C604:F604"/>
    <mergeCell ref="E598:E603"/>
    <mergeCell ref="B598:B604"/>
    <mergeCell ref="J591:J595"/>
    <mergeCell ref="G590:G595"/>
    <mergeCell ref="A598:A604"/>
    <mergeCell ref="H591:H595"/>
    <mergeCell ref="K591:K595"/>
    <mergeCell ref="L566:L568"/>
    <mergeCell ref="M566:M568"/>
    <mergeCell ref="F566:F567"/>
    <mergeCell ref="C568:F568"/>
    <mergeCell ref="A546:A564"/>
    <mergeCell ref="L570:L576"/>
    <mergeCell ref="M570:M576"/>
    <mergeCell ref="B570:B576"/>
    <mergeCell ref="A570:A576"/>
    <mergeCell ref="E570:E575"/>
    <mergeCell ref="F546:F563"/>
    <mergeCell ref="G546:G563"/>
    <mergeCell ref="C546:D546"/>
    <mergeCell ref="E546:E551"/>
    <mergeCell ref="J571:J575"/>
    <mergeCell ref="A578:A588"/>
    <mergeCell ref="C579:D579"/>
    <mergeCell ref="C581:D581"/>
    <mergeCell ref="C588:F588"/>
    <mergeCell ref="E581:E586"/>
    <mergeCell ref="C570:D570"/>
    <mergeCell ref="F570:F575"/>
    <mergeCell ref="C576:F576"/>
    <mergeCell ref="L578:L588"/>
    <mergeCell ref="M578:M588"/>
    <mergeCell ref="F578:F587"/>
    <mergeCell ref="G578:G587"/>
    <mergeCell ref="G566:G567"/>
    <mergeCell ref="H579:H587"/>
    <mergeCell ref="I579:I587"/>
    <mergeCell ref="A500:A530"/>
    <mergeCell ref="C532:D532"/>
    <mergeCell ref="M532:M536"/>
    <mergeCell ref="A532:A536"/>
    <mergeCell ref="B532:B536"/>
    <mergeCell ref="C500:D500"/>
    <mergeCell ref="E500:E505"/>
    <mergeCell ref="C533:D533"/>
    <mergeCell ref="C534:D534"/>
    <mergeCell ref="M359:M365"/>
    <mergeCell ref="E359:E364"/>
    <mergeCell ref="C367:D367"/>
    <mergeCell ref="C373:F373"/>
    <mergeCell ref="F367:F372"/>
    <mergeCell ref="E367:E372"/>
    <mergeCell ref="A367:A373"/>
    <mergeCell ref="F434:F439"/>
    <mergeCell ref="L434:L440"/>
    <mergeCell ref="M434:M440"/>
    <mergeCell ref="A434:A440"/>
    <mergeCell ref="M426:M432"/>
    <mergeCell ref="A426:A432"/>
    <mergeCell ref="B426:B432"/>
    <mergeCell ref="G393:G399"/>
    <mergeCell ref="G402:G407"/>
    <mergeCell ref="G410:G415"/>
    <mergeCell ref="L450:L456"/>
    <mergeCell ref="M450:M456"/>
    <mergeCell ref="G532:G535"/>
    <mergeCell ref="F486:F497"/>
    <mergeCell ref="C484:F484"/>
    <mergeCell ref="E470:E475"/>
    <mergeCell ref="A402:A408"/>
    <mergeCell ref="B402:B408"/>
    <mergeCell ref="B434:B440"/>
    <mergeCell ref="C434:D434"/>
    <mergeCell ref="C440:F440"/>
    <mergeCell ref="D438:D439"/>
    <mergeCell ref="E434:E439"/>
    <mergeCell ref="E402:E407"/>
    <mergeCell ref="A393:A400"/>
    <mergeCell ref="A375:A379"/>
    <mergeCell ref="B375:B379"/>
    <mergeCell ref="C375:D375"/>
    <mergeCell ref="C385:F385"/>
    <mergeCell ref="E381:E384"/>
    <mergeCell ref="G381:G384"/>
    <mergeCell ref="G387:G390"/>
    <mergeCell ref="C400:F400"/>
    <mergeCell ref="F393:F399"/>
    <mergeCell ref="C402:D402"/>
    <mergeCell ref="C410:D410"/>
    <mergeCell ref="G375:G378"/>
    <mergeCell ref="A189:A197"/>
    <mergeCell ref="C190:D196"/>
    <mergeCell ref="K190:K196"/>
    <mergeCell ref="L119:L125"/>
    <mergeCell ref="C187:F187"/>
    <mergeCell ref="C133:E133"/>
    <mergeCell ref="L127:L133"/>
    <mergeCell ref="C189:D189"/>
    <mergeCell ref="E189:E196"/>
    <mergeCell ref="C197:F197"/>
    <mergeCell ref="F189:F196"/>
    <mergeCell ref="L189:L197"/>
    <mergeCell ref="L135:L141"/>
    <mergeCell ref="M135:M141"/>
    <mergeCell ref="M119:M125"/>
    <mergeCell ref="C135:D135"/>
    <mergeCell ref="C141:E141"/>
    <mergeCell ref="E135:E140"/>
    <mergeCell ref="C146:D146"/>
    <mergeCell ref="C159:D159"/>
    <mergeCell ref="C168:E168"/>
    <mergeCell ref="C160:D160"/>
    <mergeCell ref="F175:F186"/>
    <mergeCell ref="G135:G140"/>
    <mergeCell ref="H136:H140"/>
    <mergeCell ref="I136:I140"/>
    <mergeCell ref="J136:J140"/>
    <mergeCell ref="K152:K156"/>
    <mergeCell ref="K136:K140"/>
    <mergeCell ref="G175:G186"/>
    <mergeCell ref="L175:L187"/>
    <mergeCell ref="M175:M187"/>
    <mergeCell ref="A135:A141"/>
    <mergeCell ref="M84:M109"/>
    <mergeCell ref="C98:D98"/>
    <mergeCell ref="C107:D107"/>
    <mergeCell ref="C108:D108"/>
    <mergeCell ref="E84:E108"/>
    <mergeCell ref="C89:D89"/>
    <mergeCell ref="C94:D94"/>
    <mergeCell ref="C95:D95"/>
    <mergeCell ref="C96:D96"/>
    <mergeCell ref="C97:D97"/>
    <mergeCell ref="C84:D84"/>
    <mergeCell ref="C85:D85"/>
    <mergeCell ref="C86:D86"/>
    <mergeCell ref="C87:D87"/>
    <mergeCell ref="C88:D88"/>
    <mergeCell ref="C127:D127"/>
    <mergeCell ref="E127:E132"/>
    <mergeCell ref="M111:M117"/>
    <mergeCell ref="F119:F124"/>
    <mergeCell ref="F127:F132"/>
    <mergeCell ref="F111:F116"/>
    <mergeCell ref="M127:M133"/>
    <mergeCell ref="B127:B133"/>
    <mergeCell ref="A127:A133"/>
    <mergeCell ref="H85:H108"/>
    <mergeCell ref="I85:I108"/>
    <mergeCell ref="J85:J108"/>
    <mergeCell ref="H112:H116"/>
    <mergeCell ref="I112:I116"/>
    <mergeCell ref="J112:J116"/>
    <mergeCell ref="H120:H124"/>
    <mergeCell ref="A119:A125"/>
    <mergeCell ref="B119:B125"/>
    <mergeCell ref="A111:A117"/>
    <mergeCell ref="B111:B117"/>
    <mergeCell ref="C119:D119"/>
    <mergeCell ref="C125:E125"/>
    <mergeCell ref="E119:E124"/>
    <mergeCell ref="C76:D76"/>
    <mergeCell ref="B84:B109"/>
    <mergeCell ref="L84:L109"/>
    <mergeCell ref="C111:D111"/>
    <mergeCell ref="C117:E117"/>
    <mergeCell ref="E111:E116"/>
    <mergeCell ref="L111:L117"/>
    <mergeCell ref="C82:E82"/>
    <mergeCell ref="L76:L82"/>
    <mergeCell ref="A84:A109"/>
    <mergeCell ref="F84:F108"/>
    <mergeCell ref="G84:G108"/>
    <mergeCell ref="M24:M30"/>
    <mergeCell ref="L32:L38"/>
    <mergeCell ref="M32:M38"/>
    <mergeCell ref="M40:M46"/>
    <mergeCell ref="L40:L46"/>
    <mergeCell ref="L48:L60"/>
    <mergeCell ref="M48:M60"/>
    <mergeCell ref="L62:L74"/>
    <mergeCell ref="M62:M74"/>
    <mergeCell ref="H63:H73"/>
    <mergeCell ref="I63:I73"/>
    <mergeCell ref="J63:J73"/>
    <mergeCell ref="H49:H59"/>
    <mergeCell ref="I49:I59"/>
    <mergeCell ref="J49:J59"/>
    <mergeCell ref="K25:K29"/>
    <mergeCell ref="F48:F59"/>
    <mergeCell ref="L143:L157"/>
    <mergeCell ref="M143:M157"/>
    <mergeCell ref="H128:H132"/>
    <mergeCell ref="I128:I132"/>
    <mergeCell ref="J128:J132"/>
    <mergeCell ref="A76:A82"/>
    <mergeCell ref="B76:B82"/>
    <mergeCell ref="C8:D8"/>
    <mergeCell ref="E8:E13"/>
    <mergeCell ref="B8:B14"/>
    <mergeCell ref="A8:A14"/>
    <mergeCell ref="L8:L14"/>
    <mergeCell ref="F8:F13"/>
    <mergeCell ref="C14:F14"/>
    <mergeCell ref="A62:A74"/>
    <mergeCell ref="L24:L30"/>
    <mergeCell ref="C24:D24"/>
    <mergeCell ref="C32:D32"/>
    <mergeCell ref="C30:E30"/>
    <mergeCell ref="C38:E38"/>
    <mergeCell ref="C40:D40"/>
    <mergeCell ref="E40:E45"/>
    <mergeCell ref="E32:E37"/>
    <mergeCell ref="E24:E29"/>
    <mergeCell ref="B48:B53"/>
    <mergeCell ref="G8:G13"/>
    <mergeCell ref="A48:A60"/>
    <mergeCell ref="B54:B60"/>
    <mergeCell ref="C68:D68"/>
    <mergeCell ref="E68:E73"/>
    <mergeCell ref="B68:B74"/>
    <mergeCell ref="B62:B67"/>
    <mergeCell ref="B135:B141"/>
    <mergeCell ref="M8:M14"/>
    <mergeCell ref="A24:A30"/>
    <mergeCell ref="B24:B30"/>
    <mergeCell ref="B32:B38"/>
    <mergeCell ref="A32:A38"/>
    <mergeCell ref="A40:A46"/>
    <mergeCell ref="B40:B46"/>
    <mergeCell ref="C54:D54"/>
    <mergeCell ref="C60:E60"/>
    <mergeCell ref="D66:D67"/>
    <mergeCell ref="C62:D62"/>
    <mergeCell ref="E54:E59"/>
    <mergeCell ref="C46:E46"/>
    <mergeCell ref="F135:F140"/>
    <mergeCell ref="F24:F29"/>
    <mergeCell ref="F32:F37"/>
    <mergeCell ref="F40:F45"/>
    <mergeCell ref="M76:M82"/>
    <mergeCell ref="D115:D116"/>
    <mergeCell ref="C48:D48"/>
    <mergeCell ref="E48:E53"/>
    <mergeCell ref="G62:G73"/>
    <mergeCell ref="F62:F73"/>
    <mergeCell ref="H17:H21"/>
    <mergeCell ref="I17:I21"/>
    <mergeCell ref="J17:J21"/>
    <mergeCell ref="H25:H29"/>
    <mergeCell ref="I25:I29"/>
    <mergeCell ref="J25:J29"/>
    <mergeCell ref="F76:F81"/>
    <mergeCell ref="E76:E81"/>
    <mergeCell ref="C148:D148"/>
    <mergeCell ref="C181:D181"/>
    <mergeCell ref="E181:E186"/>
    <mergeCell ref="C151:D151"/>
    <mergeCell ref="E143:E156"/>
    <mergeCell ref="F143:F156"/>
    <mergeCell ref="H144:H156"/>
    <mergeCell ref="I144:I156"/>
    <mergeCell ref="J144:J156"/>
    <mergeCell ref="G143:G156"/>
    <mergeCell ref="F159:F172"/>
    <mergeCell ref="G159:G172"/>
    <mergeCell ref="A159:A173"/>
    <mergeCell ref="C173:E173"/>
    <mergeCell ref="C169:D169"/>
    <mergeCell ref="C170:D170"/>
    <mergeCell ref="C171:D171"/>
    <mergeCell ref="C172:E172"/>
    <mergeCell ref="C162:D162"/>
    <mergeCell ref="C163:D163"/>
    <mergeCell ref="C164:D164"/>
    <mergeCell ref="C165:D165"/>
    <mergeCell ref="C166:D166"/>
    <mergeCell ref="C167:D167"/>
    <mergeCell ref="B159:B173"/>
    <mergeCell ref="H160:H172"/>
    <mergeCell ref="I160:I172"/>
    <mergeCell ref="J160:J172"/>
    <mergeCell ref="C157:F157"/>
    <mergeCell ref="A143:A157"/>
    <mergeCell ref="B143:B157"/>
    <mergeCell ref="C150:D150"/>
    <mergeCell ref="L159:L173"/>
    <mergeCell ref="M159:M173"/>
    <mergeCell ref="M199:M203"/>
    <mergeCell ref="A199:A203"/>
    <mergeCell ref="B199:B203"/>
    <mergeCell ref="C205:D205"/>
    <mergeCell ref="C206:D206"/>
    <mergeCell ref="A205:A211"/>
    <mergeCell ref="B205:B211"/>
    <mergeCell ref="C199:D199"/>
    <mergeCell ref="E199:E202"/>
    <mergeCell ref="C200:D200"/>
    <mergeCell ref="C201:D201"/>
    <mergeCell ref="C202:D202"/>
    <mergeCell ref="C207:D207"/>
    <mergeCell ref="C208:D208"/>
    <mergeCell ref="C209:D209"/>
    <mergeCell ref="C210:D210"/>
    <mergeCell ref="E205:E210"/>
    <mergeCell ref="L205:L211"/>
    <mergeCell ref="M205:M211"/>
    <mergeCell ref="F205:F210"/>
    <mergeCell ref="C203:F203"/>
    <mergeCell ref="F199:F202"/>
    <mergeCell ref="L199:L203"/>
    <mergeCell ref="A175:A187"/>
    <mergeCell ref="C175:D175"/>
    <mergeCell ref="E175:E180"/>
    <mergeCell ref="B175:B187"/>
    <mergeCell ref="C161:D161"/>
    <mergeCell ref="M189:M197"/>
    <mergeCell ref="B189:B197"/>
    <mergeCell ref="C219:D219"/>
    <mergeCell ref="C220:D220"/>
    <mergeCell ref="C223:D223"/>
    <mergeCell ref="C226:F226"/>
    <mergeCell ref="L219:L226"/>
    <mergeCell ref="E219:E225"/>
    <mergeCell ref="F219:F225"/>
    <mergeCell ref="C224:D224"/>
    <mergeCell ref="C225:D225"/>
    <mergeCell ref="L250:L266"/>
    <mergeCell ref="M250:M266"/>
    <mergeCell ref="F250:F265"/>
    <mergeCell ref="E234:E235"/>
    <mergeCell ref="A234:A236"/>
    <mergeCell ref="B234:B236"/>
    <mergeCell ref="M219:M226"/>
    <mergeCell ref="A219:A226"/>
    <mergeCell ref="B219:B226"/>
    <mergeCell ref="C228:D228"/>
    <mergeCell ref="C229:D229"/>
    <mergeCell ref="C230:D230"/>
    <mergeCell ref="C231:D231"/>
    <mergeCell ref="F228:F231"/>
    <mergeCell ref="C232:F232"/>
    <mergeCell ref="L228:L232"/>
    <mergeCell ref="M228:M232"/>
    <mergeCell ref="E228:E231"/>
    <mergeCell ref="C234:D234"/>
    <mergeCell ref="C235:D235"/>
    <mergeCell ref="L234:L236"/>
    <mergeCell ref="C221:D221"/>
    <mergeCell ref="C222:D222"/>
    <mergeCell ref="A213:A217"/>
    <mergeCell ref="B213:B217"/>
    <mergeCell ref="C213:D213"/>
    <mergeCell ref="C214:D214"/>
    <mergeCell ref="C215:D215"/>
    <mergeCell ref="C216:D216"/>
    <mergeCell ref="E213:E216"/>
    <mergeCell ref="C217:F217"/>
    <mergeCell ref="F213:F216"/>
    <mergeCell ref="L213:L217"/>
    <mergeCell ref="M375:M379"/>
    <mergeCell ref="E375:E378"/>
    <mergeCell ref="B367:B373"/>
    <mergeCell ref="C383:D383"/>
    <mergeCell ref="C384:D384"/>
    <mergeCell ref="E250:E265"/>
    <mergeCell ref="E244:E247"/>
    <mergeCell ref="C255:D255"/>
    <mergeCell ref="C256:D256"/>
    <mergeCell ref="C257:D257"/>
    <mergeCell ref="C343:D343"/>
    <mergeCell ref="E343:E348"/>
    <mergeCell ref="B318:B326"/>
    <mergeCell ref="A318:A326"/>
    <mergeCell ref="C328:D328"/>
    <mergeCell ref="E328:E334"/>
    <mergeCell ref="F238:F241"/>
    <mergeCell ref="M286:M309"/>
    <mergeCell ref="C309:F309"/>
    <mergeCell ref="B250:B266"/>
    <mergeCell ref="A250:A266"/>
    <mergeCell ref="A268:A284"/>
    <mergeCell ref="M234:M236"/>
    <mergeCell ref="C236:F236"/>
    <mergeCell ref="C244:D244"/>
    <mergeCell ref="C245:D245"/>
    <mergeCell ref="A244:A248"/>
    <mergeCell ref="B244:B248"/>
    <mergeCell ref="L244:L248"/>
    <mergeCell ref="M244:M248"/>
    <mergeCell ref="A337:A349"/>
    <mergeCell ref="A351:A357"/>
    <mergeCell ref="F387:F390"/>
    <mergeCell ref="B359:B365"/>
    <mergeCell ref="C335:F335"/>
    <mergeCell ref="L328:L335"/>
    <mergeCell ref="M328:M335"/>
    <mergeCell ref="A328:A335"/>
    <mergeCell ref="B328:B335"/>
    <mergeCell ref="F328:F334"/>
    <mergeCell ref="G328:G334"/>
    <mergeCell ref="M238:M242"/>
    <mergeCell ref="C266:F266"/>
    <mergeCell ref="A359:A365"/>
    <mergeCell ref="F359:F364"/>
    <mergeCell ref="L359:L365"/>
    <mergeCell ref="H338:H348"/>
    <mergeCell ref="L286:L309"/>
    <mergeCell ref="C268:D268"/>
    <mergeCell ref="C239:D239"/>
    <mergeCell ref="C240:D240"/>
    <mergeCell ref="B268:B284"/>
    <mergeCell ref="L238:L242"/>
    <mergeCell ref="L387:L391"/>
    <mergeCell ref="B228:B232"/>
    <mergeCell ref="A228:A232"/>
    <mergeCell ref="C250:D250"/>
    <mergeCell ref="C251:D251"/>
    <mergeCell ref="C252:D252"/>
    <mergeCell ref="C253:D253"/>
    <mergeCell ref="C254:D254"/>
    <mergeCell ref="G244:G247"/>
    <mergeCell ref="G250:G265"/>
    <mergeCell ref="G268:G283"/>
    <mergeCell ref="G286:G308"/>
    <mergeCell ref="G311:G315"/>
    <mergeCell ref="B351:B357"/>
    <mergeCell ref="C359:D359"/>
    <mergeCell ref="L393:L400"/>
    <mergeCell ref="M393:M400"/>
    <mergeCell ref="B393:B400"/>
    <mergeCell ref="C379:F379"/>
    <mergeCell ref="L381:L385"/>
    <mergeCell ref="M381:M385"/>
    <mergeCell ref="C387:D387"/>
    <mergeCell ref="C389:D389"/>
    <mergeCell ref="E387:E390"/>
    <mergeCell ref="M387:M391"/>
    <mergeCell ref="C381:D381"/>
    <mergeCell ref="C382:D382"/>
    <mergeCell ref="M367:M373"/>
    <mergeCell ref="C337:D337"/>
    <mergeCell ref="E337:E342"/>
    <mergeCell ref="B387:B391"/>
    <mergeCell ref="C393:D393"/>
    <mergeCell ref="E393:E399"/>
    <mergeCell ref="C442:D442"/>
    <mergeCell ref="M410:M416"/>
    <mergeCell ref="B410:B416"/>
    <mergeCell ref="C418:D418"/>
    <mergeCell ref="E418:E423"/>
    <mergeCell ref="L268:L284"/>
    <mergeCell ref="M268:M284"/>
    <mergeCell ref="C269:D269"/>
    <mergeCell ref="C270:D270"/>
    <mergeCell ref="C271:D271"/>
    <mergeCell ref="C272:D272"/>
    <mergeCell ref="C273:D273"/>
    <mergeCell ref="L418:L424"/>
    <mergeCell ref="B486:B498"/>
    <mergeCell ref="C388:D388"/>
    <mergeCell ref="C390:D390"/>
    <mergeCell ref="B458:B476"/>
    <mergeCell ref="B478:B484"/>
    <mergeCell ref="L311:L316"/>
    <mergeCell ref="M311:M316"/>
    <mergeCell ref="M318:M326"/>
    <mergeCell ref="L318:L326"/>
    <mergeCell ref="E268:E283"/>
    <mergeCell ref="C297:D297"/>
    <mergeCell ref="C298:D298"/>
    <mergeCell ref="C299:D299"/>
    <mergeCell ref="G486:G497"/>
    <mergeCell ref="M337:M349"/>
    <mergeCell ref="I376:I378"/>
    <mergeCell ref="J376:J378"/>
    <mergeCell ref="M351:M357"/>
    <mergeCell ref="L367:L373"/>
    <mergeCell ref="E506:E511"/>
    <mergeCell ref="L426:L432"/>
    <mergeCell ref="L478:L484"/>
    <mergeCell ref="L442:L448"/>
    <mergeCell ref="L351:L357"/>
    <mergeCell ref="A381:A385"/>
    <mergeCell ref="B381:B385"/>
    <mergeCell ref="F381:F384"/>
    <mergeCell ref="L375:L379"/>
    <mergeCell ref="A450:A456"/>
    <mergeCell ref="A418:A424"/>
    <mergeCell ref="A410:A416"/>
    <mergeCell ref="F418:F423"/>
    <mergeCell ref="C424:F424"/>
    <mergeCell ref="A442:A448"/>
    <mergeCell ref="A387:A391"/>
    <mergeCell ref="B450:B456"/>
    <mergeCell ref="C450:D450"/>
    <mergeCell ref="B418:B424"/>
    <mergeCell ref="C426:D426"/>
    <mergeCell ref="D430:D431"/>
    <mergeCell ref="F426:F431"/>
    <mergeCell ref="E426:E431"/>
    <mergeCell ref="C416:F416"/>
    <mergeCell ref="E410:E415"/>
    <mergeCell ref="F410:F415"/>
    <mergeCell ref="B442:B448"/>
    <mergeCell ref="C448:F448"/>
    <mergeCell ref="E492:E497"/>
    <mergeCell ref="C498:F498"/>
    <mergeCell ref="E442:E447"/>
    <mergeCell ref="A478:A484"/>
    <mergeCell ref="C524:D524"/>
    <mergeCell ref="E524:E529"/>
    <mergeCell ref="C530:F530"/>
    <mergeCell ref="F402:F407"/>
    <mergeCell ref="C432:F432"/>
    <mergeCell ref="L410:L416"/>
    <mergeCell ref="M546:M564"/>
    <mergeCell ref="J547:J563"/>
    <mergeCell ref="C512:D512"/>
    <mergeCell ref="E512:E517"/>
    <mergeCell ref="C456:F456"/>
    <mergeCell ref="C458:D458"/>
    <mergeCell ref="E458:E463"/>
    <mergeCell ref="C408:F408"/>
    <mergeCell ref="C464:D464"/>
    <mergeCell ref="E464:E469"/>
    <mergeCell ref="C486:D486"/>
    <mergeCell ref="E486:E491"/>
    <mergeCell ref="C470:D470"/>
    <mergeCell ref="G538:G543"/>
    <mergeCell ref="C552:D552"/>
    <mergeCell ref="E552:E557"/>
    <mergeCell ref="C558:D558"/>
    <mergeCell ref="E558:E563"/>
    <mergeCell ref="C564:F564"/>
    <mergeCell ref="C476:F476"/>
    <mergeCell ref="C478:D478"/>
    <mergeCell ref="D516:D517"/>
    <mergeCell ref="D522:D523"/>
    <mergeCell ref="C506:D506"/>
    <mergeCell ref="L546:L564"/>
    <mergeCell ref="L538:L544"/>
    <mergeCell ref="A809:A840"/>
    <mergeCell ref="C814:D814"/>
    <mergeCell ref="C815:D815"/>
    <mergeCell ref="C816:D816"/>
    <mergeCell ref="C817:D817"/>
    <mergeCell ref="C818:D818"/>
    <mergeCell ref="C819:C821"/>
    <mergeCell ref="C822:C824"/>
    <mergeCell ref="A682:A693"/>
    <mergeCell ref="B682:B693"/>
    <mergeCell ref="C680:F680"/>
    <mergeCell ref="C700:D700"/>
    <mergeCell ref="C701:D701"/>
    <mergeCell ref="C702:D702"/>
    <mergeCell ref="A695:A706"/>
    <mergeCell ref="C578:D578"/>
    <mergeCell ref="C538:D538"/>
    <mergeCell ref="F538:F543"/>
    <mergeCell ref="C544:F544"/>
    <mergeCell ref="E538:E543"/>
    <mergeCell ref="B546:B564"/>
    <mergeCell ref="A538:A544"/>
    <mergeCell ref="A566:A568"/>
    <mergeCell ref="B566:B568"/>
    <mergeCell ref="E566:E567"/>
    <mergeCell ref="C566:D566"/>
    <mergeCell ref="C567:D567"/>
    <mergeCell ref="C606:D606"/>
    <mergeCell ref="F606:F611"/>
    <mergeCell ref="C626:D626"/>
    <mergeCell ref="C632:F632"/>
    <mergeCell ref="E626:E631"/>
    <mergeCell ref="L708:L720"/>
    <mergeCell ref="M708:M720"/>
    <mergeCell ref="C720:F720"/>
    <mergeCell ref="A708:A720"/>
    <mergeCell ref="B708:B720"/>
    <mergeCell ref="C709:D709"/>
    <mergeCell ref="C710:D710"/>
    <mergeCell ref="C711:D711"/>
    <mergeCell ref="C712:D712"/>
    <mergeCell ref="C713:D713"/>
    <mergeCell ref="C714:D714"/>
    <mergeCell ref="C715:D715"/>
    <mergeCell ref="C717:D717"/>
    <mergeCell ref="C716:D716"/>
    <mergeCell ref="C696:D696"/>
    <mergeCell ref="C697:D697"/>
    <mergeCell ref="C698:D698"/>
    <mergeCell ref="C699:D699"/>
    <mergeCell ref="B695:B706"/>
    <mergeCell ref="M695:M706"/>
    <mergeCell ref="C706:F706"/>
    <mergeCell ref="C708:D708"/>
    <mergeCell ref="A458:A476"/>
    <mergeCell ref="A486:A498"/>
    <mergeCell ref="B500:B530"/>
    <mergeCell ref="C518:D518"/>
    <mergeCell ref="A842:A888"/>
    <mergeCell ref="M842:M888"/>
    <mergeCell ref="C890:D890"/>
    <mergeCell ref="L890:L913"/>
    <mergeCell ref="A890:A913"/>
    <mergeCell ref="E890:E904"/>
    <mergeCell ref="C872:C876"/>
    <mergeCell ref="C877:C881"/>
    <mergeCell ref="C882:C886"/>
    <mergeCell ref="C887:F887"/>
    <mergeCell ref="C888:F888"/>
    <mergeCell ref="F842:F886"/>
    <mergeCell ref="E842:E886"/>
    <mergeCell ref="C851:D851"/>
    <mergeCell ref="C852:C856"/>
    <mergeCell ref="C857:C861"/>
    <mergeCell ref="C862:C866"/>
    <mergeCell ref="C867:C871"/>
    <mergeCell ref="L842:L888"/>
    <mergeCell ref="C842:D842"/>
    <mergeCell ref="C843:D843"/>
    <mergeCell ref="C844:D844"/>
    <mergeCell ref="C675:D675"/>
    <mergeCell ref="C676:D676"/>
    <mergeCell ref="C677:D677"/>
    <mergeCell ref="F670:F677"/>
    <mergeCell ref="C683:D683"/>
    <mergeCell ref="C684:D684"/>
    <mergeCell ref="A915:A922"/>
    <mergeCell ref="M915:M922"/>
    <mergeCell ref="A1:M1"/>
    <mergeCell ref="A2:M2"/>
    <mergeCell ref="A4:M4"/>
    <mergeCell ref="A16:A22"/>
    <mergeCell ref="B16:B22"/>
    <mergeCell ref="C16:D16"/>
    <mergeCell ref="E16:E21"/>
    <mergeCell ref="F16:F21"/>
    <mergeCell ref="L16:L22"/>
    <mergeCell ref="M16:M22"/>
    <mergeCell ref="C22:E22"/>
    <mergeCell ref="C74:F74"/>
    <mergeCell ref="C109:F109"/>
    <mergeCell ref="C143:D143"/>
    <mergeCell ref="C144:D144"/>
    <mergeCell ref="C145:D145"/>
    <mergeCell ref="C915:D915"/>
    <mergeCell ref="C916:D916"/>
    <mergeCell ref="C917:D917"/>
    <mergeCell ref="A238:A242"/>
    <mergeCell ref="B238:B242"/>
    <mergeCell ref="C238:D238"/>
    <mergeCell ref="E318:E325"/>
    <mergeCell ref="B286:B309"/>
    <mergeCell ref="A286:A309"/>
    <mergeCell ref="C329:D329"/>
    <mergeCell ref="C311:D311"/>
    <mergeCell ref="C312:D312"/>
    <mergeCell ref="C313:D313"/>
    <mergeCell ref="C825:C827"/>
    <mergeCell ref="G670:G677"/>
    <mergeCell ref="G682:G689"/>
    <mergeCell ref="L532:L536"/>
    <mergeCell ref="C536:F536"/>
    <mergeCell ref="C287:D287"/>
    <mergeCell ref="C288:D288"/>
    <mergeCell ref="C289:D289"/>
    <mergeCell ref="L670:L680"/>
    <mergeCell ref="M670:M680"/>
    <mergeCell ref="E670:E677"/>
    <mergeCell ref="I591:I595"/>
    <mergeCell ref="H571:H575"/>
    <mergeCell ref="I571:I575"/>
    <mergeCell ref="G570:G575"/>
    <mergeCell ref="A940:A946"/>
    <mergeCell ref="B940:B946"/>
    <mergeCell ref="C940:D940"/>
    <mergeCell ref="C320:D320"/>
    <mergeCell ref="C323:D323"/>
    <mergeCell ref="C845:D845"/>
    <mergeCell ref="C809:D809"/>
    <mergeCell ref="C810:D810"/>
    <mergeCell ref="L682:L693"/>
    <mergeCell ref="M682:M693"/>
    <mergeCell ref="E682:E689"/>
    <mergeCell ref="C695:D695"/>
    <mergeCell ref="E695:E702"/>
    <mergeCell ref="F695:F702"/>
    <mergeCell ref="H547:H563"/>
    <mergeCell ref="I547:I563"/>
    <mergeCell ref="C394:D394"/>
    <mergeCell ref="L695:L706"/>
    <mergeCell ref="A948:A954"/>
    <mergeCell ref="B948:B954"/>
    <mergeCell ref="C948:D948"/>
    <mergeCell ref="F234:F235"/>
    <mergeCell ref="C322:D322"/>
    <mergeCell ref="C324:D324"/>
    <mergeCell ref="C316:F316"/>
    <mergeCell ref="C326:F326"/>
    <mergeCell ref="E311:E315"/>
    <mergeCell ref="F311:F315"/>
    <mergeCell ref="E924:E929"/>
    <mergeCell ref="F924:F929"/>
    <mergeCell ref="E932:E937"/>
    <mergeCell ref="F932:F937"/>
    <mergeCell ref="B842:B888"/>
    <mergeCell ref="B782:B807"/>
    <mergeCell ref="E782:E805"/>
    <mergeCell ref="C783:D783"/>
    <mergeCell ref="C784:D784"/>
    <mergeCell ref="B337:B349"/>
    <mergeCell ref="B311:B316"/>
    <mergeCell ref="A924:A930"/>
    <mergeCell ref="B924:B930"/>
    <mergeCell ref="C924:D924"/>
    <mergeCell ref="A932:A938"/>
    <mergeCell ref="B932:B938"/>
    <mergeCell ref="C932:D932"/>
    <mergeCell ref="A311:A316"/>
    <mergeCell ref="C314:D314"/>
    <mergeCell ref="F318:F325"/>
    <mergeCell ref="C318:D318"/>
    <mergeCell ref="C319:D319"/>
    <mergeCell ref="M538:M544"/>
    <mergeCell ref="C365:F365"/>
    <mergeCell ref="C349:F349"/>
    <mergeCell ref="M442:M448"/>
    <mergeCell ref="M418:M424"/>
    <mergeCell ref="G318:G325"/>
    <mergeCell ref="E518:E523"/>
    <mergeCell ref="C535:D535"/>
    <mergeCell ref="L940:L946"/>
    <mergeCell ref="M940:M946"/>
    <mergeCell ref="L948:L954"/>
    <mergeCell ref="M948:M954"/>
    <mergeCell ref="C918:D918"/>
    <mergeCell ref="C919:D919"/>
    <mergeCell ref="C920:D920"/>
    <mergeCell ref="L915:L922"/>
    <mergeCell ref="E809:E838"/>
    <mergeCell ref="E940:E945"/>
    <mergeCell ref="F940:F945"/>
    <mergeCell ref="E948:E953"/>
    <mergeCell ref="F948:F953"/>
    <mergeCell ref="C930:F930"/>
    <mergeCell ref="C938:F938"/>
    <mergeCell ref="J949:J953"/>
    <mergeCell ref="L924:L930"/>
    <mergeCell ref="M924:M930"/>
    <mergeCell ref="L932:L938"/>
    <mergeCell ref="M932:M938"/>
    <mergeCell ref="M890:M913"/>
    <mergeCell ref="F890:F912"/>
    <mergeCell ref="C913:F913"/>
    <mergeCell ref="L809:L840"/>
    <mergeCell ref="M809:M840"/>
    <mergeCell ref="G924:G929"/>
    <mergeCell ref="G932:G937"/>
    <mergeCell ref="G940:G945"/>
    <mergeCell ref="G948:G953"/>
    <mergeCell ref="H949:H953"/>
    <mergeCell ref="I949:I953"/>
    <mergeCell ref="C954:F954"/>
    <mergeCell ref="C846:D846"/>
    <mergeCell ref="C847:D847"/>
    <mergeCell ref="C848:D848"/>
    <mergeCell ref="C849:D849"/>
    <mergeCell ref="C850:D850"/>
    <mergeCell ref="C806:F806"/>
    <mergeCell ref="C807:F807"/>
    <mergeCell ref="F915:F921"/>
    <mergeCell ref="C922:F922"/>
    <mergeCell ref="E915:E921"/>
    <mergeCell ref="C946:F946"/>
    <mergeCell ref="L782:L807"/>
    <mergeCell ref="M782:M807"/>
    <mergeCell ref="H843:H886"/>
    <mergeCell ref="I843:I886"/>
    <mergeCell ref="J843:J886"/>
    <mergeCell ref="H891:H904"/>
    <mergeCell ref="I891:I904"/>
    <mergeCell ref="J891:J904"/>
    <mergeCell ref="H916:H920"/>
    <mergeCell ref="I916:I920"/>
    <mergeCell ref="J916:J920"/>
    <mergeCell ref="H925:H929"/>
    <mergeCell ref="I925:I929"/>
    <mergeCell ref="B915:B922"/>
    <mergeCell ref="B890:B913"/>
    <mergeCell ref="C828:D828"/>
    <mergeCell ref="C829:D829"/>
    <mergeCell ref="C830:D830"/>
    <mergeCell ref="B578:B588"/>
    <mergeCell ref="B538:B544"/>
    <mergeCell ref="E478:E483"/>
    <mergeCell ref="F478:F483"/>
    <mergeCell ref="F375:F378"/>
    <mergeCell ref="G890:G912"/>
    <mergeCell ref="G915:G921"/>
    <mergeCell ref="C376:D376"/>
    <mergeCell ref="C377:D377"/>
    <mergeCell ref="C378:D378"/>
    <mergeCell ref="C351:D351"/>
    <mergeCell ref="C357:F357"/>
    <mergeCell ref="E351:E356"/>
    <mergeCell ref="F351:F356"/>
    <mergeCell ref="F442:F447"/>
    <mergeCell ref="E450:E455"/>
    <mergeCell ref="F450:F455"/>
    <mergeCell ref="C391:F391"/>
    <mergeCell ref="C580:E580"/>
    <mergeCell ref="C587:E587"/>
    <mergeCell ref="C839:F839"/>
    <mergeCell ref="C840:F840"/>
    <mergeCell ref="C811:D811"/>
    <mergeCell ref="C812:D812"/>
    <mergeCell ref="C813:D813"/>
    <mergeCell ref="B809:B840"/>
    <mergeCell ref="F809:F838"/>
    <mergeCell ref="E532:E535"/>
    <mergeCell ref="F532:F535"/>
    <mergeCell ref="C492:D492"/>
    <mergeCell ref="E286:E308"/>
    <mergeCell ref="C321:D321"/>
    <mergeCell ref="E238:E241"/>
    <mergeCell ref="C286:D286"/>
    <mergeCell ref="G76:G81"/>
    <mergeCell ref="C211:F211"/>
    <mergeCell ref="E62:E67"/>
    <mergeCell ref="E159:E167"/>
    <mergeCell ref="E169:E171"/>
    <mergeCell ref="G199:G202"/>
    <mergeCell ref="G219:G225"/>
    <mergeCell ref="G205:G210"/>
    <mergeCell ref="G127:G132"/>
    <mergeCell ref="G119:G124"/>
    <mergeCell ref="G111:G116"/>
    <mergeCell ref="F286:F308"/>
    <mergeCell ref="C290:D290"/>
    <mergeCell ref="C291:D291"/>
    <mergeCell ref="C292:D292"/>
    <mergeCell ref="C293:D293"/>
    <mergeCell ref="C274:D274"/>
    <mergeCell ref="C275:D275"/>
    <mergeCell ref="C284:F284"/>
    <mergeCell ref="C246:D246"/>
    <mergeCell ref="C247:D247"/>
    <mergeCell ref="F268:F283"/>
    <mergeCell ref="C294:D294"/>
    <mergeCell ref="C295:D295"/>
    <mergeCell ref="C296:D296"/>
    <mergeCell ref="K17:K21"/>
    <mergeCell ref="H459:H475"/>
    <mergeCell ref="I459:I475"/>
    <mergeCell ref="J459:J475"/>
    <mergeCell ref="G695:G702"/>
    <mergeCell ref="G708:G717"/>
    <mergeCell ref="G722:G731"/>
    <mergeCell ref="G734:G740"/>
    <mergeCell ref="G745:G750"/>
    <mergeCell ref="G753:G778"/>
    <mergeCell ref="G782:G805"/>
    <mergeCell ref="G809:G838"/>
    <mergeCell ref="G842:G886"/>
    <mergeCell ref="K182:K186"/>
    <mergeCell ref="F500:F529"/>
    <mergeCell ref="G500:G529"/>
    <mergeCell ref="H501:H529"/>
    <mergeCell ref="I501:I529"/>
    <mergeCell ref="J501:J529"/>
    <mergeCell ref="G16:G21"/>
    <mergeCell ref="G24:G29"/>
    <mergeCell ref="G32:G37"/>
    <mergeCell ref="G40:G45"/>
    <mergeCell ref="I120:I124"/>
    <mergeCell ref="J120:J124"/>
    <mergeCell ref="J579:J587"/>
    <mergeCell ref="F244:F247"/>
    <mergeCell ref="C248:F248"/>
    <mergeCell ref="C241:D241"/>
    <mergeCell ref="C242:F242"/>
    <mergeCell ref="C147:D147"/>
    <mergeCell ref="C300:D300"/>
    <mergeCell ref="H200:H202"/>
    <mergeCell ref="I200:I202"/>
    <mergeCell ref="J200:J202"/>
    <mergeCell ref="H206:H210"/>
    <mergeCell ref="I206:I210"/>
    <mergeCell ref="J206:J210"/>
    <mergeCell ref="H220:H225"/>
    <mergeCell ref="I220:I225"/>
    <mergeCell ref="J220:J225"/>
    <mergeCell ref="H229:H231"/>
    <mergeCell ref="I229:I231"/>
    <mergeCell ref="J229:J231"/>
    <mergeCell ref="H239:H241"/>
    <mergeCell ref="I239:I241"/>
    <mergeCell ref="J239:J241"/>
    <mergeCell ref="H245:H247"/>
    <mergeCell ref="I245:I247"/>
    <mergeCell ref="J245:J247"/>
    <mergeCell ref="H287:H300"/>
    <mergeCell ref="I287:I300"/>
    <mergeCell ref="J287:J300"/>
    <mergeCell ref="H312:H314"/>
    <mergeCell ref="I312:I314"/>
    <mergeCell ref="J312:J314"/>
    <mergeCell ref="H319:H324"/>
    <mergeCell ref="I319:I324"/>
    <mergeCell ref="J319:J324"/>
    <mergeCell ref="H329:H334"/>
    <mergeCell ref="I329:I334"/>
    <mergeCell ref="J329:J334"/>
    <mergeCell ref="K330:K334"/>
    <mergeCell ref="K338:K342"/>
    <mergeCell ref="K344:K348"/>
    <mergeCell ref="H382:H384"/>
    <mergeCell ref="I382:I384"/>
    <mergeCell ref="J382:J384"/>
    <mergeCell ref="H388:H390"/>
    <mergeCell ref="I388:I390"/>
    <mergeCell ref="J388:J390"/>
    <mergeCell ref="H394:H399"/>
    <mergeCell ref="I394:I399"/>
    <mergeCell ref="J394:J399"/>
    <mergeCell ref="K395:K399"/>
    <mergeCell ref="H403:H407"/>
    <mergeCell ref="I403:I407"/>
    <mergeCell ref="J403:J407"/>
    <mergeCell ref="K403:K407"/>
    <mergeCell ref="H411:H415"/>
    <mergeCell ref="I411:I415"/>
    <mergeCell ref="J411:J415"/>
    <mergeCell ref="K411:K415"/>
    <mergeCell ref="K487:K491"/>
    <mergeCell ref="K493:K497"/>
    <mergeCell ref="K501:K505"/>
    <mergeCell ref="K507:K511"/>
    <mergeCell ref="K513:K517"/>
    <mergeCell ref="K519:K523"/>
    <mergeCell ref="K525:K529"/>
    <mergeCell ref="H533:H535"/>
    <mergeCell ref="I533:I535"/>
    <mergeCell ref="J533:J535"/>
    <mergeCell ref="H539:H543"/>
    <mergeCell ref="I539:I543"/>
    <mergeCell ref="J539:J543"/>
    <mergeCell ref="K539:K543"/>
    <mergeCell ref="K547:K551"/>
    <mergeCell ref="K553:K557"/>
    <mergeCell ref="K559:K563"/>
    <mergeCell ref="K571:K575"/>
    <mergeCell ref="K582:K586"/>
    <mergeCell ref="I746:I750"/>
    <mergeCell ref="J746:J750"/>
    <mergeCell ref="K746:K750"/>
    <mergeCell ref="H754:H778"/>
    <mergeCell ref="I754:I778"/>
    <mergeCell ref="J754:J778"/>
    <mergeCell ref="H783:H805"/>
    <mergeCell ref="I783:I805"/>
    <mergeCell ref="J783:J805"/>
    <mergeCell ref="H810:H830"/>
    <mergeCell ref="I810:I830"/>
    <mergeCell ref="J810:J830"/>
    <mergeCell ref="K643:K647"/>
    <mergeCell ref="H663:H667"/>
    <mergeCell ref="I663:I667"/>
    <mergeCell ref="J663:J667"/>
    <mergeCell ref="K663:K667"/>
    <mergeCell ref="H671:H677"/>
    <mergeCell ref="I671:I677"/>
    <mergeCell ref="J671:J677"/>
    <mergeCell ref="H683:H689"/>
    <mergeCell ref="I683:I689"/>
    <mergeCell ref="J683:J689"/>
    <mergeCell ref="H696:H702"/>
    <mergeCell ref="I696:I702"/>
    <mergeCell ref="J696:J702"/>
    <mergeCell ref="H709:H717"/>
    <mergeCell ref="I709:I717"/>
    <mergeCell ref="J709:J717"/>
    <mergeCell ref="J925:J929"/>
    <mergeCell ref="K925:K929"/>
    <mergeCell ref="H933:H937"/>
    <mergeCell ref="I933:I937"/>
    <mergeCell ref="J933:J937"/>
    <mergeCell ref="K933:K937"/>
    <mergeCell ref="H941:H945"/>
    <mergeCell ref="I941:I945"/>
    <mergeCell ref="J941:J945"/>
    <mergeCell ref="K941:K945"/>
    <mergeCell ref="K949:K953"/>
    <mergeCell ref="K112:K116"/>
    <mergeCell ref="K120:K124"/>
    <mergeCell ref="K63:K67"/>
    <mergeCell ref="K69:K73"/>
    <mergeCell ref="H9:H13"/>
    <mergeCell ref="I9:I13"/>
    <mergeCell ref="J9:J13"/>
    <mergeCell ref="K9:K13"/>
    <mergeCell ref="H41:H45"/>
    <mergeCell ref="I41:I45"/>
    <mergeCell ref="J41:J45"/>
    <mergeCell ref="K41:K45"/>
    <mergeCell ref="K49:K53"/>
    <mergeCell ref="K55:K59"/>
    <mergeCell ref="H723:H731"/>
    <mergeCell ref="I723:I731"/>
    <mergeCell ref="J723:J731"/>
    <mergeCell ref="H735:H740"/>
    <mergeCell ref="I735:I740"/>
    <mergeCell ref="J735:J740"/>
    <mergeCell ref="H746:H750"/>
  </mergeCells>
  <conditionalFormatting sqref="K558 K552 K337 K343 K351 K359 K367 K16 K402 K410 K418 K426 K434 K442 K450 K458 K464 K470 K478 K486 K492 K500 K524 K538 K546 K570 K581 K590 K598 K606 K618 K626 K634 K642 K650 K662 K745 K328 K151 K181 K175 K8 K24 K32 K40 K48 K62 K76 K111 K119 K127 K135 K393">
    <cfRule type="expression" dxfId="46" priority="94">
      <formula>OR(ISBLANK(K8),K8&lt;0,K8&gt;4)</formula>
    </cfRule>
  </conditionalFormatting>
  <conditionalFormatting sqref="K924">
    <cfRule type="expression" dxfId="45" priority="9">
      <formula>OR(ISBLANK(K924),K924&lt;0,K924&gt;4)</formula>
    </cfRule>
  </conditionalFormatting>
  <conditionalFormatting sqref="K932">
    <cfRule type="expression" dxfId="44" priority="8">
      <formula>OR(ISBLANK(K932),K932&lt;0,K932&gt;4)</formula>
    </cfRule>
  </conditionalFormatting>
  <conditionalFormatting sqref="K940">
    <cfRule type="expression" dxfId="43" priority="7">
      <formula>OR(ISBLANK(K940),K940&lt;0,K940&gt;4)</formula>
    </cfRule>
  </conditionalFormatting>
  <conditionalFormatting sqref="K948">
    <cfRule type="expression" dxfId="42" priority="6">
      <formula>OR(ISBLANK(K948),K948&lt;0,K948&gt;4)</formula>
    </cfRule>
  </conditionalFormatting>
  <conditionalFormatting sqref="K506">
    <cfRule type="expression" dxfId="41" priority="5">
      <formula>OR(ISBLANK(K506),K506&lt;0,K506&gt;4)</formula>
    </cfRule>
  </conditionalFormatting>
  <conditionalFormatting sqref="K512">
    <cfRule type="expression" dxfId="40" priority="4">
      <formula>OR(ISBLANK(K512),K512&lt;0,K512&gt;4)</formula>
    </cfRule>
  </conditionalFormatting>
  <conditionalFormatting sqref="K518">
    <cfRule type="expression" dxfId="39" priority="3">
      <formula>OR(ISBLANK(K518),K518&lt;0,K518&gt;4)</formula>
    </cfRule>
  </conditionalFormatting>
  <conditionalFormatting sqref="K68">
    <cfRule type="expression" dxfId="38" priority="2">
      <formula>OR(ISBLANK(K68),K68&lt;0,K68&gt;4)</formula>
    </cfRule>
  </conditionalFormatting>
  <conditionalFormatting sqref="K54">
    <cfRule type="expression" dxfId="37" priority="1">
      <formula>OR(ISBLANK(K54),K54&lt;0,K54&gt;4)</formula>
    </cfRule>
  </conditionalFormatting>
  <dataValidations count="2">
    <dataValidation type="list" allowBlank="1" showInputMessage="1" showErrorMessage="1" promptTitle="Penjelasan" prompt="A = Sangat Kecil_x000a_B = Kecil_x000a_C = Sedang_x000a_D = Besar_x000a_E = Sangat Besar" sqref="H8 H16 H24 H32 H40 H48 H62 H76 H84 H111 H119 H127 H135 H143 H159 H175 H189 H199 H205 H219 H228 H234 H238 H244 H250 H268 H286 H311 H318 H328 H337 H375 H381 H387 H393 H402 H410 H458 H478 H486 H500 H532 H538 H546 H566 H570 H578 H590 H614 H642 H658 H662 H670 H682 H695 H708 H722 H734 H745 H753 H782 H809 H842 H890 H915 H924 H932 H940 H948">
      <formula1>"A,B,C,D,E"</formula1>
    </dataValidation>
    <dataValidation type="list" allowBlank="1" showInputMessage="1" showErrorMessage="1" promptTitle="Penjelasan" prompt="1 = Tidak Signifikan_x000a_2 = Minor_x000a_3 = Medium_x000a_4 = Signifikan_x000a_5 = Malapetaka" sqref="I8 I16 I24 I32 I40 I48 I62 I76 I84 I111 I119 I127 I135 I143 I159 I175 I189 I199 I205 I219 I228 I234 I238 I244 I250 I268 I286 I311 I318 I328 I337 I375 I381 I387 I393 I402 I410 I458 I478 I486 I500 I532 I538 I546 I566 I570 I578 I590 I614 I642 I658 I662 I670 I682 I695 I708 I722 I734 I745 I753 I782 I809 I842 I890 I915 I924 I932 I940 I948">
      <formula1>"1,2,3,4,5"</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97"/>
  <sheetViews>
    <sheetView topLeftCell="B1" zoomScale="110" zoomScaleNormal="110" workbookViewId="0">
      <pane xSplit="1" ySplit="12" topLeftCell="C13" activePane="bottomRight" state="frozen"/>
      <selection activeCell="B1" sqref="B1"/>
      <selection pane="topRight" activeCell="C1" sqref="C1"/>
      <selection pane="bottomLeft" activeCell="B13" sqref="B13"/>
      <selection pane="bottomRight" activeCell="F38" sqref="F38"/>
    </sheetView>
  </sheetViews>
  <sheetFormatPr defaultColWidth="8.5703125" defaultRowHeight="15.75" x14ac:dyDescent="0.25"/>
  <cols>
    <col min="1" max="1" width="5.7109375" style="54" hidden="1" customWidth="1"/>
    <col min="2" max="2" width="5.7109375" style="55" customWidth="1"/>
    <col min="3" max="3" width="28" style="56" customWidth="1"/>
    <col min="4" max="5" width="37" style="56" customWidth="1"/>
    <col min="6" max="6" width="8.5703125" style="57" customWidth="1"/>
    <col min="7" max="7" width="9" style="54" bestFit="1" customWidth="1"/>
    <col min="8" max="9" width="8.7109375" style="54" customWidth="1"/>
    <col min="10" max="12" width="8.5703125" style="56" customWidth="1"/>
    <col min="13" max="13" width="8.5703125" style="54" customWidth="1"/>
    <col min="14" max="14" width="8.5703125" style="54"/>
    <col min="15" max="15" width="8.5703125" style="54" customWidth="1"/>
    <col min="16" max="16384" width="8.5703125" style="54"/>
  </cols>
  <sheetData>
    <row r="1" spans="1:18" s="15" customFormat="1" ht="15" x14ac:dyDescent="0.25">
      <c r="B1" s="419" t="s">
        <v>11</v>
      </c>
      <c r="C1" s="419"/>
      <c r="D1" s="419"/>
      <c r="E1" s="419"/>
      <c r="F1" s="419"/>
      <c r="H1" s="419" t="s">
        <v>12</v>
      </c>
      <c r="I1" s="419"/>
      <c r="J1" s="419"/>
      <c r="K1" s="419"/>
      <c r="L1" s="419"/>
      <c r="M1" s="16"/>
    </row>
    <row r="2" spans="1:18" s="15" customFormat="1" ht="15" x14ac:dyDescent="0.25">
      <c r="B2" s="419" t="s">
        <v>996</v>
      </c>
      <c r="C2" s="419"/>
      <c r="D2" s="419"/>
      <c r="E2" s="419"/>
      <c r="F2" s="419"/>
      <c r="H2" s="419" t="s">
        <v>996</v>
      </c>
      <c r="I2" s="419"/>
      <c r="J2" s="419"/>
      <c r="K2" s="419"/>
      <c r="L2" s="419"/>
      <c r="M2" s="16"/>
    </row>
    <row r="3" spans="1:18" s="15" customFormat="1" ht="15" x14ac:dyDescent="0.25">
      <c r="B3" s="419" t="str">
        <f>'Kertas Kerja'!A2</f>
        <v>PROGRAM SARJANA</v>
      </c>
      <c r="C3" s="419"/>
      <c r="D3" s="419"/>
      <c r="E3" s="419"/>
      <c r="F3" s="419"/>
      <c r="H3" s="419" t="str">
        <f>B3</f>
        <v>PROGRAM SARJANA</v>
      </c>
      <c r="I3" s="419"/>
      <c r="J3" s="419"/>
      <c r="K3" s="419"/>
      <c r="L3" s="419"/>
      <c r="M3" s="16"/>
    </row>
    <row r="4" spans="1:18" s="15" customFormat="1" ht="15" x14ac:dyDescent="0.25">
      <c r="B4" s="17"/>
      <c r="C4" s="17"/>
      <c r="D4" s="17"/>
      <c r="E4" s="17"/>
      <c r="F4" s="17"/>
      <c r="J4" s="18"/>
      <c r="K4" s="18"/>
      <c r="L4" s="18"/>
      <c r="M4" s="18"/>
      <c r="N4" s="18"/>
    </row>
    <row r="5" spans="1:18" s="15" customFormat="1" ht="15" x14ac:dyDescent="0.25">
      <c r="B5" s="420" t="s">
        <v>13</v>
      </c>
      <c r="C5" s="420"/>
      <c r="D5" s="420"/>
      <c r="E5" s="420"/>
      <c r="F5" s="420"/>
      <c r="H5" s="421" t="s">
        <v>14</v>
      </c>
      <c r="I5" s="421"/>
      <c r="J5" s="421"/>
      <c r="K5" s="19"/>
      <c r="L5" s="418">
        <f>SUM(I13:I87)</f>
        <v>47.477226813590448</v>
      </c>
      <c r="M5" s="418"/>
      <c r="N5" s="18"/>
      <c r="O5" s="423" t="s">
        <v>917</v>
      </c>
      <c r="P5" s="423"/>
      <c r="Q5" s="418" t="str">
        <f>IF(L8="TERPENUHI",IF((IF(L5&gt;=361,"UNGGUL",IF(L5&gt;=301,"BAIK SEKALI",IF(L5&gt;=200,"BAIK","TIDAK TERAKREDITASI"))))="UNGGUL",IF(AND(F30&gt;=3.5,F32&gt;=3.5,F76&gt;=3.5,F77&gt;=3.5),"UNGGUL","BAIK SEKALI"),IF((IF(L5&gt;=361,"UNGGUL",IF(L5&gt;=301,"BAIK SEKALI",IF(L5&gt;=200,"BAIK","TIDAK TERAKREDITASI"))))="BAIK SEKALI",IF(AND(F30&gt;=3,F32&gt;=3,F76&gt;=3,F77&gt;=3),"BAIK SEKALI","BAIK"),IF((IF(L5&gt;=361,"UNGGUL",IF(L5&gt;=301,"BAIK SEKALI",IF(L5&gt;=200,"BAIK","TIDAK TERAKREDITASI"))))="BAIK","BAIK","-"))),"-")</f>
        <v>-</v>
      </c>
      <c r="R5" s="418"/>
    </row>
    <row r="6" spans="1:18" s="15" customFormat="1" ht="15" x14ac:dyDescent="0.25">
      <c r="B6" s="20"/>
      <c r="C6" s="18"/>
      <c r="D6" s="21"/>
      <c r="E6" s="21"/>
      <c r="F6" s="22"/>
      <c r="H6" s="421"/>
      <c r="I6" s="421"/>
      <c r="J6" s="421"/>
      <c r="K6" s="19"/>
      <c r="L6" s="418"/>
      <c r="M6" s="418"/>
      <c r="N6" s="18"/>
      <c r="O6" s="423"/>
      <c r="P6" s="423"/>
      <c r="Q6" s="418"/>
      <c r="R6" s="418"/>
    </row>
    <row r="7" spans="1:18" s="15" customFormat="1" ht="15" x14ac:dyDescent="0.25">
      <c r="B7" s="428" t="s">
        <v>15</v>
      </c>
      <c r="C7" s="428"/>
      <c r="D7" s="24" t="str">
        <f>'Isian Prodi'!C5</f>
        <v>Prodi A</v>
      </c>
      <c r="E7" s="24"/>
      <c r="F7" s="24"/>
      <c r="N7" s="18"/>
      <c r="O7" s="18"/>
    </row>
    <row r="8" spans="1:18" s="15" customFormat="1" ht="15" x14ac:dyDescent="0.25">
      <c r="B8" s="428" t="s">
        <v>1074</v>
      </c>
      <c r="C8" s="428"/>
      <c r="D8" s="264"/>
      <c r="E8" s="24"/>
      <c r="F8" s="24"/>
      <c r="H8" s="15" t="s">
        <v>16</v>
      </c>
      <c r="I8" s="25"/>
      <c r="L8" s="421" t="str">
        <f>IF(AND(K24="TERPENUHI",K29="TERPENUHI",K53="TERPENUHI"),"TERPENUHI","TIDAK TERPENUHI")</f>
        <v>TIDAK TERPENUHI</v>
      </c>
      <c r="M8" s="421"/>
      <c r="N8" s="421"/>
      <c r="O8" s="421"/>
    </row>
    <row r="9" spans="1:18" s="15" customFormat="1" ht="15" x14ac:dyDescent="0.25">
      <c r="B9" s="23"/>
      <c r="C9" s="18"/>
      <c r="D9" s="265"/>
      <c r="E9" s="26"/>
      <c r="F9" s="24"/>
      <c r="H9" s="15" t="s">
        <v>17</v>
      </c>
      <c r="I9" s="25"/>
      <c r="L9" s="421" t="str">
        <f>IF(AND(M30="TERPENUHI",M32="TERPENUHI",M76="TERPENUHI",M77="TERPENUHI"),"TERPENUHI","TIDAK TERPENUHI")</f>
        <v>TIDAK TERPENUHI</v>
      </c>
      <c r="M9" s="421"/>
      <c r="N9" s="421"/>
      <c r="O9" s="421"/>
    </row>
    <row r="10" spans="1:18" s="15" customFormat="1" ht="15" x14ac:dyDescent="0.25">
      <c r="B10" s="23" t="s">
        <v>18</v>
      </c>
      <c r="C10" s="18"/>
      <c r="D10" s="266"/>
      <c r="E10" s="27"/>
      <c r="F10" s="24"/>
      <c r="H10" s="15" t="s">
        <v>19</v>
      </c>
      <c r="L10" s="421" t="str">
        <f>IF(AND(O30="TERPENUHI",O32="TERPENUHI",O76="TERPENUHI",O77="TERPENUHI"),"TERPENUHI","TIDAK TERPENUHI")</f>
        <v>TIDAK TERPENUHI</v>
      </c>
      <c r="M10" s="421"/>
      <c r="N10" s="421"/>
      <c r="O10" s="421"/>
    </row>
    <row r="11" spans="1:18" s="15" customFormat="1" ht="15" x14ac:dyDescent="0.25">
      <c r="B11" s="28"/>
      <c r="C11" s="21"/>
      <c r="D11" s="21"/>
      <c r="E11" s="21"/>
      <c r="F11" s="22"/>
    </row>
    <row r="12" spans="1:18" s="30" customFormat="1" ht="25.5" x14ac:dyDescent="0.2">
      <c r="A12" s="29" t="s">
        <v>20</v>
      </c>
      <c r="B12" s="29" t="s">
        <v>20</v>
      </c>
      <c r="C12" s="29" t="s">
        <v>21</v>
      </c>
      <c r="D12" s="29" t="s">
        <v>1075</v>
      </c>
      <c r="E12" s="29" t="s">
        <v>1076</v>
      </c>
      <c r="F12" s="29" t="s">
        <v>22</v>
      </c>
      <c r="H12" s="29" t="s">
        <v>23</v>
      </c>
      <c r="I12" s="29" t="s">
        <v>24</v>
      </c>
      <c r="J12" s="424" t="s">
        <v>25</v>
      </c>
      <c r="K12" s="425"/>
      <c r="L12" s="424" t="s">
        <v>26</v>
      </c>
      <c r="M12" s="425"/>
      <c r="N12" s="426" t="s">
        <v>27</v>
      </c>
      <c r="O12" s="426"/>
    </row>
    <row r="13" spans="1:18" s="37" customFormat="1" ht="60" x14ac:dyDescent="0.2">
      <c r="A13" s="31">
        <v>1</v>
      </c>
      <c r="B13" s="31">
        <f>'Kertas Kerja'!A8</f>
        <v>1</v>
      </c>
      <c r="C13" s="32" t="s">
        <v>28</v>
      </c>
      <c r="D13" s="243" t="str">
        <f>'Kertas Kerja'!L8</f>
        <v>deskripsi test</v>
      </c>
      <c r="E13" s="243" t="str">
        <f>'Kertas Kerja'!M8</f>
        <v>rekomendasi test</v>
      </c>
      <c r="F13" s="33">
        <f>'Kertas Kerja'!K14</f>
        <v>3</v>
      </c>
      <c r="G13" s="34"/>
      <c r="H13" s="35">
        <v>1</v>
      </c>
      <c r="I13" s="35">
        <f>F13*H13</f>
        <v>3</v>
      </c>
      <c r="J13" s="36"/>
      <c r="K13" s="36"/>
      <c r="L13" s="36"/>
      <c r="M13" s="36"/>
      <c r="N13" s="36"/>
      <c r="O13" s="36"/>
      <c r="Q13" s="37">
        <v>1</v>
      </c>
    </row>
    <row r="14" spans="1:18" s="37" customFormat="1" ht="132" x14ac:dyDescent="0.2">
      <c r="A14" s="31">
        <v>2</v>
      </c>
      <c r="B14" s="38">
        <f>B13+1</f>
        <v>2</v>
      </c>
      <c r="C14" s="32" t="s">
        <v>29</v>
      </c>
      <c r="D14" s="41" t="str">
        <f>'Kertas Kerja'!L16</f>
        <v>Deskripsi temuan auditor mutu internal tentang indikator yang terkait</v>
      </c>
      <c r="E14" s="41" t="str">
        <f>'Kertas Kerja'!M16</f>
        <v>Rekomendasi auditor mutu internal berkaitan dengan hasil temuan</v>
      </c>
      <c r="F14" s="39">
        <f>'Kertas Kerja'!K22</f>
        <v>0</v>
      </c>
      <c r="G14" s="34"/>
      <c r="H14" s="35">
        <v>1</v>
      </c>
      <c r="I14" s="35">
        <f t="shared" ref="I14:I77" si="0">F14*H14</f>
        <v>0</v>
      </c>
      <c r="J14" s="36"/>
      <c r="K14" s="36"/>
      <c r="L14" s="36"/>
      <c r="M14" s="36"/>
      <c r="N14" s="36"/>
      <c r="O14" s="36"/>
      <c r="Q14" s="37">
        <v>2</v>
      </c>
    </row>
    <row r="15" spans="1:18" s="37" customFormat="1" ht="108" x14ac:dyDescent="0.2">
      <c r="A15" s="31">
        <v>3</v>
      </c>
      <c r="B15" s="38">
        <f t="shared" ref="B15:B78" si="1">B14+1</f>
        <v>3</v>
      </c>
      <c r="C15" s="40" t="s">
        <v>30</v>
      </c>
      <c r="D15" s="41" t="str">
        <f>'Kertas Kerja'!L24</f>
        <v>Deskripsi temuan auditor mutu internal tentang indikator yang terkait</v>
      </c>
      <c r="E15" s="41" t="str">
        <f>'Kertas Kerja'!M24</f>
        <v>Rekomendasi auditor mutu internal berkaitan dengan hasil temuan</v>
      </c>
      <c r="F15" s="39">
        <f>'Kertas Kerja'!K30</f>
        <v>0</v>
      </c>
      <c r="G15" s="34"/>
      <c r="H15" s="35">
        <v>0.51111111111111118</v>
      </c>
      <c r="I15" s="35">
        <f t="shared" si="0"/>
        <v>0</v>
      </c>
      <c r="J15" s="36"/>
      <c r="K15" s="36"/>
      <c r="L15" s="36"/>
      <c r="M15" s="36"/>
      <c r="N15" s="36"/>
      <c r="O15" s="36"/>
      <c r="Q15" s="37">
        <v>3</v>
      </c>
    </row>
    <row r="16" spans="1:18" s="37" customFormat="1" ht="36" x14ac:dyDescent="0.2">
      <c r="A16" s="31">
        <v>4</v>
      </c>
      <c r="B16" s="38">
        <f t="shared" si="1"/>
        <v>4</v>
      </c>
      <c r="C16" s="40" t="s">
        <v>31</v>
      </c>
      <c r="D16" s="41" t="str">
        <f>'Kertas Kerja'!L32</f>
        <v>Deskripsi temuan auditor mutu internal tentang indikator yang terkait</v>
      </c>
      <c r="E16" s="41" t="str">
        <f>'Kertas Kerja'!M32</f>
        <v>Rekomendasi auditor mutu internal berkaitan dengan hasil temuan</v>
      </c>
      <c r="F16" s="39">
        <f>'Kertas Kerja'!K38</f>
        <v>0</v>
      </c>
      <c r="G16" s="34"/>
      <c r="H16" s="35">
        <v>1.0222222222222224</v>
      </c>
      <c r="I16" s="35">
        <f t="shared" si="0"/>
        <v>0</v>
      </c>
      <c r="J16" s="36"/>
      <c r="K16" s="36"/>
      <c r="L16" s="36"/>
      <c r="M16" s="36"/>
      <c r="N16" s="36"/>
      <c r="O16" s="36"/>
      <c r="Q16" s="37">
        <v>4</v>
      </c>
    </row>
    <row r="17" spans="1:17" s="37" customFormat="1" ht="72" x14ac:dyDescent="0.2">
      <c r="A17" s="31">
        <v>5</v>
      </c>
      <c r="B17" s="38">
        <f t="shared" si="1"/>
        <v>5</v>
      </c>
      <c r="C17" s="41" t="s">
        <v>32</v>
      </c>
      <c r="D17" s="41" t="str">
        <f>'Kertas Kerja'!L40</f>
        <v>Deskripsi temuan auditor mutu internal tentang indikator yang terkait</v>
      </c>
      <c r="E17" s="41" t="str">
        <f>'Kertas Kerja'!M40</f>
        <v>Rekomendasi auditor mutu internal berkaitan dengan hasil temuan</v>
      </c>
      <c r="F17" s="39">
        <f>'Kertas Kerja'!K46</f>
        <v>0</v>
      </c>
      <c r="G17" s="34"/>
      <c r="H17" s="35">
        <v>1.5333333333333334</v>
      </c>
      <c r="I17" s="35">
        <f t="shared" si="0"/>
        <v>0</v>
      </c>
      <c r="J17" s="36"/>
      <c r="K17" s="36"/>
      <c r="L17" s="36"/>
      <c r="M17" s="36"/>
      <c r="N17" s="36"/>
      <c r="O17" s="36"/>
      <c r="Q17" s="37">
        <v>5</v>
      </c>
    </row>
    <row r="18" spans="1:17" s="37" customFormat="1" ht="156" x14ac:dyDescent="0.2">
      <c r="A18" s="31">
        <v>6</v>
      </c>
      <c r="B18" s="38">
        <f t="shared" si="1"/>
        <v>6</v>
      </c>
      <c r="C18" s="41" t="s">
        <v>33</v>
      </c>
      <c r="D18" s="41" t="str">
        <f>'Kertas Kerja'!L48</f>
        <v>Deskripsi temuan auditor mutu internal tentang indikator yang terkait</v>
      </c>
      <c r="E18" s="41" t="str">
        <f>'Kertas Kerja'!M48</f>
        <v>Rekomendasi auditor mutu internal berkaitan dengan hasil temuan</v>
      </c>
      <c r="F18" s="39">
        <f>'Kertas Kerja'!K60</f>
        <v>0</v>
      </c>
      <c r="G18" s="34"/>
      <c r="H18" s="35">
        <v>0.34074074074074079</v>
      </c>
      <c r="I18" s="35">
        <f t="shared" si="0"/>
        <v>0</v>
      </c>
      <c r="J18" s="36"/>
      <c r="K18" s="36"/>
      <c r="L18" s="36"/>
      <c r="M18" s="36"/>
      <c r="N18" s="36"/>
      <c r="O18" s="36"/>
      <c r="Q18" s="37">
        <v>6</v>
      </c>
    </row>
    <row r="19" spans="1:17" s="37" customFormat="1" ht="144" x14ac:dyDescent="0.2">
      <c r="A19" s="31">
        <v>7</v>
      </c>
      <c r="B19" s="38">
        <f t="shared" si="1"/>
        <v>7</v>
      </c>
      <c r="C19" s="41" t="s">
        <v>34</v>
      </c>
      <c r="D19" s="41" t="str">
        <f>'Kertas Kerja'!L62</f>
        <v>Deskripsi temuan auditor mutu internal tentang indikator yang terkait</v>
      </c>
      <c r="E19" s="41" t="str">
        <f>'Kertas Kerja'!M62</f>
        <v>Rekomendasi auditor mutu internal berkaitan dengan hasil temuan</v>
      </c>
      <c r="F19" s="39">
        <f>'Kertas Kerja'!K74</f>
        <v>0</v>
      </c>
      <c r="G19" s="34"/>
      <c r="H19" s="35">
        <v>0.34074074074074079</v>
      </c>
      <c r="I19" s="35">
        <f t="shared" si="0"/>
        <v>0</v>
      </c>
      <c r="J19" s="36"/>
      <c r="K19" s="36"/>
      <c r="L19" s="36"/>
      <c r="M19" s="36"/>
      <c r="N19" s="36"/>
      <c r="O19" s="36"/>
      <c r="Q19" s="37">
        <v>7</v>
      </c>
    </row>
    <row r="20" spans="1:17" s="37" customFormat="1" ht="228" x14ac:dyDescent="0.2">
      <c r="A20" s="31">
        <v>8</v>
      </c>
      <c r="B20" s="38">
        <f t="shared" si="1"/>
        <v>8</v>
      </c>
      <c r="C20" s="41" t="s">
        <v>35</v>
      </c>
      <c r="D20" s="41" t="str">
        <f>'Kertas Kerja'!L76</f>
        <v>Deskripsi temuan auditor mutu internal tentang indikator yang terkait</v>
      </c>
      <c r="E20" s="41" t="str">
        <f>'Kertas Kerja'!M76</f>
        <v>Rekomendasi auditor mutu internal berkaitan dengan hasil temuan</v>
      </c>
      <c r="F20" s="39">
        <f>'Kertas Kerja'!K82</f>
        <v>0</v>
      </c>
      <c r="G20" s="34"/>
      <c r="H20" s="35">
        <v>0.68148148148148158</v>
      </c>
      <c r="I20" s="35">
        <f t="shared" si="0"/>
        <v>0</v>
      </c>
      <c r="J20" s="42"/>
      <c r="K20" s="42"/>
      <c r="L20" s="42"/>
      <c r="M20" s="42"/>
      <c r="N20" s="42"/>
      <c r="O20" s="42"/>
      <c r="Q20" s="37">
        <v>8</v>
      </c>
    </row>
    <row r="21" spans="1:17" s="37" customFormat="1" ht="144" x14ac:dyDescent="0.2">
      <c r="A21" s="31">
        <v>9</v>
      </c>
      <c r="B21" s="38">
        <f t="shared" si="1"/>
        <v>9</v>
      </c>
      <c r="C21" s="41" t="s">
        <v>36</v>
      </c>
      <c r="D21" s="42" t="str">
        <f>'Kertas Kerja'!L84</f>
        <v>Deskripsi temuan auditor mutu internal tentang indikator yang terkait</v>
      </c>
      <c r="E21" s="42" t="str">
        <f>'Kertas Kerja'!M84</f>
        <v>Rekomendasi auditor mutu internal berkaitan dengan hasil temuan</v>
      </c>
      <c r="F21" s="35">
        <f>'Kertas Kerja'!K109</f>
        <v>0</v>
      </c>
      <c r="G21" s="34"/>
      <c r="H21" s="35">
        <v>0.34074074074074079</v>
      </c>
      <c r="I21" s="35">
        <f t="shared" si="0"/>
        <v>0</v>
      </c>
      <c r="J21" s="42"/>
      <c r="K21" s="42"/>
      <c r="L21" s="42"/>
      <c r="M21" s="42"/>
      <c r="N21" s="42"/>
      <c r="O21" s="42"/>
      <c r="Q21" s="37">
        <v>9</v>
      </c>
    </row>
    <row r="22" spans="1:17" s="37" customFormat="1" ht="60" x14ac:dyDescent="0.2">
      <c r="A22" s="31">
        <v>10</v>
      </c>
      <c r="B22" s="38">
        <f t="shared" si="1"/>
        <v>10</v>
      </c>
      <c r="C22" s="157" t="s">
        <v>37</v>
      </c>
      <c r="D22" s="244" t="str">
        <f>'Kertas Kerja'!L111</f>
        <v>Deskripsi temuan auditor mutu internal tentang indikator yang terkait</v>
      </c>
      <c r="E22" s="244" t="str">
        <f>'Kertas Kerja'!M111</f>
        <v>Rekomendasi auditor mutu internal berkaitan dengan hasil temuan</v>
      </c>
      <c r="F22" s="181">
        <f>'Kertas Kerja'!K117</f>
        <v>0</v>
      </c>
      <c r="G22" s="34"/>
      <c r="H22" s="35">
        <v>0.68148148148148158</v>
      </c>
      <c r="I22" s="35">
        <f t="shared" si="0"/>
        <v>0</v>
      </c>
      <c r="J22" s="42"/>
      <c r="K22" s="42"/>
      <c r="L22" s="42"/>
      <c r="M22" s="42"/>
      <c r="N22" s="42"/>
      <c r="O22" s="42"/>
      <c r="Q22" s="37">
        <v>10</v>
      </c>
    </row>
    <row r="23" spans="1:17" s="37" customFormat="1" ht="216" x14ac:dyDescent="0.2">
      <c r="A23" s="31">
        <v>11</v>
      </c>
      <c r="B23" s="38">
        <f t="shared" si="1"/>
        <v>11</v>
      </c>
      <c r="C23" s="157" t="s">
        <v>38</v>
      </c>
      <c r="D23" s="244" t="str">
        <f>'Kertas Kerja'!L119</f>
        <v>Deskripsi temuan auditor mutu internal tentang indikator yang terkait</v>
      </c>
      <c r="E23" s="244" t="str">
        <f>'Kertas Kerja'!M119</f>
        <v>Rekomendasi auditor mutu internal berkaitan dengan hasil temuan</v>
      </c>
      <c r="F23" s="181">
        <f>'Kertas Kerja'!K125</f>
        <v>0</v>
      </c>
      <c r="G23" s="34"/>
      <c r="H23" s="35">
        <v>1.0222222222222224</v>
      </c>
      <c r="I23" s="35">
        <f t="shared" si="0"/>
        <v>0</v>
      </c>
      <c r="J23" s="42"/>
      <c r="K23" s="42"/>
      <c r="L23" s="42"/>
      <c r="M23" s="42"/>
      <c r="N23" s="42"/>
      <c r="O23" s="42"/>
      <c r="Q23" s="37">
        <v>11</v>
      </c>
    </row>
    <row r="24" spans="1:17" s="37" customFormat="1" ht="216" x14ac:dyDescent="0.2">
      <c r="A24" s="31">
        <v>12</v>
      </c>
      <c r="B24" s="38">
        <f t="shared" si="1"/>
        <v>12</v>
      </c>
      <c r="C24" s="157" t="s">
        <v>39</v>
      </c>
      <c r="D24" s="244" t="str">
        <f>'Kertas Kerja'!L127</f>
        <v>Deskripsi temuan auditor mutu internal tentang indikator yang terkait</v>
      </c>
      <c r="E24" s="244" t="str">
        <f>'Kertas Kerja'!M127</f>
        <v>Rekomendasi auditor mutu internal berkaitan dengan hasil temuan</v>
      </c>
      <c r="F24" s="158">
        <f>'Kertas Kerja'!K133</f>
        <v>0</v>
      </c>
      <c r="G24" s="34"/>
      <c r="H24" s="35">
        <v>1.3629629629629632</v>
      </c>
      <c r="I24" s="35">
        <f t="shared" si="0"/>
        <v>0</v>
      </c>
      <c r="J24" s="42" t="s">
        <v>40</v>
      </c>
      <c r="K24" s="42" t="str">
        <f>IF(F24&gt;=2,"TERPENUHI","TIDAK TERPENUHI")</f>
        <v>TIDAK TERPENUHI</v>
      </c>
      <c r="L24" s="42"/>
      <c r="M24" s="42"/>
      <c r="N24" s="42"/>
      <c r="O24" s="42"/>
      <c r="Q24" s="37">
        <v>12</v>
      </c>
    </row>
    <row r="25" spans="1:17" s="37" customFormat="1" ht="336" x14ac:dyDescent="0.2">
      <c r="A25" s="31">
        <v>13</v>
      </c>
      <c r="B25" s="38">
        <f t="shared" si="1"/>
        <v>13</v>
      </c>
      <c r="C25" s="41" t="s">
        <v>41</v>
      </c>
      <c r="D25" s="42" t="str">
        <f>'Kertas Kerja'!L135</f>
        <v>Deskripsi temuan auditor mutu internal tentang indikator yang terkait</v>
      </c>
      <c r="E25" s="42" t="str">
        <f>'Kertas Kerja'!M135</f>
        <v>Rekomendasi auditor mutu internal berkaitan dengan hasil temuan</v>
      </c>
      <c r="F25" s="39">
        <f>'Kertas Kerja'!K141</f>
        <v>0</v>
      </c>
      <c r="G25" s="34"/>
      <c r="H25" s="35">
        <v>1.3629629629629632</v>
      </c>
      <c r="I25" s="35">
        <f t="shared" si="0"/>
        <v>0</v>
      </c>
      <c r="J25" s="42"/>
      <c r="K25" s="42"/>
      <c r="L25" s="42"/>
      <c r="M25" s="42"/>
      <c r="N25" s="42"/>
      <c r="O25" s="42"/>
      <c r="Q25" s="37">
        <v>13</v>
      </c>
    </row>
    <row r="26" spans="1:17" s="37" customFormat="1" ht="84" x14ac:dyDescent="0.2">
      <c r="A26" s="31">
        <v>14</v>
      </c>
      <c r="B26" s="38">
        <f t="shared" si="1"/>
        <v>14</v>
      </c>
      <c r="C26" s="41" t="s">
        <v>42</v>
      </c>
      <c r="D26" s="42" t="str">
        <f>'Kertas Kerja'!L143</f>
        <v>Deskripsi temuan auditor mutu internal tentang indikator yang terkait</v>
      </c>
      <c r="E26" s="42" t="str">
        <f>'Kertas Kerja'!M143</f>
        <v>Rekomendasi auditor mutu internal berkaitan dengan hasil temuan</v>
      </c>
      <c r="F26" s="39">
        <f>'Kertas Kerja'!K157</f>
        <v>0</v>
      </c>
      <c r="G26" s="34"/>
      <c r="H26" s="35">
        <v>4.6000000000000005</v>
      </c>
      <c r="I26" s="35">
        <f t="shared" si="0"/>
        <v>0</v>
      </c>
      <c r="J26" s="42"/>
      <c r="K26" s="42"/>
      <c r="L26" s="42"/>
      <c r="M26" s="42"/>
      <c r="N26" s="42"/>
      <c r="O26" s="42"/>
      <c r="Q26" s="37">
        <v>14</v>
      </c>
    </row>
    <row r="27" spans="1:17" s="37" customFormat="1" ht="72" x14ac:dyDescent="0.2">
      <c r="A27" s="31">
        <v>15</v>
      </c>
      <c r="B27" s="38">
        <f t="shared" si="1"/>
        <v>15</v>
      </c>
      <c r="C27" s="41" t="s">
        <v>43</v>
      </c>
      <c r="D27" s="42" t="str">
        <f>'Kertas Kerja'!L159</f>
        <v>Deskripsi temuan auditor mutu internal tentang indikator yang terkait</v>
      </c>
      <c r="E27" s="42" t="str">
        <f>'Kertas Kerja'!M159</f>
        <v>Rekomendasi auditor mutu internal berkaitan dengan hasil temuan</v>
      </c>
      <c r="F27" s="39">
        <f>'Kertas Kerja'!K173</f>
        <v>0</v>
      </c>
      <c r="G27" s="34"/>
      <c r="H27" s="35">
        <v>3.0666666666666669</v>
      </c>
      <c r="I27" s="35">
        <f t="shared" si="0"/>
        <v>0</v>
      </c>
      <c r="J27" s="42"/>
      <c r="K27" s="42"/>
      <c r="L27" s="42"/>
      <c r="M27" s="42"/>
      <c r="N27" s="42"/>
      <c r="O27" s="42"/>
      <c r="Q27" s="37">
        <v>15</v>
      </c>
    </row>
    <row r="28" spans="1:17" s="37" customFormat="1" ht="132" x14ac:dyDescent="0.2">
      <c r="A28" s="31">
        <v>16</v>
      </c>
      <c r="B28" s="38">
        <f t="shared" si="1"/>
        <v>16</v>
      </c>
      <c r="C28" s="41" t="s">
        <v>44</v>
      </c>
      <c r="D28" s="42" t="str">
        <f>'Kertas Kerja'!L175</f>
        <v>Deskripsi temuan auditor mutu internal tentang indikator yang terkait</v>
      </c>
      <c r="E28" s="42" t="str">
        <f>'Kertas Kerja'!M175</f>
        <v>Rekomendasi auditor mutu internal berkaitan dengan hasil temuan</v>
      </c>
      <c r="F28" s="39">
        <f>'Kertas Kerja'!K187</f>
        <v>0</v>
      </c>
      <c r="G28" s="34"/>
      <c r="H28" s="35">
        <v>1.5333333333333334</v>
      </c>
      <c r="I28" s="35">
        <f t="shared" si="0"/>
        <v>0</v>
      </c>
      <c r="J28" s="42"/>
      <c r="K28" s="42"/>
      <c r="L28" s="42"/>
      <c r="M28" s="42"/>
      <c r="N28" s="42"/>
      <c r="O28" s="42"/>
      <c r="Q28" s="37">
        <v>16</v>
      </c>
    </row>
    <row r="29" spans="1:17" s="37" customFormat="1" ht="60" x14ac:dyDescent="0.2">
      <c r="A29" s="31">
        <v>17</v>
      </c>
      <c r="B29" s="38">
        <f t="shared" si="1"/>
        <v>17</v>
      </c>
      <c r="C29" s="41" t="s">
        <v>45</v>
      </c>
      <c r="D29" s="42" t="str">
        <f>'Kertas Kerja'!L189</f>
        <v>Deskripsi temuan auditor mutu internal tentang indikator yang terkait</v>
      </c>
      <c r="E29" s="42" t="str">
        <f>'Kertas Kerja'!M189</f>
        <v>Rekomendasi auditor mutu internal berkaitan dengan hasil temuan</v>
      </c>
      <c r="F29" s="39">
        <f>'Kertas Kerja'!K197</f>
        <v>0</v>
      </c>
      <c r="G29" s="34"/>
      <c r="H29" s="35">
        <v>0.74343434343434345</v>
      </c>
      <c r="I29" s="35">
        <f t="shared" si="0"/>
        <v>0</v>
      </c>
      <c r="J29" s="42" t="s">
        <v>40</v>
      </c>
      <c r="K29" s="42" t="str">
        <f>IF(F29&gt;=2,"TERPENUHI","TIDAK TERPENUHI")</f>
        <v>TIDAK TERPENUHI</v>
      </c>
      <c r="L29" s="42"/>
      <c r="M29" s="42"/>
      <c r="N29" s="42"/>
      <c r="O29" s="42"/>
      <c r="Q29" s="37">
        <v>17</v>
      </c>
    </row>
    <row r="30" spans="1:17" s="37" customFormat="1" ht="36" x14ac:dyDescent="0.2">
      <c r="A30" s="31">
        <v>18</v>
      </c>
      <c r="B30" s="38">
        <f t="shared" si="1"/>
        <v>18</v>
      </c>
      <c r="C30" s="41" t="s">
        <v>46</v>
      </c>
      <c r="D30" s="42" t="str">
        <f>'Kertas Kerja'!L199</f>
        <v>Deskripsi temuan auditor mutu internal tentang indikator yang terkait</v>
      </c>
      <c r="E30" s="42" t="str">
        <f>'Kertas Kerja'!M199</f>
        <v>Rekomendasi auditor mutu internal berkaitan dengan hasil temuan</v>
      </c>
      <c r="F30" s="39">
        <f>'Kertas Kerja'!K203</f>
        <v>2</v>
      </c>
      <c r="G30" s="34"/>
      <c r="H30" s="35">
        <v>0.99124579124579126</v>
      </c>
      <c r="I30" s="35">
        <f t="shared" si="0"/>
        <v>1.9824915824915825</v>
      </c>
      <c r="J30" s="42"/>
      <c r="K30" s="42"/>
      <c r="L30" s="42" t="s">
        <v>47</v>
      </c>
      <c r="M30" s="42" t="str">
        <f>IF(F30&gt;=3.5,"TERPENUHI","TIDAK TERPENUHI")</f>
        <v>TIDAK TERPENUHI</v>
      </c>
      <c r="N30" s="42" t="s">
        <v>48</v>
      </c>
      <c r="O30" s="42" t="str">
        <f>IF(F30&gt;=3,"TERPENUHI","TIDAK TERPENUHI")</f>
        <v>TIDAK TERPENUHI</v>
      </c>
      <c r="Q30" s="37">
        <v>18</v>
      </c>
    </row>
    <row r="31" spans="1:17" s="37" customFormat="1" ht="12" hidden="1" x14ac:dyDescent="0.2">
      <c r="A31" s="31">
        <v>19</v>
      </c>
      <c r="B31" s="38">
        <f t="shared" si="1"/>
        <v>19</v>
      </c>
      <c r="C31" s="256"/>
      <c r="D31" s="257">
        <f>'[1]Kertas Kerja'!H204</f>
        <v>0</v>
      </c>
      <c r="E31" s="257"/>
      <c r="F31" s="258">
        <f>'[1]Kertas Kerja'!E209</f>
        <v>0</v>
      </c>
      <c r="G31" s="34"/>
      <c r="H31" s="259"/>
      <c r="I31" s="259">
        <f t="shared" si="0"/>
        <v>0</v>
      </c>
      <c r="J31" s="257"/>
      <c r="K31" s="257"/>
      <c r="L31" s="257"/>
      <c r="M31" s="257"/>
      <c r="N31" s="257"/>
      <c r="O31" s="257"/>
      <c r="Q31" s="37">
        <v>19</v>
      </c>
    </row>
    <row r="32" spans="1:17" s="37" customFormat="1" ht="36" x14ac:dyDescent="0.2">
      <c r="A32" s="31">
        <v>20</v>
      </c>
      <c r="B32" s="38">
        <f>B30+1</f>
        <v>19</v>
      </c>
      <c r="C32" s="41" t="s">
        <v>49</v>
      </c>
      <c r="D32" s="42" t="str">
        <f>'Kertas Kerja'!L205</f>
        <v>Deskripsi temuan auditor mutu internal tentang indikator yang terkait</v>
      </c>
      <c r="E32" s="42" t="str">
        <f>'Kertas Kerja'!M205</f>
        <v>Rekomendasi auditor mutu internal berkaitan dengan hasil temuan</v>
      </c>
      <c r="F32" s="39">
        <f>'Kertas Kerja'!K211</f>
        <v>2</v>
      </c>
      <c r="G32" s="34"/>
      <c r="H32" s="35">
        <v>0.49562289562289563</v>
      </c>
      <c r="I32" s="35">
        <f t="shared" si="0"/>
        <v>0.99124579124579126</v>
      </c>
      <c r="J32" s="42"/>
      <c r="K32" s="42"/>
      <c r="L32" s="42" t="s">
        <v>47</v>
      </c>
      <c r="M32" s="42" t="str">
        <f>IF(F32&gt;=3.5,"TERPENUHI","TIDAK TERPENUHI")</f>
        <v>TIDAK TERPENUHI</v>
      </c>
      <c r="N32" s="42" t="s">
        <v>48</v>
      </c>
      <c r="O32" s="42" t="str">
        <f>IF(F32&gt;=3,"TERPENUHI","TIDAK TERPENUHI")</f>
        <v>TIDAK TERPENUHI</v>
      </c>
      <c r="Q32" s="37">
        <v>20</v>
      </c>
    </row>
    <row r="33" spans="1:17" s="37" customFormat="1" ht="60" x14ac:dyDescent="0.2">
      <c r="A33" s="31">
        <v>21</v>
      </c>
      <c r="B33" s="38">
        <f t="shared" si="1"/>
        <v>20</v>
      </c>
      <c r="C33" s="41" t="s">
        <v>50</v>
      </c>
      <c r="D33" s="42" t="str">
        <f>'Kertas Kerja'!L219</f>
        <v>Deskripsi temuan auditor mutu internal tentang indikator yang terkait</v>
      </c>
      <c r="E33" s="42" t="str">
        <f>'Kertas Kerja'!M219</f>
        <v>Rekomendasi auditor mutu internal berkaitan dengan hasil temuan</v>
      </c>
      <c r="F33" s="39">
        <f>'Kertas Kerja'!K226</f>
        <v>0</v>
      </c>
      <c r="G33" s="34"/>
      <c r="H33" s="35">
        <v>0.49562289562289563</v>
      </c>
      <c r="I33" s="35">
        <f t="shared" si="0"/>
        <v>0</v>
      </c>
      <c r="J33" s="42"/>
      <c r="K33" s="42"/>
      <c r="L33" s="42"/>
      <c r="M33" s="42"/>
      <c r="N33" s="42"/>
      <c r="O33" s="42"/>
      <c r="Q33" s="37">
        <v>21</v>
      </c>
    </row>
    <row r="34" spans="1:17" s="37" customFormat="1" ht="48" x14ac:dyDescent="0.2">
      <c r="A34" s="31">
        <v>22</v>
      </c>
      <c r="B34" s="38">
        <f t="shared" si="1"/>
        <v>21</v>
      </c>
      <c r="C34" s="41" t="s">
        <v>51</v>
      </c>
      <c r="D34" s="42" t="str">
        <f>'Kertas Kerja'!L228</f>
        <v>Deskripsi temuan auditor mutu internal tentang indikator yang terkait</v>
      </c>
      <c r="E34" s="42" t="str">
        <f>'Kertas Kerja'!M228</f>
        <v>Rekomendasi auditor mutu internal berkaitan dengan hasil temuan</v>
      </c>
      <c r="F34" s="39">
        <f>'Kertas Kerja'!K232</f>
        <v>4</v>
      </c>
      <c r="G34" s="34"/>
      <c r="H34" s="35">
        <v>0.99124579124579126</v>
      </c>
      <c r="I34" s="35">
        <f t="shared" si="0"/>
        <v>3.9649831649831651</v>
      </c>
      <c r="J34" s="42"/>
      <c r="K34" s="42"/>
      <c r="L34" s="42"/>
      <c r="M34" s="42"/>
      <c r="N34" s="42"/>
      <c r="O34" s="42"/>
      <c r="Q34" s="37">
        <v>22</v>
      </c>
    </row>
    <row r="35" spans="1:17" s="37" customFormat="1" ht="36" x14ac:dyDescent="0.2">
      <c r="A35" s="31">
        <v>23</v>
      </c>
      <c r="B35" s="38">
        <f t="shared" si="1"/>
        <v>22</v>
      </c>
      <c r="C35" s="41" t="s">
        <v>52</v>
      </c>
      <c r="D35" s="42" t="str">
        <f>'Kertas Kerja'!L234</f>
        <v>Deskripsi temuan auditor mutu internal tentang indikator yang terkait</v>
      </c>
      <c r="E35" s="42" t="str">
        <f>'Kertas Kerja'!M234</f>
        <v>Rekomendasi auditor mutu internal berkaitan dengan hasil temuan</v>
      </c>
      <c r="F35" s="39">
        <f>'Kertas Kerja'!K236</f>
        <v>0</v>
      </c>
      <c r="G35" s="34"/>
      <c r="H35" s="35">
        <v>0.24781144781144782</v>
      </c>
      <c r="I35" s="35">
        <f t="shared" si="0"/>
        <v>0</v>
      </c>
      <c r="J35" s="42"/>
      <c r="K35" s="42"/>
      <c r="L35" s="42"/>
      <c r="M35" s="42"/>
      <c r="N35" s="42"/>
      <c r="O35" s="42"/>
      <c r="Q35" s="37">
        <v>23</v>
      </c>
    </row>
    <row r="36" spans="1:17" s="37" customFormat="1" ht="24" x14ac:dyDescent="0.2">
      <c r="A36" s="31">
        <v>24</v>
      </c>
      <c r="B36" s="38">
        <f t="shared" si="1"/>
        <v>23</v>
      </c>
      <c r="C36" s="41" t="s">
        <v>53</v>
      </c>
      <c r="D36" s="42" t="str">
        <f>'Kertas Kerja'!L238</f>
        <v>Deskripsi temuan auditor mutu internal tentang indikator yang terkait</v>
      </c>
      <c r="E36" s="42" t="str">
        <f>'Kertas Kerja'!M238</f>
        <v>Rekomendasi auditor mutu internal berkaitan dengan hasil temuan</v>
      </c>
      <c r="F36" s="39">
        <f>'Kertas Kerja'!K242</f>
        <v>4</v>
      </c>
      <c r="G36" s="34"/>
      <c r="H36" s="35">
        <v>0.49562289562289563</v>
      </c>
      <c r="I36" s="35">
        <f t="shared" si="0"/>
        <v>1.9824915824915825</v>
      </c>
      <c r="J36" s="42"/>
      <c r="K36" s="42"/>
      <c r="L36" s="42"/>
      <c r="M36" s="42"/>
      <c r="N36" s="42"/>
      <c r="O36" s="42"/>
      <c r="Q36" s="37">
        <v>24</v>
      </c>
    </row>
    <row r="37" spans="1:17" s="37" customFormat="1" ht="12" hidden="1" x14ac:dyDescent="0.2">
      <c r="A37" s="31">
        <v>25</v>
      </c>
      <c r="B37" s="38">
        <f t="shared" si="1"/>
        <v>24</v>
      </c>
      <c r="C37" s="256"/>
      <c r="D37" s="257">
        <f>'[1]Kertas Kerja'!H267</f>
        <v>0</v>
      </c>
      <c r="E37" s="257"/>
      <c r="F37" s="258">
        <f>'[1]Kertas Kerja'!E272</f>
        <v>0</v>
      </c>
      <c r="G37" s="34"/>
      <c r="H37" s="259"/>
      <c r="I37" s="259">
        <f t="shared" si="0"/>
        <v>0</v>
      </c>
      <c r="J37" s="257"/>
      <c r="K37" s="257"/>
      <c r="L37" s="257"/>
      <c r="M37" s="257"/>
      <c r="N37" s="257"/>
      <c r="O37" s="257"/>
      <c r="Q37" s="37">
        <v>25</v>
      </c>
    </row>
    <row r="38" spans="1:17" s="37" customFormat="1" ht="48" x14ac:dyDescent="0.2">
      <c r="A38" s="31">
        <v>26</v>
      </c>
      <c r="B38" s="38">
        <f>B36+1</f>
        <v>24</v>
      </c>
      <c r="C38" s="41" t="s">
        <v>54</v>
      </c>
      <c r="D38" s="42" t="str">
        <f>'Kertas Kerja'!L244</f>
        <v>Deskripsi temuan auditor mutu internal tentang indikator yang terkait</v>
      </c>
      <c r="E38" s="42" t="str">
        <f>'Kertas Kerja'!M244</f>
        <v>Rekomendasi auditor mutu internal berkaitan dengan hasil temuan</v>
      </c>
      <c r="F38" s="39">
        <f>'Kertas Kerja'!K248</f>
        <v>2</v>
      </c>
      <c r="G38" s="34"/>
      <c r="H38" s="35">
        <v>0.81101928374655641</v>
      </c>
      <c r="I38" s="35">
        <f t="shared" si="0"/>
        <v>1.6220385674931128</v>
      </c>
      <c r="J38" s="42"/>
      <c r="K38" s="42"/>
      <c r="L38" s="42"/>
      <c r="M38" s="42"/>
      <c r="N38" s="42"/>
      <c r="O38" s="42"/>
      <c r="Q38" s="37">
        <v>26</v>
      </c>
    </row>
    <row r="39" spans="1:17" s="37" customFormat="1" ht="48" x14ac:dyDescent="0.2">
      <c r="A39" s="31">
        <v>27</v>
      </c>
      <c r="B39" s="38">
        <f t="shared" si="1"/>
        <v>25</v>
      </c>
      <c r="C39" s="41" t="s">
        <v>55</v>
      </c>
      <c r="D39" s="42" t="str">
        <f>'Kertas Kerja'!L250</f>
        <v>Deskripsi temuan auditor mutu internal tentang indikator yang terkait</v>
      </c>
      <c r="E39" s="42" t="str">
        <f>'Kertas Kerja'!M250</f>
        <v>Rekomendasi auditor mutu internal berkaitan dengan hasil temuan</v>
      </c>
      <c r="F39" s="39">
        <f>'Kertas Kerja'!K266</f>
        <v>0</v>
      </c>
      <c r="G39" s="34"/>
      <c r="H39" s="35">
        <v>0.81101928374655641</v>
      </c>
      <c r="I39" s="35">
        <f t="shared" si="0"/>
        <v>0</v>
      </c>
      <c r="J39" s="42"/>
      <c r="K39" s="42"/>
      <c r="L39" s="42"/>
      <c r="M39" s="42"/>
      <c r="N39" s="42"/>
      <c r="O39" s="42"/>
      <c r="Q39" s="37">
        <v>27</v>
      </c>
    </row>
    <row r="40" spans="1:17" s="37" customFormat="1" ht="48" x14ac:dyDescent="0.2">
      <c r="A40" s="31">
        <v>28</v>
      </c>
      <c r="B40" s="38">
        <f t="shared" si="1"/>
        <v>26</v>
      </c>
      <c r="C40" s="41" t="s">
        <v>56</v>
      </c>
      <c r="D40" s="42" t="str">
        <f>'Kertas Kerja'!L268</f>
        <v>Deskripsi temuan auditor mutu internal tentang indikator yang terkait</v>
      </c>
      <c r="E40" s="42" t="str">
        <f>'Kertas Kerja'!M268</f>
        <v>Rekomendasi auditor mutu internal berkaitan dengan hasil temuan</v>
      </c>
      <c r="F40" s="39">
        <f>'Kertas Kerja'!K284</f>
        <v>0</v>
      </c>
      <c r="G40" s="34"/>
      <c r="H40" s="35">
        <v>0.4055096418732782</v>
      </c>
      <c r="I40" s="35">
        <f t="shared" si="0"/>
        <v>0</v>
      </c>
      <c r="J40" s="42"/>
      <c r="K40" s="42"/>
      <c r="L40" s="42"/>
      <c r="M40" s="42"/>
      <c r="N40" s="42"/>
      <c r="O40" s="42"/>
      <c r="Q40" s="37">
        <v>28</v>
      </c>
    </row>
    <row r="41" spans="1:17" s="37" customFormat="1" ht="60" x14ac:dyDescent="0.2">
      <c r="A41" s="31">
        <v>29</v>
      </c>
      <c r="B41" s="38">
        <f t="shared" si="1"/>
        <v>27</v>
      </c>
      <c r="C41" s="42" t="s">
        <v>57</v>
      </c>
      <c r="D41" s="42" t="str">
        <f>'Kertas Kerja'!L286</f>
        <v>Deskripsi temuan auditor mutu internal tentang indikator yang terkait</v>
      </c>
      <c r="E41" s="42" t="str">
        <f>'Kertas Kerja'!M286</f>
        <v>Rekomendasi auditor mutu internal berkaitan dengan hasil temuan</v>
      </c>
      <c r="F41" s="39">
        <f>'Kertas Kerja'!K309</f>
        <v>0</v>
      </c>
      <c r="G41" s="34"/>
      <c r="H41" s="35">
        <v>0.81101928374655641</v>
      </c>
      <c r="I41" s="35">
        <f t="shared" si="0"/>
        <v>0</v>
      </c>
      <c r="J41" s="42"/>
      <c r="K41" s="42"/>
      <c r="L41" s="42"/>
      <c r="M41" s="42"/>
      <c r="N41" s="42"/>
      <c r="O41" s="42"/>
      <c r="Q41" s="37">
        <v>29</v>
      </c>
    </row>
    <row r="42" spans="1:17" s="37" customFormat="1" ht="36" x14ac:dyDescent="0.2">
      <c r="A42" s="31">
        <v>30</v>
      </c>
      <c r="B42" s="38">
        <f t="shared" si="1"/>
        <v>28</v>
      </c>
      <c r="C42" s="43" t="s">
        <v>58</v>
      </c>
      <c r="D42" s="42" t="str">
        <f>'Kertas Kerja'!L311</f>
        <v>Deskripsi temuan auditor mutu internal tentang indikator yang terkait</v>
      </c>
      <c r="E42" s="42" t="str">
        <f>'Kertas Kerja'!M311</f>
        <v>Rekomendasi auditor mutu internal berkaitan dengan hasil temuan</v>
      </c>
      <c r="F42" s="39">
        <f>'Kertas Kerja'!K316</f>
        <v>2</v>
      </c>
      <c r="G42" s="34"/>
      <c r="H42" s="35">
        <v>0.81101928374655641</v>
      </c>
      <c r="I42" s="35">
        <f t="shared" si="0"/>
        <v>1.6220385674931128</v>
      </c>
      <c r="J42" s="42"/>
      <c r="K42" s="42"/>
      <c r="L42" s="42"/>
      <c r="M42" s="42"/>
      <c r="N42" s="42"/>
      <c r="O42" s="42"/>
      <c r="Q42" s="37">
        <v>30</v>
      </c>
    </row>
    <row r="43" spans="1:17" s="37" customFormat="1" ht="12" hidden="1" x14ac:dyDescent="0.2">
      <c r="A43" s="31">
        <v>31</v>
      </c>
      <c r="B43" s="38">
        <f t="shared" si="1"/>
        <v>29</v>
      </c>
      <c r="C43" s="256"/>
      <c r="D43" s="257">
        <f>'[1]Kertas Kerja'!H349</f>
        <v>0</v>
      </c>
      <c r="E43" s="257"/>
      <c r="F43" s="258">
        <f>'[1]Kertas Kerja'!E354</f>
        <v>0</v>
      </c>
      <c r="G43" s="34"/>
      <c r="H43" s="259"/>
      <c r="I43" s="259">
        <f t="shared" si="0"/>
        <v>0</v>
      </c>
      <c r="J43" s="257"/>
      <c r="K43" s="257"/>
      <c r="L43" s="257"/>
      <c r="M43" s="257"/>
      <c r="N43" s="257"/>
      <c r="O43" s="257"/>
      <c r="Q43" s="37">
        <v>31</v>
      </c>
    </row>
    <row r="44" spans="1:17" s="37" customFormat="1" ht="48" x14ac:dyDescent="0.2">
      <c r="A44" s="31">
        <v>32</v>
      </c>
      <c r="B44" s="38">
        <f>B42+1</f>
        <v>29</v>
      </c>
      <c r="C44" s="43" t="s">
        <v>59</v>
      </c>
      <c r="D44" s="42" t="str">
        <f>'Kertas Kerja'!L318</f>
        <v>Deskripsi temuan auditor mutu internal tentang indikator yang terkait</v>
      </c>
      <c r="E44" s="42" t="str">
        <f>'Kertas Kerja'!M318</f>
        <v>Rekomendasi auditor mutu internal berkaitan dengan hasil temuan</v>
      </c>
      <c r="F44" s="39">
        <f>'Kertas Kerja'!K326</f>
        <v>2</v>
      </c>
      <c r="G44" s="34"/>
      <c r="H44" s="35">
        <v>0.81101928374655641</v>
      </c>
      <c r="I44" s="35">
        <f t="shared" si="0"/>
        <v>1.6220385674931128</v>
      </c>
      <c r="J44" s="42"/>
      <c r="K44" s="42"/>
      <c r="L44" s="42"/>
      <c r="M44" s="42"/>
      <c r="N44" s="42"/>
      <c r="O44" s="42"/>
      <c r="Q44" s="37">
        <v>32</v>
      </c>
    </row>
    <row r="45" spans="1:17" s="37" customFormat="1" ht="24" x14ac:dyDescent="0.2">
      <c r="A45" s="31">
        <v>33</v>
      </c>
      <c r="B45" s="38">
        <f t="shared" si="1"/>
        <v>30</v>
      </c>
      <c r="C45" s="41" t="s">
        <v>60</v>
      </c>
      <c r="D45" s="42" t="str">
        <f>'Kertas Kerja'!L328</f>
        <v>Deskripsi temuan auditor mutu internal tentang indikator yang terkait</v>
      </c>
      <c r="E45" s="42" t="str">
        <f>'Kertas Kerja'!M328</f>
        <v>Rekomendasi auditor mutu internal berkaitan dengan hasil temuan</v>
      </c>
      <c r="F45" s="39">
        <f>'Kertas Kerja'!K335</f>
        <v>0</v>
      </c>
      <c r="G45" s="34"/>
      <c r="H45" s="35">
        <v>2.2303030303030305</v>
      </c>
      <c r="I45" s="35">
        <f t="shared" si="0"/>
        <v>0</v>
      </c>
      <c r="J45" s="42"/>
      <c r="K45" s="42"/>
      <c r="L45" s="42"/>
      <c r="M45" s="42"/>
      <c r="N45" s="42"/>
      <c r="O45" s="42"/>
      <c r="Q45" s="37">
        <v>33</v>
      </c>
    </row>
    <row r="46" spans="1:17" s="37" customFormat="1" ht="120" x14ac:dyDescent="0.2">
      <c r="A46" s="31">
        <v>34</v>
      </c>
      <c r="B46" s="38">
        <f t="shared" si="1"/>
        <v>31</v>
      </c>
      <c r="C46" s="41" t="s">
        <v>61</v>
      </c>
      <c r="D46" s="42" t="str">
        <f>'Kertas Kerja'!L337</f>
        <v>Deskripsi temuan auditor mutu internal tentang indikator yang terkait</v>
      </c>
      <c r="E46" s="42" t="str">
        <f>'Kertas Kerja'!M337</f>
        <v>Rekomendasi auditor mutu internal berkaitan dengan hasil temuan</v>
      </c>
      <c r="F46" s="39">
        <f>'Kertas Kerja'!K349</f>
        <v>0</v>
      </c>
      <c r="G46" s="34"/>
      <c r="H46" s="35">
        <v>1.1151515151515152</v>
      </c>
      <c r="I46" s="35">
        <f t="shared" si="0"/>
        <v>0</v>
      </c>
      <c r="J46" s="42"/>
      <c r="K46" s="42"/>
      <c r="L46" s="42"/>
      <c r="M46" s="42"/>
      <c r="N46" s="42"/>
      <c r="O46" s="42"/>
      <c r="Q46" s="37">
        <v>34</v>
      </c>
    </row>
    <row r="47" spans="1:17" s="37" customFormat="1" ht="60" x14ac:dyDescent="0.2">
      <c r="A47" s="31">
        <v>35</v>
      </c>
      <c r="B47" s="38">
        <f t="shared" si="1"/>
        <v>32</v>
      </c>
      <c r="C47" s="41" t="s">
        <v>62</v>
      </c>
      <c r="D47" s="42" t="str">
        <f>'Kertas Kerja'!L375</f>
        <v>Deskripsi temuan auditor mutu internal tentang indikator yang terkait</v>
      </c>
      <c r="E47" s="42" t="str">
        <f>'Kertas Kerja'!M375</f>
        <v>Rekomendasi auditor mutu internal berkaitan dengan hasil temuan</v>
      </c>
      <c r="F47" s="39">
        <f>'Kertas Kerja'!K379</f>
        <v>0</v>
      </c>
      <c r="G47" s="34"/>
      <c r="H47" s="35">
        <v>0.76666666666666672</v>
      </c>
      <c r="I47" s="35">
        <f t="shared" si="0"/>
        <v>0</v>
      </c>
      <c r="J47" s="42"/>
      <c r="K47" s="42"/>
      <c r="L47" s="42"/>
      <c r="M47" s="42"/>
      <c r="N47" s="42"/>
      <c r="O47" s="42"/>
      <c r="Q47" s="37">
        <v>35</v>
      </c>
    </row>
    <row r="48" spans="1:17" s="37" customFormat="1" ht="24" x14ac:dyDescent="0.2">
      <c r="A48" s="31">
        <v>36</v>
      </c>
      <c r="B48" s="38">
        <f t="shared" si="1"/>
        <v>33</v>
      </c>
      <c r="C48" s="41" t="s">
        <v>63</v>
      </c>
      <c r="D48" s="42" t="str">
        <f>'Kertas Kerja'!L381</f>
        <v>Deskripsi temuan auditor mutu internal tentang indikator yang terkait</v>
      </c>
      <c r="E48" s="42" t="str">
        <f>'Kertas Kerja'!M381</f>
        <v>Rekomendasi auditor mutu internal berkaitan dengan hasil temuan</v>
      </c>
      <c r="F48" s="39">
        <f>'Kertas Kerja'!K385</f>
        <v>0</v>
      </c>
      <c r="G48" s="34"/>
      <c r="H48" s="35">
        <v>0.76666666666666672</v>
      </c>
      <c r="I48" s="35">
        <f t="shared" si="0"/>
        <v>0</v>
      </c>
      <c r="J48" s="42"/>
      <c r="K48" s="42"/>
      <c r="L48" s="42"/>
      <c r="M48" s="42"/>
      <c r="N48" s="42"/>
      <c r="O48" s="42"/>
      <c r="Q48" s="37">
        <v>36</v>
      </c>
    </row>
    <row r="49" spans="1:17" s="37" customFormat="1" ht="36" x14ac:dyDescent="0.2">
      <c r="A49" s="31">
        <v>37</v>
      </c>
      <c r="B49" s="38">
        <f t="shared" si="1"/>
        <v>34</v>
      </c>
      <c r="C49" s="41" t="s">
        <v>64</v>
      </c>
      <c r="D49" s="42" t="str">
        <f>'Kertas Kerja'!L387</f>
        <v>Deskripsi temuan auditor mutu internal tentang indikator yang terkait</v>
      </c>
      <c r="E49" s="42" t="str">
        <f>'Kertas Kerja'!M387</f>
        <v>Rekomendasi auditor mutu internal berkaitan dengan hasil temuan</v>
      </c>
      <c r="F49" s="39">
        <f>'Kertas Kerja'!K391</f>
        <v>0</v>
      </c>
      <c r="G49" s="34"/>
      <c r="H49" s="35">
        <v>0.38333333333333336</v>
      </c>
      <c r="I49" s="35">
        <f t="shared" si="0"/>
        <v>0</v>
      </c>
      <c r="J49" s="42"/>
      <c r="K49" s="42"/>
      <c r="L49" s="42"/>
      <c r="M49" s="42"/>
      <c r="N49" s="42"/>
      <c r="O49" s="42"/>
      <c r="Q49" s="37">
        <v>37</v>
      </c>
    </row>
    <row r="50" spans="1:17" s="37" customFormat="1" ht="36" x14ac:dyDescent="0.2">
      <c r="A50" s="31">
        <v>38</v>
      </c>
      <c r="B50" s="38">
        <f t="shared" si="1"/>
        <v>35</v>
      </c>
      <c r="C50" s="41" t="s">
        <v>65</v>
      </c>
      <c r="D50" s="42" t="str">
        <f>'Kertas Kerja'!L393</f>
        <v>Deskripsi temuan auditor mutu internal tentang indikator yang terkait</v>
      </c>
      <c r="E50" s="42" t="str">
        <f>'Kertas Kerja'!M393</f>
        <v>Rekomendasi auditor mutu internal berkaitan dengan hasil temuan</v>
      </c>
      <c r="F50" s="39">
        <f>'Kertas Kerja'!K400</f>
        <v>0</v>
      </c>
      <c r="G50" s="34"/>
      <c r="H50" s="35">
        <v>0.38333333333333336</v>
      </c>
      <c r="I50" s="35">
        <f t="shared" si="0"/>
        <v>0</v>
      </c>
      <c r="J50" s="42"/>
      <c r="K50" s="42"/>
      <c r="L50" s="42"/>
      <c r="M50" s="42"/>
      <c r="N50" s="42"/>
      <c r="O50" s="42"/>
      <c r="Q50" s="37">
        <v>38</v>
      </c>
    </row>
    <row r="51" spans="1:17" s="37" customFormat="1" ht="36" x14ac:dyDescent="0.2">
      <c r="A51" s="31">
        <v>39</v>
      </c>
      <c r="B51" s="38">
        <f t="shared" si="1"/>
        <v>36</v>
      </c>
      <c r="C51" s="41" t="s">
        <v>66</v>
      </c>
      <c r="D51" s="42" t="str">
        <f>'Kertas Kerja'!L402</f>
        <v>Deskripsi temuan auditor mutu internal tentang indikator yang terkait</v>
      </c>
      <c r="E51" s="42" t="str">
        <f>'Kertas Kerja'!M402</f>
        <v>Rekomendasi auditor mutu internal berkaitan dengan hasil temuan</v>
      </c>
      <c r="F51" s="39">
        <f>'Kertas Kerja'!K408</f>
        <v>0</v>
      </c>
      <c r="G51" s="34"/>
      <c r="H51" s="35">
        <v>0.76666666666666672</v>
      </c>
      <c r="I51" s="35">
        <f t="shared" si="0"/>
        <v>0</v>
      </c>
      <c r="J51" s="42"/>
      <c r="K51" s="42"/>
      <c r="L51" s="42"/>
      <c r="M51" s="42"/>
      <c r="N51" s="42"/>
      <c r="O51" s="42"/>
      <c r="Q51" s="37">
        <v>39</v>
      </c>
    </row>
    <row r="52" spans="1:17" s="37" customFormat="1" ht="84" x14ac:dyDescent="0.2">
      <c r="A52" s="31">
        <v>40</v>
      </c>
      <c r="B52" s="38">
        <f t="shared" si="1"/>
        <v>37</v>
      </c>
      <c r="C52" s="41" t="s">
        <v>67</v>
      </c>
      <c r="D52" s="42" t="str">
        <f>'Kertas Kerja'!L410</f>
        <v>Deskripsi temuan auditor mutu internal tentang indikator yang terkait</v>
      </c>
      <c r="E52" s="42" t="str">
        <f>'Kertas Kerja'!M410</f>
        <v>Rekomendasi auditor mutu internal berkaitan dengan hasil temuan</v>
      </c>
      <c r="F52" s="39">
        <f>'Kertas Kerja'!K416</f>
        <v>0</v>
      </c>
      <c r="G52" s="34"/>
      <c r="H52" s="35">
        <v>3.0666666666666669</v>
      </c>
      <c r="I52" s="35">
        <f t="shared" si="0"/>
        <v>0</v>
      </c>
      <c r="J52" s="42"/>
      <c r="K52" s="42"/>
      <c r="L52" s="42"/>
      <c r="M52" s="42"/>
      <c r="N52" s="42"/>
      <c r="O52" s="42"/>
      <c r="Q52" s="37">
        <v>40</v>
      </c>
    </row>
    <row r="53" spans="1:17" s="37" customFormat="1" ht="156" x14ac:dyDescent="0.2">
      <c r="A53" s="31">
        <v>41</v>
      </c>
      <c r="B53" s="38">
        <f t="shared" si="1"/>
        <v>38</v>
      </c>
      <c r="C53" s="41" t="s">
        <v>68</v>
      </c>
      <c r="D53" s="42" t="str">
        <f>'Kertas Kerja'!L458</f>
        <v>Deskripsi temuan auditor mutu internal tentang indikator yang terkait</v>
      </c>
      <c r="E53" s="42" t="str">
        <f>'Kertas Kerja'!M458</f>
        <v>Rekomendasi auditor mutu internal berkaitan dengan hasil temuan</v>
      </c>
      <c r="F53" s="39">
        <f>'Kertas Kerja'!K476</f>
        <v>0</v>
      </c>
      <c r="G53" s="34"/>
      <c r="H53" s="35">
        <v>2.5090909090909093</v>
      </c>
      <c r="I53" s="35">
        <f t="shared" si="0"/>
        <v>0</v>
      </c>
      <c r="J53" s="42" t="s">
        <v>40</v>
      </c>
      <c r="K53" s="42" t="str">
        <f>IF(F53&gt;=2,"TERPENUHI","TIDAK TERPENUHI")</f>
        <v>TIDAK TERPENUHI</v>
      </c>
      <c r="L53" s="42"/>
      <c r="M53" s="42"/>
      <c r="N53" s="42"/>
      <c r="O53" s="42"/>
      <c r="Q53" s="37">
        <v>41</v>
      </c>
    </row>
    <row r="54" spans="1:17" s="37" customFormat="1" ht="108" x14ac:dyDescent="0.2">
      <c r="A54" s="31">
        <v>42</v>
      </c>
      <c r="B54" s="38">
        <f t="shared" si="1"/>
        <v>39</v>
      </c>
      <c r="C54" s="41" t="s">
        <v>69</v>
      </c>
      <c r="D54" s="42" t="str">
        <f>'Kertas Kerja'!L478</f>
        <v>Deskripsi temuan auditor mutu internal tentang indikator yang terkait</v>
      </c>
      <c r="E54" s="42" t="str">
        <f>'Kertas Kerja'!M478</f>
        <v>Rekomendasi auditor mutu internal berkaitan dengan hasil temuan</v>
      </c>
      <c r="F54" s="39">
        <f>'Kertas Kerja'!K484</f>
        <v>0</v>
      </c>
      <c r="G54" s="34"/>
      <c r="H54" s="35">
        <v>0.83636363636363642</v>
      </c>
      <c r="I54" s="35">
        <f t="shared" si="0"/>
        <v>0</v>
      </c>
      <c r="J54" s="42"/>
      <c r="K54" s="42"/>
      <c r="L54" s="42"/>
      <c r="M54" s="42"/>
      <c r="N54" s="42"/>
      <c r="O54" s="42"/>
      <c r="Q54" s="37">
        <v>42</v>
      </c>
    </row>
    <row r="55" spans="1:17" s="37" customFormat="1" ht="96" x14ac:dyDescent="0.2">
      <c r="A55" s="31">
        <v>43</v>
      </c>
      <c r="B55" s="38">
        <f t="shared" si="1"/>
        <v>40</v>
      </c>
      <c r="C55" s="41" t="s">
        <v>70</v>
      </c>
      <c r="D55" s="42" t="str">
        <f>'Kertas Kerja'!L486</f>
        <v>Deskripsi temuan auditor mutu internal tentang indikator yang terkait</v>
      </c>
      <c r="E55" s="42" t="str">
        <f>'Kertas Kerja'!M486</f>
        <v>Rekomendasi auditor mutu internal berkaitan dengan hasil temuan</v>
      </c>
      <c r="F55" s="39">
        <f>'Kertas Kerja'!K498</f>
        <v>0</v>
      </c>
      <c r="G55" s="34"/>
      <c r="H55" s="35">
        <v>1.6727272727272728</v>
      </c>
      <c r="I55" s="35">
        <f t="shared" si="0"/>
        <v>0</v>
      </c>
      <c r="J55" s="42"/>
      <c r="K55" s="42"/>
      <c r="L55" s="42"/>
      <c r="M55" s="42"/>
      <c r="N55" s="42"/>
      <c r="O55" s="42"/>
      <c r="Q55" s="37">
        <v>43</v>
      </c>
    </row>
    <row r="56" spans="1:17" s="37" customFormat="1" ht="409.5" x14ac:dyDescent="0.2">
      <c r="A56" s="31">
        <v>44</v>
      </c>
      <c r="B56" s="38">
        <f t="shared" si="1"/>
        <v>41</v>
      </c>
      <c r="C56" s="41" t="s">
        <v>71</v>
      </c>
      <c r="D56" s="42" t="str">
        <f>'Kertas Kerja'!L500</f>
        <v>Deskripsi temuan auditor mutu internal tentang indikator yang terkait</v>
      </c>
      <c r="E56" s="42" t="str">
        <f>'Kertas Kerja'!M500</f>
        <v>Rekomendasi auditor mutu internal berkaitan dengan hasil temuan</v>
      </c>
      <c r="F56" s="39">
        <f>'Kertas Kerja'!K530</f>
        <v>0</v>
      </c>
      <c r="G56" s="34"/>
      <c r="H56" s="35">
        <v>1.1151515151515152</v>
      </c>
      <c r="I56" s="35">
        <f t="shared" si="0"/>
        <v>0</v>
      </c>
      <c r="J56" s="42"/>
      <c r="K56" s="42"/>
      <c r="L56" s="42"/>
      <c r="M56" s="42"/>
      <c r="N56" s="42"/>
      <c r="O56" s="42"/>
      <c r="Q56" s="37">
        <v>44</v>
      </c>
    </row>
    <row r="57" spans="1:17" s="37" customFormat="1" ht="60" x14ac:dyDescent="0.2">
      <c r="A57" s="31">
        <v>45</v>
      </c>
      <c r="B57" s="38">
        <f t="shared" si="1"/>
        <v>42</v>
      </c>
      <c r="C57" s="41" t="s">
        <v>72</v>
      </c>
      <c r="D57" s="42" t="str">
        <f>'Kertas Kerja'!L532</f>
        <v>Deskripsi temuan auditor mutu internal tentang indikator yang terkait</v>
      </c>
      <c r="E57" s="42" t="str">
        <f>'Kertas Kerja'!M532</f>
        <v>Rekomendasi auditor mutu internal berkaitan dengan hasil temuan</v>
      </c>
      <c r="F57" s="39">
        <f>'Kertas Kerja'!K536</f>
        <v>0</v>
      </c>
      <c r="G57" s="34"/>
      <c r="H57" s="35">
        <v>0.55757575757575761</v>
      </c>
      <c r="I57" s="35">
        <f t="shared" si="0"/>
        <v>0</v>
      </c>
      <c r="J57" s="42"/>
      <c r="K57" s="42"/>
      <c r="L57" s="42"/>
      <c r="M57" s="42"/>
      <c r="N57" s="42"/>
      <c r="O57" s="42"/>
      <c r="Q57" s="37">
        <v>45</v>
      </c>
    </row>
    <row r="58" spans="1:17" s="37" customFormat="1" ht="120" x14ac:dyDescent="0.2">
      <c r="A58" s="31">
        <v>46</v>
      </c>
      <c r="B58" s="38">
        <f t="shared" si="1"/>
        <v>43</v>
      </c>
      <c r="C58" s="41" t="s">
        <v>73</v>
      </c>
      <c r="D58" s="42" t="str">
        <f>'Kertas Kerja'!L538</f>
        <v>Deskripsi temuan auditor mutu internal tentang indikator yang terkait</v>
      </c>
      <c r="E58" s="42" t="str">
        <f>'Kertas Kerja'!M538</f>
        <v>Rekomendasi auditor mutu internal berkaitan dengan hasil temuan</v>
      </c>
      <c r="F58" s="44">
        <f>'Kertas Kerja'!K544</f>
        <v>0</v>
      </c>
      <c r="G58" s="34"/>
      <c r="H58" s="35">
        <v>2.5090909090909093</v>
      </c>
      <c r="I58" s="35">
        <f t="shared" si="0"/>
        <v>0</v>
      </c>
      <c r="J58" s="42"/>
      <c r="K58" s="42"/>
      <c r="L58" s="42"/>
      <c r="M58" s="42"/>
      <c r="N58" s="42"/>
      <c r="O58" s="42"/>
      <c r="Q58" s="37">
        <v>46</v>
      </c>
    </row>
    <row r="59" spans="1:17" s="37" customFormat="1" ht="409.5" x14ac:dyDescent="0.2">
      <c r="A59" s="31">
        <v>47</v>
      </c>
      <c r="B59" s="38">
        <f t="shared" si="1"/>
        <v>44</v>
      </c>
      <c r="C59" s="41" t="s">
        <v>74</v>
      </c>
      <c r="D59" s="42" t="str">
        <f>'Kertas Kerja'!L546</f>
        <v>Deskripsi temuan auditor mutu internal tentang indikator yang terkait</v>
      </c>
      <c r="E59" s="42" t="str">
        <f>'Kertas Kerja'!M546</f>
        <v>Rekomendasi auditor mutu internal berkaitan dengan hasil temuan</v>
      </c>
      <c r="F59" s="45">
        <f>'Kertas Kerja'!K564</f>
        <v>0</v>
      </c>
      <c r="G59" s="34"/>
      <c r="H59" s="35">
        <v>1.6727272727272728</v>
      </c>
      <c r="I59" s="35">
        <f t="shared" si="0"/>
        <v>0</v>
      </c>
      <c r="J59" s="42"/>
      <c r="K59" s="42"/>
      <c r="L59" s="42"/>
      <c r="M59" s="42"/>
      <c r="N59" s="42"/>
      <c r="O59" s="42"/>
      <c r="Q59" s="37">
        <v>47</v>
      </c>
    </row>
    <row r="60" spans="1:17" s="37" customFormat="1" ht="84" x14ac:dyDescent="0.2">
      <c r="A60" s="31">
        <v>48</v>
      </c>
      <c r="B60" s="38">
        <f t="shared" si="1"/>
        <v>45</v>
      </c>
      <c r="C60" s="41" t="s">
        <v>75</v>
      </c>
      <c r="D60" s="42" t="str">
        <f>'Kertas Kerja'!L566</f>
        <v>Deskripsi temuan auditor mutu internal tentang indikator yang terkait</v>
      </c>
      <c r="E60" s="42" t="str">
        <f>'Kertas Kerja'!M566</f>
        <v>Rekomendasi auditor mutu internal berkaitan dengan hasil temuan</v>
      </c>
      <c r="F60" s="44">
        <f>'Kertas Kerja'!K568</f>
        <v>2</v>
      </c>
      <c r="G60" s="34"/>
      <c r="H60" s="35">
        <v>1.6727272727272728</v>
      </c>
      <c r="I60" s="35">
        <f t="shared" si="0"/>
        <v>3.3454545454545457</v>
      </c>
      <c r="J60" s="42"/>
      <c r="K60" s="42"/>
      <c r="L60" s="42"/>
      <c r="M60" s="42"/>
      <c r="N60" s="42"/>
      <c r="O60" s="42"/>
      <c r="Q60" s="37">
        <v>48</v>
      </c>
    </row>
    <row r="61" spans="1:17" s="37" customFormat="1" ht="120" x14ac:dyDescent="0.2">
      <c r="A61" s="31">
        <v>49</v>
      </c>
      <c r="B61" s="38">
        <f t="shared" si="1"/>
        <v>46</v>
      </c>
      <c r="C61" s="41" t="s">
        <v>76</v>
      </c>
      <c r="D61" s="245" t="str">
        <f>'Kertas Kerja'!L570</f>
        <v>Deskripsi temuan auditor mutu internal tentang indikator yang terkait</v>
      </c>
      <c r="E61" s="245" t="str">
        <f>'Kertas Kerja'!M570</f>
        <v>Rekomendasi auditor mutu internal berkaitan dengan hasil temuan</v>
      </c>
      <c r="F61" s="44">
        <f>'Kertas Kerja'!K576</f>
        <v>0</v>
      </c>
      <c r="G61" s="34"/>
      <c r="H61" s="35">
        <v>2.5090909090909093</v>
      </c>
      <c r="I61" s="35">
        <f t="shared" si="0"/>
        <v>0</v>
      </c>
      <c r="J61" s="42"/>
      <c r="K61" s="42"/>
      <c r="L61" s="42"/>
      <c r="M61" s="42"/>
      <c r="N61" s="42"/>
      <c r="O61" s="42"/>
      <c r="Q61" s="37">
        <v>49</v>
      </c>
    </row>
    <row r="62" spans="1:17" s="37" customFormat="1" ht="84" x14ac:dyDescent="0.2">
      <c r="A62" s="31">
        <v>50</v>
      </c>
      <c r="B62" s="38">
        <f t="shared" si="1"/>
        <v>47</v>
      </c>
      <c r="C62" s="41" t="s">
        <v>77</v>
      </c>
      <c r="D62" s="248" t="str">
        <f>'Kertas Kerja'!L578</f>
        <v>Deskripsi temuan auditor mutu internal tentang indikator yang terkait</v>
      </c>
      <c r="E62" s="248" t="str">
        <f>'Kertas Kerja'!M578</f>
        <v>Rekomendasi auditor mutu internal berkaitan dengan hasil temuan</v>
      </c>
      <c r="F62" s="44">
        <f>'Kertas Kerja'!K588</f>
        <v>0</v>
      </c>
      <c r="G62" s="34"/>
      <c r="H62" s="35">
        <v>3.3454545454545457</v>
      </c>
      <c r="I62" s="35">
        <f t="shared" si="0"/>
        <v>0</v>
      </c>
      <c r="J62" s="42"/>
      <c r="K62" s="42"/>
      <c r="L62" s="42"/>
      <c r="M62" s="42"/>
      <c r="N62" s="42"/>
      <c r="O62" s="42"/>
      <c r="Q62" s="37">
        <v>50</v>
      </c>
    </row>
    <row r="63" spans="1:17" s="37" customFormat="1" ht="240" x14ac:dyDescent="0.2">
      <c r="A63" s="31">
        <v>51</v>
      </c>
      <c r="B63" s="38">
        <f t="shared" si="1"/>
        <v>48</v>
      </c>
      <c r="C63" s="41" t="s">
        <v>78</v>
      </c>
      <c r="D63" s="245" t="str">
        <f>'Kertas Kerja'!L590</f>
        <v>Deskripsi temuan auditor mutu internal tentang indikator yang terkait</v>
      </c>
      <c r="E63" s="245" t="str">
        <f>'Kertas Kerja'!M590</f>
        <v>Rekomendasi auditor mutu internal berkaitan dengan hasil temuan</v>
      </c>
      <c r="F63" s="44">
        <f>'Kertas Kerja'!K596</f>
        <v>0</v>
      </c>
      <c r="G63" s="34"/>
      <c r="H63" s="35">
        <v>1.5333333333333334</v>
      </c>
      <c r="I63" s="35">
        <f t="shared" si="0"/>
        <v>0</v>
      </c>
      <c r="J63" s="42"/>
      <c r="K63" s="42"/>
      <c r="L63" s="42"/>
      <c r="M63" s="42"/>
      <c r="N63" s="42"/>
      <c r="O63" s="42"/>
      <c r="Q63" s="37">
        <v>51</v>
      </c>
    </row>
    <row r="64" spans="1:17" s="37" customFormat="1" ht="84" x14ac:dyDescent="0.2">
      <c r="A64" s="31">
        <v>52</v>
      </c>
      <c r="B64" s="38">
        <f t="shared" si="1"/>
        <v>49</v>
      </c>
      <c r="C64" s="41" t="s">
        <v>79</v>
      </c>
      <c r="D64" s="245" t="str">
        <f>'Kertas Kerja'!L614</f>
        <v>Deskripsi temuan auditor mutu internal tentang indikator yang terkait</v>
      </c>
      <c r="E64" s="245" t="str">
        <f>'Kertas Kerja'!M614</f>
        <v>Rekomendasi auditor mutu internal berkaitan dengan hasil temuan</v>
      </c>
      <c r="F64" s="44">
        <f>'Kertas Kerja'!K616</f>
        <v>2</v>
      </c>
      <c r="G64" s="34"/>
      <c r="H64" s="35">
        <v>3.0666666666666669</v>
      </c>
      <c r="I64" s="35">
        <f t="shared" si="0"/>
        <v>6.1333333333333337</v>
      </c>
      <c r="J64" s="42"/>
      <c r="K64" s="42"/>
      <c r="L64" s="42"/>
      <c r="M64" s="42"/>
      <c r="N64" s="42"/>
      <c r="O64" s="42"/>
      <c r="Q64" s="37">
        <v>52</v>
      </c>
    </row>
    <row r="65" spans="1:17" s="37" customFormat="1" ht="12" hidden="1" x14ac:dyDescent="0.2">
      <c r="A65" s="31">
        <v>53</v>
      </c>
      <c r="B65" s="38">
        <f t="shared" si="1"/>
        <v>50</v>
      </c>
      <c r="C65" s="256"/>
      <c r="D65" s="260">
        <f>'[1]Kertas Kerja'!H626</f>
        <v>0</v>
      </c>
      <c r="E65" s="260"/>
      <c r="F65" s="261">
        <f>'[1]Kertas Kerja'!E631</f>
        <v>0</v>
      </c>
      <c r="G65" s="34"/>
      <c r="H65" s="259"/>
      <c r="I65" s="259">
        <f t="shared" si="0"/>
        <v>0</v>
      </c>
      <c r="J65" s="257"/>
      <c r="K65" s="257"/>
      <c r="L65" s="257"/>
      <c r="M65" s="257"/>
      <c r="N65" s="257"/>
      <c r="O65" s="257"/>
      <c r="Q65" s="37">
        <v>53</v>
      </c>
    </row>
    <row r="66" spans="1:17" s="37" customFormat="1" ht="228" x14ac:dyDescent="0.2">
      <c r="A66" s="31">
        <v>54</v>
      </c>
      <c r="B66" s="38">
        <f>B64+1</f>
        <v>50</v>
      </c>
      <c r="C66" s="41" t="s">
        <v>80</v>
      </c>
      <c r="D66" s="245" t="str">
        <f>'Kertas Kerja'!L642</f>
        <v>Deskripsi temuan auditor mutu internal tentang indikator yang terkait</v>
      </c>
      <c r="E66" s="245" t="str">
        <f>'Kertas Kerja'!M642</f>
        <v>Rekomendasi auditor mutu internal berkaitan dengan hasil temuan</v>
      </c>
      <c r="F66" s="44">
        <f>'Kertas Kerja'!K648</f>
        <v>0</v>
      </c>
      <c r="G66" s="34"/>
      <c r="H66" s="35">
        <v>0.51111111111111118</v>
      </c>
      <c r="I66" s="35">
        <f t="shared" si="0"/>
        <v>0</v>
      </c>
      <c r="J66" s="42"/>
      <c r="K66" s="42"/>
      <c r="L66" s="42"/>
      <c r="M66" s="42"/>
      <c r="N66" s="42"/>
      <c r="O66" s="42"/>
      <c r="Q66" s="37">
        <v>54</v>
      </c>
    </row>
    <row r="67" spans="1:17" s="37" customFormat="1" ht="84" x14ac:dyDescent="0.2">
      <c r="A67" s="31">
        <v>55</v>
      </c>
      <c r="B67" s="38">
        <f t="shared" si="1"/>
        <v>51</v>
      </c>
      <c r="C67" s="41" t="s">
        <v>81</v>
      </c>
      <c r="D67" s="245" t="str">
        <f>'Kertas Kerja'!L658</f>
        <v>Deskripsi temuan auditor mutu internal tentang indikator yang terkait</v>
      </c>
      <c r="E67" s="245" t="str">
        <f>'Kertas Kerja'!M658</f>
        <v>Rekomendasi auditor mutu internal berkaitan dengan hasil temuan</v>
      </c>
      <c r="F67" s="44">
        <f>'Kertas Kerja'!K660</f>
        <v>2</v>
      </c>
      <c r="G67" s="34"/>
      <c r="H67" s="35">
        <v>1.0222222222222224</v>
      </c>
      <c r="I67" s="35">
        <f t="shared" si="0"/>
        <v>2.0444444444444447</v>
      </c>
      <c r="J67" s="42"/>
      <c r="K67" s="42"/>
      <c r="L67" s="42"/>
      <c r="M67" s="42"/>
      <c r="N67" s="42"/>
      <c r="O67" s="42"/>
      <c r="Q67" s="37">
        <v>55</v>
      </c>
    </row>
    <row r="68" spans="1:17" s="37" customFormat="1" ht="168" x14ac:dyDescent="0.2">
      <c r="A68" s="31">
        <v>56</v>
      </c>
      <c r="B68" s="38">
        <f t="shared" si="1"/>
        <v>52</v>
      </c>
      <c r="C68" s="41" t="s">
        <v>82</v>
      </c>
      <c r="D68" s="245" t="str">
        <f>'Kertas Kerja'!L662</f>
        <v>Deskripsi temuan auditor mutu internal tentang indikator yang terkait</v>
      </c>
      <c r="E68" s="245" t="str">
        <f>'Kertas Kerja'!M662</f>
        <v>Rekomendasi auditor mutu internal berkaitan dengan hasil temuan</v>
      </c>
      <c r="F68" s="44">
        <f>'Kertas Kerja'!K668</f>
        <v>0</v>
      </c>
      <c r="G68" s="34"/>
      <c r="H68" s="35">
        <v>1.9166666666666665</v>
      </c>
      <c r="I68" s="35">
        <f t="shared" si="0"/>
        <v>0</v>
      </c>
      <c r="J68" s="42"/>
      <c r="K68" s="42"/>
      <c r="L68" s="42"/>
      <c r="M68" s="42"/>
      <c r="N68" s="42"/>
      <c r="O68" s="42"/>
      <c r="Q68" s="37">
        <v>56</v>
      </c>
    </row>
    <row r="69" spans="1:17" s="37" customFormat="1" ht="24" x14ac:dyDescent="0.2">
      <c r="A69" s="31">
        <v>57</v>
      </c>
      <c r="B69" s="38">
        <f t="shared" si="1"/>
        <v>53</v>
      </c>
      <c r="C69" s="41" t="s">
        <v>83</v>
      </c>
      <c r="D69" s="245" t="str">
        <f>'Kertas Kerja'!L670</f>
        <v>Deskripsi temuan auditor mutu internal tentang indikator yang terkait</v>
      </c>
      <c r="E69" s="245" t="str">
        <f>'Kertas Kerja'!M670</f>
        <v>Rekomendasi auditor mutu internal berkaitan dengan hasil temuan</v>
      </c>
      <c r="F69" s="44">
        <f>'Kertas Kerja'!K680</f>
        <v>2</v>
      </c>
      <c r="G69" s="34"/>
      <c r="H69" s="35">
        <v>1.9166666666666665</v>
      </c>
      <c r="I69" s="35">
        <f t="shared" si="0"/>
        <v>3.833333333333333</v>
      </c>
      <c r="J69" s="42"/>
      <c r="K69" s="42"/>
      <c r="L69" s="42"/>
      <c r="M69" s="42"/>
      <c r="N69" s="42"/>
      <c r="O69" s="42"/>
      <c r="Q69" s="37">
        <v>57</v>
      </c>
    </row>
    <row r="70" spans="1:17" s="37" customFormat="1" ht="36" x14ac:dyDescent="0.2">
      <c r="A70" s="31">
        <v>58</v>
      </c>
      <c r="B70" s="38">
        <f t="shared" si="1"/>
        <v>54</v>
      </c>
      <c r="C70" s="41" t="s">
        <v>84</v>
      </c>
      <c r="D70" s="249" t="str">
        <f>'Kertas Kerja'!L682</f>
        <v>Deskripsi temuan auditor mutu internal tentang indikator yang terkait</v>
      </c>
      <c r="E70" s="249" t="str">
        <f>'Kertas Kerja'!M682</f>
        <v>Rekomendasi auditor mutu internal berkaitan dengan hasil temuan</v>
      </c>
      <c r="F70" s="44">
        <f>'Kertas Kerja'!K693</f>
        <v>0</v>
      </c>
      <c r="G70" s="34"/>
      <c r="H70" s="35">
        <v>2.875</v>
      </c>
      <c r="I70" s="35">
        <f t="shared" si="0"/>
        <v>0</v>
      </c>
      <c r="J70" s="42"/>
      <c r="K70" s="42"/>
      <c r="L70" s="42"/>
      <c r="M70" s="42"/>
      <c r="N70" s="42"/>
      <c r="O70" s="42"/>
      <c r="Q70" s="37">
        <v>58</v>
      </c>
    </row>
    <row r="71" spans="1:17" s="37" customFormat="1" ht="48" x14ac:dyDescent="0.2">
      <c r="A71" s="31">
        <v>59</v>
      </c>
      <c r="B71" s="38">
        <f t="shared" si="1"/>
        <v>55</v>
      </c>
      <c r="C71" s="41" t="s">
        <v>85</v>
      </c>
      <c r="D71" s="245" t="str">
        <f>'Kertas Kerja'!L695</f>
        <v>Deskripsi temuan auditor mutu internal tentang indikator yang terkait</v>
      </c>
      <c r="E71" s="245" t="str">
        <f>'Kertas Kerja'!M695</f>
        <v>Rekomendasi auditor mutu internal berkaitan dengan hasil temuan</v>
      </c>
      <c r="F71" s="44">
        <f>'Kertas Kerja'!K706</f>
        <v>0</v>
      </c>
      <c r="G71" s="34"/>
      <c r="H71" s="35">
        <v>0.95833333333333326</v>
      </c>
      <c r="I71" s="35">
        <f t="shared" si="0"/>
        <v>0</v>
      </c>
      <c r="J71" s="42"/>
      <c r="K71" s="42"/>
      <c r="L71" s="42"/>
      <c r="M71" s="42"/>
      <c r="N71" s="42"/>
      <c r="O71" s="42"/>
      <c r="Q71" s="37">
        <v>59</v>
      </c>
    </row>
    <row r="72" spans="1:17" s="37" customFormat="1" ht="24" x14ac:dyDescent="0.2">
      <c r="A72" s="31">
        <v>60</v>
      </c>
      <c r="B72" s="38">
        <f t="shared" si="1"/>
        <v>56</v>
      </c>
      <c r="C72" s="41" t="s">
        <v>86</v>
      </c>
      <c r="D72" s="42" t="str">
        <f>'Kertas Kerja'!L708</f>
        <v>Deskripsi temuan auditor mutu internal tentang indikator yang terkait</v>
      </c>
      <c r="E72" s="42" t="str">
        <f>'Kertas Kerja'!M708</f>
        <v>Rekomendasi auditor mutu internal berkaitan dengan hasil temuan</v>
      </c>
      <c r="F72" s="35">
        <f>'Kertas Kerja'!K720</f>
        <v>0</v>
      </c>
      <c r="G72" s="34"/>
      <c r="H72" s="35">
        <v>1.9166666666666665</v>
      </c>
      <c r="I72" s="35">
        <f t="shared" si="0"/>
        <v>0</v>
      </c>
      <c r="J72" s="42"/>
      <c r="K72" s="42"/>
      <c r="L72" s="42"/>
      <c r="M72" s="42"/>
      <c r="N72" s="42"/>
      <c r="O72" s="42"/>
      <c r="Q72" s="37">
        <v>60</v>
      </c>
    </row>
    <row r="73" spans="1:17" s="37" customFormat="1" ht="24" x14ac:dyDescent="0.2">
      <c r="A73" s="31">
        <v>61</v>
      </c>
      <c r="B73" s="38">
        <f t="shared" si="1"/>
        <v>57</v>
      </c>
      <c r="C73" s="41" t="s">
        <v>87</v>
      </c>
      <c r="D73" s="42" t="str">
        <f>'Kertas Kerja'!L722</f>
        <v>Deskripsi temuan auditor mutu internal tentang indikator yang terkait</v>
      </c>
      <c r="E73" s="42" t="str">
        <f>'Kertas Kerja'!M722</f>
        <v>Rekomendasi auditor mutu internal berkaitan dengan hasil temuan</v>
      </c>
      <c r="F73" s="35">
        <f>'Kertas Kerja'!K732</f>
        <v>1</v>
      </c>
      <c r="G73" s="34"/>
      <c r="H73" s="35">
        <v>1.9166666666666665</v>
      </c>
      <c r="I73" s="35">
        <f t="shared" si="0"/>
        <v>1.9166666666666665</v>
      </c>
      <c r="J73" s="42"/>
      <c r="K73" s="42"/>
      <c r="L73" s="42"/>
      <c r="M73" s="42"/>
      <c r="N73" s="42"/>
      <c r="O73" s="42"/>
      <c r="Q73" s="37">
        <v>61</v>
      </c>
    </row>
    <row r="74" spans="1:17" s="37" customFormat="1" ht="24" x14ac:dyDescent="0.2">
      <c r="A74" s="31">
        <v>62</v>
      </c>
      <c r="B74" s="38">
        <f t="shared" si="1"/>
        <v>58</v>
      </c>
      <c r="C74" s="41" t="s">
        <v>88</v>
      </c>
      <c r="D74" s="42" t="str">
        <f>'Kertas Kerja'!L734</f>
        <v>Deskripsi temuan auditor mutu internal tentang indikator yang terkait</v>
      </c>
      <c r="E74" s="42" t="str">
        <f>'Kertas Kerja'!M734</f>
        <v>Rekomendasi auditor mutu internal berkaitan dengan hasil temuan</v>
      </c>
      <c r="F74" s="35">
        <f>'Kertas Kerja'!K743</f>
        <v>0</v>
      </c>
      <c r="G74" s="34"/>
      <c r="H74" s="39">
        <v>1.9166666666666665</v>
      </c>
      <c r="I74" s="35">
        <f t="shared" si="0"/>
        <v>0</v>
      </c>
      <c r="J74" s="42"/>
      <c r="K74" s="42"/>
      <c r="L74" s="42"/>
      <c r="M74" s="42"/>
      <c r="N74" s="42"/>
      <c r="O74" s="42"/>
      <c r="Q74" s="37">
        <v>62</v>
      </c>
    </row>
    <row r="75" spans="1:17" s="37" customFormat="1" ht="180" x14ac:dyDescent="0.2">
      <c r="A75" s="31">
        <v>63</v>
      </c>
      <c r="B75" s="38">
        <f t="shared" si="1"/>
        <v>59</v>
      </c>
      <c r="C75" s="41" t="s">
        <v>89</v>
      </c>
      <c r="D75" s="42" t="str">
        <f>'Kertas Kerja'!L745</f>
        <v>Deskripsi temuan auditor mutu internal tentang indikator yang terkait</v>
      </c>
      <c r="E75" s="42" t="str">
        <f>'Kertas Kerja'!M745</f>
        <v>Rekomendasi auditor mutu internal berkaitan dengan hasil temuan</v>
      </c>
      <c r="F75" s="35">
        <f>'Kertas Kerja'!K751</f>
        <v>0</v>
      </c>
      <c r="G75" s="34"/>
      <c r="H75" s="39">
        <v>2.875</v>
      </c>
      <c r="I75" s="35">
        <f t="shared" si="0"/>
        <v>0</v>
      </c>
      <c r="J75" s="42"/>
      <c r="K75" s="42"/>
      <c r="L75" s="42"/>
      <c r="M75" s="42"/>
      <c r="N75" s="42"/>
      <c r="O75" s="42"/>
      <c r="Q75" s="37">
        <v>63</v>
      </c>
    </row>
    <row r="76" spans="1:17" s="37" customFormat="1" ht="24" x14ac:dyDescent="0.2">
      <c r="A76" s="31">
        <v>64</v>
      </c>
      <c r="B76" s="38">
        <f t="shared" si="1"/>
        <v>60</v>
      </c>
      <c r="C76" s="41" t="s">
        <v>90</v>
      </c>
      <c r="D76" s="42" t="str">
        <f>'Kertas Kerja'!L753</f>
        <v>Deskripsi temuan auditor mutu internal tentang indikator yang terkait</v>
      </c>
      <c r="E76" s="42" t="str">
        <f>'Kertas Kerja'!M753</f>
        <v>Rekomendasi auditor mutu internal berkaitan dengan hasil temuan</v>
      </c>
      <c r="F76" s="35">
        <f>'Kertas Kerja'!K780</f>
        <v>4</v>
      </c>
      <c r="G76" s="34"/>
      <c r="H76" s="39">
        <v>2.875</v>
      </c>
      <c r="I76" s="35">
        <f t="shared" si="0"/>
        <v>11.5</v>
      </c>
      <c r="J76" s="42"/>
      <c r="K76" s="42"/>
      <c r="L76" s="42" t="s">
        <v>47</v>
      </c>
      <c r="M76" s="42" t="str">
        <f>IF(F76&gt;=3.5,"TERPENUHI","TIDAK TERPENUHI")</f>
        <v>TERPENUHI</v>
      </c>
      <c r="N76" s="42" t="s">
        <v>48</v>
      </c>
      <c r="O76" s="42" t="str">
        <f>IF(F76&gt;=3,"TERPENUHI","TIDAK TERPENUHI")</f>
        <v>TERPENUHI</v>
      </c>
      <c r="Q76" s="37">
        <v>64</v>
      </c>
    </row>
    <row r="77" spans="1:17" s="37" customFormat="1" ht="36" x14ac:dyDescent="0.2">
      <c r="A77" s="31">
        <v>65</v>
      </c>
      <c r="B77" s="38">
        <f t="shared" si="1"/>
        <v>61</v>
      </c>
      <c r="C77" s="41" t="s">
        <v>91</v>
      </c>
      <c r="D77" s="42" t="str">
        <f>'Kertas Kerja'!L782</f>
        <v>Deskripsi temuan auditor mutu internal tentang indikator yang terkait</v>
      </c>
      <c r="E77" s="42" t="str">
        <f>'Kertas Kerja'!M782</f>
        <v>Rekomendasi auditor mutu internal berkaitan dengan hasil temuan</v>
      </c>
      <c r="F77" s="35">
        <f>'Kertas Kerja'!K807</f>
        <v>0</v>
      </c>
      <c r="G77" s="34"/>
      <c r="H77" s="39">
        <v>1.9166666666666665</v>
      </c>
      <c r="I77" s="35">
        <f t="shared" si="0"/>
        <v>0</v>
      </c>
      <c r="J77" s="42"/>
      <c r="K77" s="42"/>
      <c r="L77" s="42" t="s">
        <v>47</v>
      </c>
      <c r="M77" s="42" t="str">
        <f>IF(F77&gt;=3.5,"TERPENUHI","TIDAK TERPENUHI")</f>
        <v>TIDAK TERPENUHI</v>
      </c>
      <c r="N77" s="42" t="s">
        <v>48</v>
      </c>
      <c r="O77" s="42" t="str">
        <f>IF(F77&gt;=3,"TERPENUHI","TIDAK TERPENUHI")</f>
        <v>TIDAK TERPENUHI</v>
      </c>
      <c r="Q77" s="37">
        <v>65</v>
      </c>
    </row>
    <row r="78" spans="1:17" s="37" customFormat="1" ht="36" x14ac:dyDescent="0.2">
      <c r="A78" s="31">
        <v>66</v>
      </c>
      <c r="B78" s="38">
        <f t="shared" si="1"/>
        <v>62</v>
      </c>
      <c r="C78" s="41" t="s">
        <v>92</v>
      </c>
      <c r="D78" s="42" t="str">
        <f>'Kertas Kerja'!L809</f>
        <v>Deskripsi temuan auditor mutu internal tentang indikator yang terkait</v>
      </c>
      <c r="E78" s="42" t="str">
        <f>'Kertas Kerja'!M809</f>
        <v>Rekomendasi auditor mutu internal berkaitan dengan hasil temuan</v>
      </c>
      <c r="F78" s="35">
        <f>'Kertas Kerja'!K840</f>
        <v>0</v>
      </c>
      <c r="G78" s="34"/>
      <c r="H78" s="35">
        <v>1.9166666666666665</v>
      </c>
      <c r="I78" s="35">
        <f t="shared" ref="I78:I87" si="2">F78*H78</f>
        <v>0</v>
      </c>
      <c r="J78" s="42"/>
      <c r="K78" s="42"/>
      <c r="L78" s="42"/>
      <c r="M78" s="42"/>
      <c r="N78" s="42"/>
      <c r="O78" s="42"/>
      <c r="Q78" s="37">
        <v>66</v>
      </c>
    </row>
    <row r="79" spans="1:17" s="37" customFormat="1" ht="36" x14ac:dyDescent="0.2">
      <c r="A79" s="31">
        <v>67</v>
      </c>
      <c r="B79" s="38">
        <f t="shared" ref="B79:B87" si="3">B78+1</f>
        <v>63</v>
      </c>
      <c r="C79" s="41" t="s">
        <v>93</v>
      </c>
      <c r="D79" s="42" t="str">
        <f>'Kertas Kerja'!L842</f>
        <v>Deskripsi temuan auditor mutu internal tentang indikator yang terkait</v>
      </c>
      <c r="E79" s="42" t="str">
        <f>'Kertas Kerja'!M842</f>
        <v>Rekomendasi auditor mutu internal berkaitan dengan hasil temuan</v>
      </c>
      <c r="F79" s="35">
        <f>'Kertas Kerja'!K888</f>
        <v>0</v>
      </c>
      <c r="G79" s="34"/>
      <c r="H79" s="35">
        <v>3.833333333333333</v>
      </c>
      <c r="I79" s="35">
        <f t="shared" si="2"/>
        <v>0</v>
      </c>
      <c r="J79" s="42"/>
      <c r="K79" s="42"/>
      <c r="L79" s="42"/>
      <c r="M79" s="42"/>
      <c r="N79" s="42"/>
      <c r="O79" s="42"/>
      <c r="Q79" s="37">
        <v>67</v>
      </c>
    </row>
    <row r="80" spans="1:17" s="37" customFormat="1" ht="108" x14ac:dyDescent="0.2">
      <c r="A80" s="31">
        <v>68</v>
      </c>
      <c r="B80" s="38">
        <f t="shared" si="3"/>
        <v>64</v>
      </c>
      <c r="C80" s="41" t="s">
        <v>94</v>
      </c>
      <c r="D80" s="42" t="str">
        <f>'Kertas Kerja'!L890</f>
        <v>Deskripsi temuan auditor mutu internal tentang indikator yang terkait</v>
      </c>
      <c r="E80" s="42" t="str">
        <f>'Kertas Kerja'!M890</f>
        <v>Rekomendasi auditor mutu internal berkaitan dengan hasil temuan</v>
      </c>
      <c r="F80" s="35">
        <f>'Kertas Kerja'!K913</f>
        <v>0</v>
      </c>
      <c r="G80" s="34"/>
      <c r="H80" s="35">
        <v>2.875</v>
      </c>
      <c r="I80" s="35">
        <f t="shared" si="2"/>
        <v>0</v>
      </c>
      <c r="J80" s="42"/>
      <c r="K80" s="42"/>
      <c r="L80" s="42"/>
      <c r="M80" s="42"/>
      <c r="N80" s="42"/>
      <c r="O80" s="42"/>
      <c r="Q80" s="37">
        <v>68</v>
      </c>
    </row>
    <row r="81" spans="1:17" s="37" customFormat="1" ht="12" hidden="1" x14ac:dyDescent="0.2">
      <c r="A81" s="31">
        <v>69</v>
      </c>
      <c r="B81" s="38">
        <f t="shared" si="3"/>
        <v>65</v>
      </c>
      <c r="C81" s="256"/>
      <c r="D81" s="257">
        <f>'[1]Kertas Kerja'!H919</f>
        <v>0</v>
      </c>
      <c r="E81" s="257"/>
      <c r="F81" s="259">
        <f>'[1]Kertas Kerja'!E922</f>
        <v>0</v>
      </c>
      <c r="G81" s="34"/>
      <c r="H81" s="259"/>
      <c r="I81" s="259">
        <f t="shared" si="2"/>
        <v>0</v>
      </c>
      <c r="J81" s="257"/>
      <c r="K81" s="257"/>
      <c r="L81" s="257"/>
      <c r="M81" s="257"/>
      <c r="N81" s="257"/>
      <c r="O81" s="257"/>
      <c r="Q81" s="37">
        <v>69</v>
      </c>
    </row>
    <row r="82" spans="1:17" s="37" customFormat="1" ht="12" hidden="1" x14ac:dyDescent="0.2">
      <c r="A82" s="31">
        <v>70</v>
      </c>
      <c r="B82" s="38">
        <f t="shared" si="3"/>
        <v>66</v>
      </c>
      <c r="C82" s="256"/>
      <c r="D82" s="257">
        <f>'[1]Kertas Kerja'!H924</f>
        <v>0</v>
      </c>
      <c r="E82" s="257"/>
      <c r="F82" s="259">
        <f>'[1]Kertas Kerja'!E927</f>
        <v>0</v>
      </c>
      <c r="G82" s="34"/>
      <c r="H82" s="259"/>
      <c r="I82" s="259">
        <f t="shared" si="2"/>
        <v>0</v>
      </c>
      <c r="J82" s="257"/>
      <c r="K82" s="257"/>
      <c r="L82" s="257"/>
      <c r="M82" s="257"/>
      <c r="N82" s="257"/>
      <c r="O82" s="257"/>
      <c r="Q82" s="37">
        <v>70</v>
      </c>
    </row>
    <row r="83" spans="1:17" s="37" customFormat="1" ht="60" x14ac:dyDescent="0.2">
      <c r="A83" s="31">
        <v>71</v>
      </c>
      <c r="B83" s="38">
        <f>B80+1</f>
        <v>65</v>
      </c>
      <c r="C83" s="41" t="s">
        <v>95</v>
      </c>
      <c r="D83" s="42" t="str">
        <f>'Kertas Kerja'!L915</f>
        <v>Deskripsi temuan auditor mutu internal tentang indikator yang terkait</v>
      </c>
      <c r="E83" s="42" t="str">
        <f>'Kertas Kerja'!M915</f>
        <v>Rekomendasi auditor mutu internal berkaitan dengan hasil temuan</v>
      </c>
      <c r="F83" s="35">
        <f>'Kertas Kerja'!K922</f>
        <v>2</v>
      </c>
      <c r="G83" s="34"/>
      <c r="H83" s="35">
        <v>0.95833333333333326</v>
      </c>
      <c r="I83" s="35">
        <f t="shared" si="2"/>
        <v>1.9166666666666665</v>
      </c>
      <c r="J83" s="42"/>
      <c r="K83" s="42"/>
      <c r="L83" s="42"/>
      <c r="M83" s="42"/>
      <c r="N83" s="42"/>
      <c r="O83" s="42"/>
      <c r="Q83" s="37">
        <v>71</v>
      </c>
    </row>
    <row r="84" spans="1:17" s="37" customFormat="1" ht="120" x14ac:dyDescent="0.2">
      <c r="A84" s="31">
        <v>72</v>
      </c>
      <c r="B84" s="38">
        <f t="shared" si="3"/>
        <v>66</v>
      </c>
      <c r="C84" s="46" t="s">
        <v>96</v>
      </c>
      <c r="D84" s="42" t="str">
        <f>'Kertas Kerja'!L924</f>
        <v>Deskripsi temuan auditor mutu internal tentang indikator yang terkait</v>
      </c>
      <c r="E84" s="42" t="str">
        <f>'Kertas Kerja'!M924</f>
        <v>Rekomendasi auditor mutu internal berkaitan dengan hasil temuan</v>
      </c>
      <c r="F84" s="35">
        <f>'Kertas Kerja'!K930</f>
        <v>0</v>
      </c>
      <c r="G84" s="34"/>
      <c r="H84" s="35">
        <v>1.5</v>
      </c>
      <c r="I84" s="35">
        <f t="shared" si="2"/>
        <v>0</v>
      </c>
      <c r="J84" s="42"/>
      <c r="K84" s="42"/>
      <c r="L84" s="42"/>
      <c r="M84" s="42"/>
      <c r="N84" s="42"/>
      <c r="O84" s="42"/>
      <c r="Q84" s="37">
        <v>72</v>
      </c>
    </row>
    <row r="85" spans="1:17" s="37" customFormat="1" ht="72" x14ac:dyDescent="0.2">
      <c r="A85" s="31">
        <v>73</v>
      </c>
      <c r="B85" s="38">
        <f t="shared" si="3"/>
        <v>67</v>
      </c>
      <c r="C85" s="46" t="s">
        <v>97</v>
      </c>
      <c r="D85" s="42" t="str">
        <f>'Kertas Kerja'!L932</f>
        <v>Deskripsi temuan auditor mutu internal tentang indikator yang terkait</v>
      </c>
      <c r="E85" s="42" t="str">
        <f>'Kertas Kerja'!M932</f>
        <v>Rekomendasi auditor mutu internal berkaitan dengan hasil temuan</v>
      </c>
      <c r="F85" s="35">
        <f>'Kertas Kerja'!K938</f>
        <v>0</v>
      </c>
      <c r="G85" s="34"/>
      <c r="H85" s="35">
        <v>1.9999999999999998</v>
      </c>
      <c r="I85" s="35">
        <f t="shared" si="2"/>
        <v>0</v>
      </c>
      <c r="J85" s="42"/>
      <c r="K85" s="42"/>
      <c r="L85" s="42"/>
      <c r="M85" s="42"/>
      <c r="N85" s="42"/>
      <c r="O85" s="42"/>
      <c r="Q85" s="37">
        <v>73</v>
      </c>
    </row>
    <row r="86" spans="1:17" s="37" customFormat="1" ht="60" x14ac:dyDescent="0.2">
      <c r="A86" s="31">
        <v>74</v>
      </c>
      <c r="B86" s="38">
        <f t="shared" si="3"/>
        <v>68</v>
      </c>
      <c r="C86" s="46" t="s">
        <v>98</v>
      </c>
      <c r="D86" s="42" t="str">
        <f>'Kertas Kerja'!L940</f>
        <v>Deskripsi temuan auditor mutu internal tentang indikator yang terkait</v>
      </c>
      <c r="E86" s="42" t="str">
        <f>'Kertas Kerja'!M940</f>
        <v>Rekomendasi auditor mutu internal berkaitan dengan hasil temuan</v>
      </c>
      <c r="F86" s="35">
        <f>'Kertas Kerja'!K946</f>
        <v>0</v>
      </c>
      <c r="G86" s="34"/>
      <c r="H86" s="35">
        <v>1.5</v>
      </c>
      <c r="I86" s="35">
        <f t="shared" si="2"/>
        <v>0</v>
      </c>
      <c r="J86" s="42"/>
      <c r="K86" s="42"/>
      <c r="L86" s="42"/>
      <c r="M86" s="42"/>
      <c r="N86" s="42"/>
      <c r="O86" s="42"/>
      <c r="Q86" s="37">
        <v>74</v>
      </c>
    </row>
    <row r="87" spans="1:17" s="37" customFormat="1" ht="72" x14ac:dyDescent="0.2">
      <c r="A87" s="31">
        <v>75</v>
      </c>
      <c r="B87" s="38">
        <f t="shared" si="3"/>
        <v>69</v>
      </c>
      <c r="C87" s="47" t="s">
        <v>99</v>
      </c>
      <c r="D87" s="42" t="str">
        <f>'Kertas Kerja'!L948</f>
        <v>Deskripsi temuan auditor mutu internal tentang indikator yang terkait</v>
      </c>
      <c r="E87" s="42" t="str">
        <f>'Kertas Kerja'!M948</f>
        <v>Rekomendasi auditor mutu internal berkaitan dengan hasil temuan</v>
      </c>
      <c r="F87" s="35">
        <f>'Kertas Kerja'!K954</f>
        <v>0</v>
      </c>
      <c r="G87" s="34"/>
      <c r="H87" s="35">
        <v>0.99999999999999989</v>
      </c>
      <c r="I87" s="35">
        <f t="shared" si="2"/>
        <v>0</v>
      </c>
      <c r="J87" s="42"/>
      <c r="K87" s="42"/>
      <c r="L87" s="42"/>
      <c r="M87" s="42"/>
      <c r="N87" s="42"/>
      <c r="O87" s="42"/>
      <c r="Q87" s="37">
        <v>75</v>
      </c>
    </row>
    <row r="88" spans="1:17" s="15" customFormat="1" ht="15" x14ac:dyDescent="0.25">
      <c r="A88" s="48"/>
      <c r="B88" s="48"/>
      <c r="C88" s="18"/>
      <c r="D88" s="49"/>
      <c r="E88" s="49"/>
      <c r="F88" s="50"/>
      <c r="J88" s="18"/>
      <c r="K88" s="18"/>
      <c r="L88" s="18"/>
    </row>
    <row r="89" spans="1:17" s="15" customFormat="1" ht="15" x14ac:dyDescent="0.25">
      <c r="A89" s="48"/>
      <c r="B89" s="48"/>
      <c r="C89" s="18"/>
      <c r="D89" s="83" t="str">
        <f>TEXT(D10,"dd mmmm yyyy")</f>
        <v>00 January 1900</v>
      </c>
      <c r="E89" s="51"/>
      <c r="F89" s="50"/>
      <c r="J89" s="18"/>
      <c r="K89" s="18"/>
      <c r="L89" s="18"/>
    </row>
    <row r="90" spans="1:17" s="15" customFormat="1" ht="15" x14ac:dyDescent="0.25">
      <c r="A90" s="48"/>
      <c r="B90" s="48"/>
      <c r="C90" s="18"/>
      <c r="D90" s="51"/>
      <c r="E90" s="51"/>
      <c r="F90" s="50"/>
      <c r="J90" s="18"/>
      <c r="K90" s="18"/>
      <c r="L90" s="18"/>
    </row>
    <row r="91" spans="1:17" s="15" customFormat="1" ht="15" x14ac:dyDescent="0.25">
      <c r="A91" s="48"/>
      <c r="B91" s="48"/>
      <c r="C91" s="18"/>
      <c r="D91" s="49"/>
      <c r="E91" s="49"/>
      <c r="F91" s="50"/>
      <c r="J91" s="18"/>
      <c r="K91" s="18"/>
      <c r="L91" s="18"/>
    </row>
    <row r="92" spans="1:17" s="15" customFormat="1" ht="15" x14ac:dyDescent="0.25">
      <c r="A92" s="48"/>
      <c r="B92" s="48"/>
      <c r="C92" s="18"/>
      <c r="D92" s="26"/>
      <c r="E92" s="26"/>
      <c r="F92" s="50"/>
      <c r="J92" s="18"/>
      <c r="K92" s="18"/>
      <c r="L92" s="18"/>
    </row>
    <row r="93" spans="1:17" s="15" customFormat="1" ht="15" x14ac:dyDescent="0.25">
      <c r="A93" s="48"/>
      <c r="B93" s="427" t="s">
        <v>100</v>
      </c>
      <c r="C93" s="427"/>
      <c r="D93" s="52"/>
      <c r="E93" s="52" t="s">
        <v>100</v>
      </c>
      <c r="F93" s="50"/>
      <c r="J93" s="18"/>
      <c r="K93" s="18"/>
      <c r="L93" s="18"/>
    </row>
    <row r="94" spans="1:17" s="15" customFormat="1" ht="15" x14ac:dyDescent="0.25">
      <c r="A94" s="48"/>
      <c r="B94" s="422"/>
      <c r="C94" s="422"/>
      <c r="D94" s="53"/>
      <c r="E94" s="53"/>
      <c r="F94" s="50"/>
      <c r="J94" s="18"/>
      <c r="K94" s="18"/>
      <c r="L94" s="18"/>
    </row>
    <row r="95" spans="1:17" s="15" customFormat="1" ht="15" x14ac:dyDescent="0.25">
      <c r="A95" s="48"/>
      <c r="B95" s="53"/>
      <c r="C95" s="53"/>
      <c r="D95" s="53"/>
      <c r="E95" s="53"/>
      <c r="F95" s="67"/>
      <c r="J95" s="18"/>
      <c r="K95" s="18"/>
      <c r="L95" s="18"/>
    </row>
    <row r="96" spans="1:17" s="15" customFormat="1" ht="15" x14ac:dyDescent="0.25">
      <c r="A96" s="48"/>
      <c r="B96" s="422"/>
      <c r="C96" s="422"/>
      <c r="D96" s="53"/>
      <c r="E96" s="53"/>
      <c r="F96" s="50"/>
      <c r="J96" s="18"/>
      <c r="K96" s="18"/>
      <c r="L96" s="18"/>
    </row>
    <row r="97" spans="1:12" s="15" customFormat="1" ht="15" x14ac:dyDescent="0.25">
      <c r="A97" s="48"/>
      <c r="B97" s="427" t="str">
        <f>"( "&amp;D8&amp;" )"</f>
        <v>(  )</v>
      </c>
      <c r="C97" s="427"/>
      <c r="D97" s="52"/>
      <c r="E97" s="52" t="str">
        <f>"( "&amp;D9&amp;" )"</f>
        <v>(  )</v>
      </c>
      <c r="F97" s="50"/>
      <c r="J97" s="18"/>
      <c r="K97" s="18"/>
      <c r="L97" s="18"/>
    </row>
  </sheetData>
  <sheetProtection formatColumns="0" formatRows="0" selectLockedCells="1"/>
  <mergeCells count="23">
    <mergeCell ref="B97:C97"/>
    <mergeCell ref="J12:K12"/>
    <mergeCell ref="B8:C8"/>
    <mergeCell ref="B7:C7"/>
    <mergeCell ref="B93:C93"/>
    <mergeCell ref="B94:C94"/>
    <mergeCell ref="L8:O8"/>
    <mergeCell ref="L9:O9"/>
    <mergeCell ref="B96:C96"/>
    <mergeCell ref="O5:P6"/>
    <mergeCell ref="L12:M12"/>
    <mergeCell ref="N12:O12"/>
    <mergeCell ref="L10:O10"/>
    <mergeCell ref="Q5:R6"/>
    <mergeCell ref="B1:F1"/>
    <mergeCell ref="H1:L1"/>
    <mergeCell ref="B2:F2"/>
    <mergeCell ref="H2:L2"/>
    <mergeCell ref="B3:F3"/>
    <mergeCell ref="H3:L3"/>
    <mergeCell ref="B5:F5"/>
    <mergeCell ref="H5:J6"/>
    <mergeCell ref="L5:M6"/>
  </mergeCells>
  <conditionalFormatting sqref="B13:B87">
    <cfRule type="cellIs" dxfId="36" priority="31" operator="equal">
      <formula>0</formula>
    </cfRule>
  </conditionalFormatting>
  <conditionalFormatting sqref="C66 C24:C30 C42:C43 C45:C47 C49:C64 C81:C87 C68:C71 C73:C79 C32:C39 C13:C21">
    <cfRule type="cellIs" dxfId="35" priority="30" operator="equal">
      <formula>"Tidak dinilai"</formula>
    </cfRule>
  </conditionalFormatting>
  <conditionalFormatting sqref="C49">
    <cfRule type="cellIs" dxfId="34" priority="29" operator="equal">
      <formula>"Tidak dinilai"</formula>
    </cfRule>
  </conditionalFormatting>
  <conditionalFormatting sqref="C67">
    <cfRule type="cellIs" dxfId="33" priority="28" operator="equal">
      <formula>"Tidak dinilai"</formula>
    </cfRule>
  </conditionalFormatting>
  <conditionalFormatting sqref="C41">
    <cfRule type="cellIs" dxfId="32" priority="27" operator="equal">
      <formula>"Tidak dinilai"</formula>
    </cfRule>
  </conditionalFormatting>
  <conditionalFormatting sqref="C44">
    <cfRule type="cellIs" dxfId="31" priority="26" operator="equal">
      <formula>"Tidak dinilai"</formula>
    </cfRule>
  </conditionalFormatting>
  <conditionalFormatting sqref="C48">
    <cfRule type="cellIs" dxfId="30" priority="25" operator="equal">
      <formula>"Tidak dinilai"</formula>
    </cfRule>
  </conditionalFormatting>
  <conditionalFormatting sqref="C40">
    <cfRule type="cellIs" dxfId="29" priority="24" operator="equal">
      <formula>"Tidak dinilai"</formula>
    </cfRule>
  </conditionalFormatting>
  <conditionalFormatting sqref="H13:H87">
    <cfRule type="cellIs" dxfId="28" priority="23" operator="equal">
      <formula>"Tidak dinilai"</formula>
    </cfRule>
  </conditionalFormatting>
  <conditionalFormatting sqref="K24">
    <cfRule type="containsText" dxfId="27" priority="21" operator="containsText" text="TIDAK TERPENUHI">
      <formula>NOT(ISERROR(SEARCH("TIDAK TERPENUHI",K24)))</formula>
    </cfRule>
    <cfRule type="containsText" dxfId="26" priority="22" operator="containsText" text="TERPENUHI">
      <formula>NOT(ISERROR(SEARCH("TERPENUHI",K24)))</formula>
    </cfRule>
  </conditionalFormatting>
  <conditionalFormatting sqref="L8">
    <cfRule type="containsText" dxfId="25" priority="19" operator="containsText" text="TIDAK TERPENUHI">
      <formula>NOT(ISERROR(SEARCH("TIDAK TERPENUHI",L8)))</formula>
    </cfRule>
    <cfRule type="containsText" dxfId="24" priority="20" operator="containsText" text="TERPENUHI">
      <formula>NOT(ISERROR(SEARCH("TERPENUHI",L8)))</formula>
    </cfRule>
  </conditionalFormatting>
  <conditionalFormatting sqref="L9:L10">
    <cfRule type="containsText" dxfId="23" priority="17" operator="containsText" text="TIDAK TERPENUHI">
      <formula>NOT(ISERROR(SEARCH("TIDAK TERPENUHI",L9)))</formula>
    </cfRule>
    <cfRule type="containsText" dxfId="22" priority="18" operator="containsText" text="TERPENUHI">
      <formula>NOT(ISERROR(SEARCH("TERPENUHI",L9)))</formula>
    </cfRule>
  </conditionalFormatting>
  <conditionalFormatting sqref="K29">
    <cfRule type="containsText" dxfId="21" priority="15" operator="containsText" text="TIDAK TERPENUHI">
      <formula>NOT(ISERROR(SEARCH("TIDAK TERPENUHI",K29)))</formula>
    </cfRule>
    <cfRule type="containsText" dxfId="20" priority="16" operator="containsText" text="TERPENUHI">
      <formula>NOT(ISERROR(SEARCH("TERPENUHI",K29)))</formula>
    </cfRule>
  </conditionalFormatting>
  <conditionalFormatting sqref="M30">
    <cfRule type="containsText" dxfId="19" priority="13" operator="containsText" text="TIDAK TERPENUHI">
      <formula>NOT(ISERROR(SEARCH("TIDAK TERPENUHI",M30)))</formula>
    </cfRule>
    <cfRule type="containsText" dxfId="18" priority="14" operator="containsText" text="TERPENUHI">
      <formula>NOT(ISERROR(SEARCH("TERPENUHI",M30)))</formula>
    </cfRule>
  </conditionalFormatting>
  <conditionalFormatting sqref="O30">
    <cfRule type="containsText" dxfId="17" priority="11" operator="containsText" text="TIDAK TERPENUHI">
      <formula>NOT(ISERROR(SEARCH("TIDAK TERPENUHI",O30)))</formula>
    </cfRule>
    <cfRule type="containsText" dxfId="16" priority="12" operator="containsText" text="TERPENUHI">
      <formula>NOT(ISERROR(SEARCH("TERPENUHI",O30)))</formula>
    </cfRule>
  </conditionalFormatting>
  <conditionalFormatting sqref="K53">
    <cfRule type="containsText" dxfId="15" priority="9" operator="containsText" text="TIDAK TERPENUHI">
      <formula>NOT(ISERROR(SEARCH("TIDAK TERPENUHI",K53)))</formula>
    </cfRule>
    <cfRule type="containsText" dxfId="14" priority="10" operator="containsText" text="TERPENUHI">
      <formula>NOT(ISERROR(SEARCH("TERPENUHI",K53)))</formula>
    </cfRule>
  </conditionalFormatting>
  <conditionalFormatting sqref="M32">
    <cfRule type="containsText" dxfId="13" priority="7" operator="containsText" text="TIDAK TERPENUHI">
      <formula>NOT(ISERROR(SEARCH("TIDAK TERPENUHI",M32)))</formula>
    </cfRule>
    <cfRule type="containsText" dxfId="12" priority="8" operator="containsText" text="TERPENUHI">
      <formula>NOT(ISERROR(SEARCH("TERPENUHI",M32)))</formula>
    </cfRule>
  </conditionalFormatting>
  <conditionalFormatting sqref="O32">
    <cfRule type="containsText" dxfId="11" priority="5" operator="containsText" text="TIDAK TERPENUHI">
      <formula>NOT(ISERROR(SEARCH("TIDAK TERPENUHI",O32)))</formula>
    </cfRule>
    <cfRule type="containsText" dxfId="10" priority="6" operator="containsText" text="TERPENUHI">
      <formula>NOT(ISERROR(SEARCH("TERPENUHI",O32)))</formula>
    </cfRule>
  </conditionalFormatting>
  <conditionalFormatting sqref="M76:M77">
    <cfRule type="containsText" dxfId="9" priority="3" operator="containsText" text="TIDAK TERPENUHI">
      <formula>NOT(ISERROR(SEARCH("TIDAK TERPENUHI",M76)))</formula>
    </cfRule>
    <cfRule type="containsText" dxfId="8" priority="4" operator="containsText" text="TERPENUHI">
      <formula>NOT(ISERROR(SEARCH("TERPENUHI",M76)))</formula>
    </cfRule>
  </conditionalFormatting>
  <conditionalFormatting sqref="O76:O77">
    <cfRule type="containsText" dxfId="7" priority="1" operator="containsText" text="TIDAK TERPENUHI">
      <formula>NOT(ISERROR(SEARCH("TIDAK TERPENUHI",O76)))</formula>
    </cfRule>
    <cfRule type="containsText" dxfId="6" priority="2" operator="containsText" text="TERPENUHI">
      <formula>NOT(ISERROR(SEARCH("TERPENUHI",O76)))</formula>
    </cfRule>
  </conditionalFormatting>
  <printOptions horizontalCentered="1"/>
  <pageMargins left="0.51181102362204722" right="0.51181102362204722" top="0.74803149606299213" bottom="0.51181102362204722" header="0.31496062992125984" footer="0.31496062992125984"/>
  <pageSetup paperSize="9" fitToHeight="0" orientation="portrait" r:id="rId1"/>
  <headerFooter>
    <oddFooter>&amp;LForm AK - &amp;D@&amp;T&amp;CAkreditasi Program Studi&amp;R&amp;P/&amp;N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Views>
    <sheetView zoomScale="110" zoomScaleNormal="110" workbookViewId="0">
      <selection activeCell="E6" sqref="E6"/>
    </sheetView>
  </sheetViews>
  <sheetFormatPr defaultRowHeight="15" x14ac:dyDescent="0.25"/>
  <cols>
    <col min="2" max="2" width="37.85546875" customWidth="1"/>
    <col min="3" max="4" width="30.7109375" customWidth="1"/>
    <col min="5" max="5" width="13.7109375" customWidth="1"/>
    <col min="7" max="8" width="0" hidden="1" customWidth="1"/>
  </cols>
  <sheetData>
    <row r="1" spans="1:8" x14ac:dyDescent="0.25">
      <c r="A1" s="429" t="s">
        <v>991</v>
      </c>
      <c r="B1" s="429"/>
      <c r="C1" s="429"/>
      <c r="D1" s="429"/>
      <c r="E1" s="429"/>
    </row>
    <row r="2" spans="1:8" x14ac:dyDescent="0.25">
      <c r="A2" s="429" t="str">
        <f>'Isian Prodi'!C5</f>
        <v>Prodi A</v>
      </c>
      <c r="B2" s="429"/>
      <c r="C2" s="429"/>
      <c r="D2" s="429"/>
      <c r="E2" s="429"/>
    </row>
    <row r="5" spans="1:8" x14ac:dyDescent="0.25">
      <c r="A5" s="182" t="s">
        <v>20</v>
      </c>
      <c r="B5" s="182" t="s">
        <v>21</v>
      </c>
      <c r="C5" s="182" t="s">
        <v>165</v>
      </c>
      <c r="D5" s="195" t="s">
        <v>779</v>
      </c>
      <c r="E5" s="195" t="s">
        <v>778</v>
      </c>
    </row>
    <row r="6" spans="1:8" ht="48" x14ac:dyDescent="0.25">
      <c r="A6" s="31">
        <v>1</v>
      </c>
      <c r="B6" s="32" t="s">
        <v>28</v>
      </c>
      <c r="C6" s="243" t="str">
        <f>'Kertas Kerja'!F8</f>
        <v>Deskripsi dan penjelasan tentang indikator yang terkait</v>
      </c>
      <c r="D6" s="243" t="str">
        <f>'Kertas Kerja'!G8</f>
        <v>Deskripsi identifikasi risiko tentang indikator yang terkait</v>
      </c>
      <c r="E6" s="213" t="str">
        <f>'Kertas Kerja'!J8</f>
        <v>TINGGI</v>
      </c>
      <c r="G6" t="str">
        <f>'Kertas Kerja'!H8</f>
        <v>C</v>
      </c>
      <c r="H6">
        <f>'Kertas Kerja'!I8</f>
        <v>4</v>
      </c>
    </row>
    <row r="7" spans="1:8" ht="96" x14ac:dyDescent="0.25">
      <c r="A7" s="38">
        <f>A6+1</f>
        <v>2</v>
      </c>
      <c r="B7" s="32" t="s">
        <v>29</v>
      </c>
      <c r="C7" s="41" t="str">
        <f>'Kertas Kerja'!F16</f>
        <v>Deskripsi dan penjelasan tentang indikator yang terkait</v>
      </c>
      <c r="D7" s="41" t="str">
        <f>'Kertas Kerja'!G16</f>
        <v>Deskripsi identifikasi risiko tentang indikator yang terkait</v>
      </c>
      <c r="E7" s="31" t="str">
        <f>'Kertas Kerja'!J16</f>
        <v>MODERAT</v>
      </c>
      <c r="G7" t="str">
        <f>'Kertas Kerja'!H16</f>
        <v>E</v>
      </c>
      <c r="H7">
        <f>'Kertas Kerja'!I16</f>
        <v>1</v>
      </c>
    </row>
    <row r="8" spans="1:8" ht="84" x14ac:dyDescent="0.25">
      <c r="A8" s="38">
        <f t="shared" ref="A8:A77" si="0">A7+1</f>
        <v>3</v>
      </c>
      <c r="B8" s="40" t="s">
        <v>30</v>
      </c>
      <c r="C8" s="41" t="str">
        <f>'Kertas Kerja'!F24</f>
        <v>Deskripsi dan penjelasan tentang indikator yang terkait</v>
      </c>
      <c r="D8" s="41" t="str">
        <f>'Kertas Kerja'!G24</f>
        <v>Deskripsi identifikasi risiko tentang indikator yang terkait</v>
      </c>
      <c r="E8" s="31" t="str">
        <f>'Kertas Kerja'!J24</f>
        <v>EKSTREM</v>
      </c>
      <c r="G8" t="str">
        <f>'Kertas Kerja'!H24</f>
        <v>E</v>
      </c>
      <c r="H8">
        <f>'Kertas Kerja'!I24</f>
        <v>4</v>
      </c>
    </row>
    <row r="9" spans="1:8" ht="24" x14ac:dyDescent="0.25">
      <c r="A9" s="38">
        <f t="shared" si="0"/>
        <v>4</v>
      </c>
      <c r="B9" s="40" t="s">
        <v>31</v>
      </c>
      <c r="C9" s="41" t="str">
        <f>'Kertas Kerja'!F32</f>
        <v>Deskripsi dan penjelasan tentang indikator yang terkait</v>
      </c>
      <c r="D9" s="41" t="str">
        <f>'Kertas Kerja'!G32</f>
        <v>Deskripsi identifikasi risiko tentang indikator yang terkait</v>
      </c>
      <c r="E9" s="31" t="str">
        <f>'Kertas Kerja'!J32</f>
        <v>MODERAT</v>
      </c>
      <c r="G9" t="str">
        <f>'Kertas Kerja'!H32</f>
        <v>E</v>
      </c>
      <c r="H9">
        <f>'Kertas Kerja'!I32</f>
        <v>1</v>
      </c>
    </row>
    <row r="10" spans="1:8" ht="60" x14ac:dyDescent="0.25">
      <c r="A10" s="38">
        <f t="shared" si="0"/>
        <v>5</v>
      </c>
      <c r="B10" s="41" t="s">
        <v>32</v>
      </c>
      <c r="C10" s="41" t="str">
        <f>'Kertas Kerja'!F40</f>
        <v>Deskripsi dan penjelasan tentang indikator yang terkait</v>
      </c>
      <c r="D10" s="41" t="str">
        <f>'Kertas Kerja'!G40</f>
        <v>Deskripsi identifikasi risiko tentang indikator yang terkait</v>
      </c>
      <c r="E10" s="31" t="str">
        <f>'Kertas Kerja'!J40</f>
        <v>MODERAT</v>
      </c>
      <c r="G10" t="str">
        <f>'Kertas Kerja'!H40</f>
        <v>E</v>
      </c>
      <c r="H10">
        <f>'Kertas Kerja'!I40</f>
        <v>1</v>
      </c>
    </row>
    <row r="11" spans="1:8" ht="108" x14ac:dyDescent="0.25">
      <c r="A11" s="38">
        <f t="shared" si="0"/>
        <v>6</v>
      </c>
      <c r="B11" s="41" t="s">
        <v>33</v>
      </c>
      <c r="C11" s="41" t="str">
        <f>'Kertas Kerja'!F48</f>
        <v>Deskripsi dan penjelasan tentang indikator yang terkait</v>
      </c>
      <c r="D11" s="41" t="str">
        <f>'Kertas Kerja'!G48</f>
        <v>Deskripsi identifikasi risiko tentang indikator yang terkait</v>
      </c>
      <c r="E11" s="31" t="str">
        <f>'Kertas Kerja'!J48</f>
        <v>MODERAT</v>
      </c>
      <c r="G11" t="str">
        <f>'Kertas Kerja'!H48</f>
        <v>E</v>
      </c>
      <c r="H11">
        <f>'Kertas Kerja'!I48</f>
        <v>1</v>
      </c>
    </row>
    <row r="12" spans="1:8" ht="96" x14ac:dyDescent="0.25">
      <c r="A12" s="38">
        <f t="shared" si="0"/>
        <v>7</v>
      </c>
      <c r="B12" s="41" t="s">
        <v>34</v>
      </c>
      <c r="C12" s="41" t="str">
        <f>'Kertas Kerja'!F62</f>
        <v>Deskripsi dan penjelasan tentang indikator yang terkait</v>
      </c>
      <c r="D12" s="41" t="str">
        <f>'Kertas Kerja'!G62</f>
        <v>Deskripsi identifikasi risiko tentang indikator yang terkait</v>
      </c>
      <c r="E12" s="31" t="str">
        <f>'Kertas Kerja'!J62</f>
        <v>MODERAT</v>
      </c>
      <c r="G12" t="str">
        <f>'Kertas Kerja'!H62</f>
        <v>E</v>
      </c>
      <c r="H12">
        <f>'Kertas Kerja'!I62</f>
        <v>1</v>
      </c>
    </row>
    <row r="13" spans="1:8" ht="168" x14ac:dyDescent="0.25">
      <c r="A13" s="38">
        <f t="shared" si="0"/>
        <v>8</v>
      </c>
      <c r="B13" s="41" t="s">
        <v>35</v>
      </c>
      <c r="C13" s="41" t="str">
        <f>'Kertas Kerja'!F76</f>
        <v>Deskripsi dan penjelasan tentang indikator yang terkait</v>
      </c>
      <c r="D13" s="41" t="str">
        <f>'Kertas Kerja'!G76</f>
        <v>Deskripsi identifikasi risiko tentang indikator yang terkait</v>
      </c>
      <c r="E13" s="31" t="str">
        <f>'Kertas Kerja'!J76</f>
        <v>MODERAT</v>
      </c>
      <c r="G13" t="str">
        <f>'Kertas Kerja'!H76</f>
        <v>E</v>
      </c>
      <c r="H13">
        <f>'Kertas Kerja'!I76</f>
        <v>1</v>
      </c>
    </row>
    <row r="14" spans="1:8" ht="96" x14ac:dyDescent="0.25">
      <c r="A14" s="38">
        <f t="shared" si="0"/>
        <v>9</v>
      </c>
      <c r="B14" s="41" t="s">
        <v>36</v>
      </c>
      <c r="C14" s="42" t="str">
        <f>'Kertas Kerja'!F84</f>
        <v>Deskripsi dan penjelasan tentang indikator yang terkait</v>
      </c>
      <c r="D14" s="42" t="str">
        <f>'Kertas Kerja'!G84</f>
        <v>Deskripsi identifikasi risiko tentang indikator yang terkait</v>
      </c>
      <c r="E14" s="38" t="str">
        <f>'Kertas Kerja'!J84</f>
        <v>MODERAT</v>
      </c>
      <c r="G14" t="str">
        <f>'Kertas Kerja'!H84</f>
        <v>E</v>
      </c>
      <c r="H14">
        <f>'Kertas Kerja'!I84</f>
        <v>1</v>
      </c>
    </row>
    <row r="15" spans="1:8" ht="48" x14ac:dyDescent="0.25">
      <c r="A15" s="38">
        <f t="shared" si="0"/>
        <v>10</v>
      </c>
      <c r="B15" s="157" t="s">
        <v>37</v>
      </c>
      <c r="C15" s="244" t="str">
        <f>'Kertas Kerja'!F111</f>
        <v>Deskripsi dan penjelasan tentang indikator yang terkait</v>
      </c>
      <c r="D15" s="244" t="str">
        <f>'Kertas Kerja'!G111</f>
        <v>Deskripsi identifikasi risiko tentang indikator yang terkait</v>
      </c>
      <c r="E15" s="156" t="str">
        <f>'Kertas Kerja'!J111</f>
        <v>MODERAT</v>
      </c>
      <c r="G15" t="str">
        <f>'Kertas Kerja'!H111</f>
        <v>E</v>
      </c>
      <c r="H15">
        <f>'Kertas Kerja'!I111</f>
        <v>1</v>
      </c>
    </row>
    <row r="16" spans="1:8" ht="156" x14ac:dyDescent="0.25">
      <c r="A16" s="38">
        <f t="shared" si="0"/>
        <v>11</v>
      </c>
      <c r="B16" s="157" t="s">
        <v>38</v>
      </c>
      <c r="C16" s="244" t="str">
        <f>'Kertas Kerja'!F119</f>
        <v>Deskripsi dan penjelasan tentang indikator yang terkait</v>
      </c>
      <c r="D16" s="244" t="str">
        <f>'Kertas Kerja'!G119</f>
        <v>Deskripsi identifikasi risiko tentang indikator yang terkait</v>
      </c>
      <c r="E16" s="156" t="str">
        <f>'Kertas Kerja'!J119</f>
        <v>MODERAT</v>
      </c>
      <c r="G16" t="str">
        <f>'Kertas Kerja'!H119</f>
        <v>E</v>
      </c>
      <c r="H16">
        <f>'Kertas Kerja'!I119</f>
        <v>1</v>
      </c>
    </row>
    <row r="17" spans="1:8" ht="156" x14ac:dyDescent="0.25">
      <c r="A17" s="38">
        <f t="shared" si="0"/>
        <v>12</v>
      </c>
      <c r="B17" s="157" t="s">
        <v>39</v>
      </c>
      <c r="C17" s="244" t="str">
        <f>'Kertas Kerja'!F127</f>
        <v>Deskripsi dan penjelasan tentang indikator yang terkait</v>
      </c>
      <c r="D17" s="244" t="str">
        <f>'Kertas Kerja'!G127</f>
        <v>Deskripsi identifikasi risiko tentang indikator yang terkait</v>
      </c>
      <c r="E17" s="156" t="str">
        <f>'Kertas Kerja'!J127</f>
        <v>MODERAT</v>
      </c>
      <c r="G17" t="str">
        <f>'Kertas Kerja'!H127</f>
        <v>E</v>
      </c>
      <c r="H17">
        <f>'Kertas Kerja'!I127</f>
        <v>1</v>
      </c>
    </row>
    <row r="18" spans="1:8" ht="240" x14ac:dyDescent="0.25">
      <c r="A18" s="38">
        <f t="shared" si="0"/>
        <v>13</v>
      </c>
      <c r="B18" s="41" t="s">
        <v>41</v>
      </c>
      <c r="C18" s="42" t="str">
        <f>'Kertas Kerja'!F135</f>
        <v>Deskripsi dan penjelasan tentang indikator yang terkait</v>
      </c>
      <c r="D18" s="42" t="str">
        <f>'Kertas Kerja'!G135</f>
        <v>Deskripsi identifikasi risiko tentang indikator yang terkait</v>
      </c>
      <c r="E18" s="38" t="str">
        <f>'Kertas Kerja'!J135</f>
        <v>MODERAT</v>
      </c>
      <c r="G18" t="str">
        <f>'Kertas Kerja'!H135</f>
        <v>E</v>
      </c>
      <c r="H18">
        <f>'Kertas Kerja'!I135</f>
        <v>1</v>
      </c>
    </row>
    <row r="19" spans="1:8" ht="72" x14ac:dyDescent="0.25">
      <c r="A19" s="38">
        <f t="shared" si="0"/>
        <v>14</v>
      </c>
      <c r="B19" s="41" t="s">
        <v>42</v>
      </c>
      <c r="C19" s="42" t="str">
        <f>'Kertas Kerja'!F143</f>
        <v>Deskripsi dan penjelasan tentang indikator yang terkait</v>
      </c>
      <c r="D19" s="42" t="str">
        <f>'Kertas Kerja'!G143</f>
        <v>Deskripsi identifikasi risiko tentang indikator yang terkait</v>
      </c>
      <c r="E19" s="38" t="str">
        <f>'Kertas Kerja'!J143</f>
        <v>MODERAT</v>
      </c>
      <c r="G19" t="str">
        <f>'Kertas Kerja'!H143</f>
        <v>E</v>
      </c>
      <c r="H19">
        <f>'Kertas Kerja'!I143</f>
        <v>1</v>
      </c>
    </row>
    <row r="20" spans="1:8" ht="60" x14ac:dyDescent="0.25">
      <c r="A20" s="38">
        <f t="shared" si="0"/>
        <v>15</v>
      </c>
      <c r="B20" s="41" t="s">
        <v>43</v>
      </c>
      <c r="C20" s="42" t="str">
        <f>'Kertas Kerja'!F159</f>
        <v>Deskripsi dan penjelasan tentang indikator yang terkait</v>
      </c>
      <c r="D20" s="42" t="str">
        <f>'Kertas Kerja'!G159</f>
        <v>Deskripsi identifikasi risiko tentang indikator yang terkait</v>
      </c>
      <c r="E20" s="38" t="str">
        <f>'Kertas Kerja'!J159</f>
        <v>MODERAT</v>
      </c>
      <c r="G20" t="str">
        <f>'Kertas Kerja'!H159</f>
        <v>E</v>
      </c>
      <c r="H20">
        <f>'Kertas Kerja'!I159</f>
        <v>1</v>
      </c>
    </row>
    <row r="21" spans="1:8" ht="84" x14ac:dyDescent="0.25">
      <c r="A21" s="38">
        <f t="shared" si="0"/>
        <v>16</v>
      </c>
      <c r="B21" s="41" t="s">
        <v>44</v>
      </c>
      <c r="C21" s="42" t="str">
        <f>'Kertas Kerja'!F175</f>
        <v>Deskripsi dan penjelasan tentang indikator yang terkait</v>
      </c>
      <c r="D21" s="42" t="str">
        <f>'Kertas Kerja'!G175</f>
        <v>Deskripsi identifikasi risiko tentang indikator yang terkait</v>
      </c>
      <c r="E21" s="38" t="str">
        <f>'Kertas Kerja'!J175</f>
        <v>MODERAT</v>
      </c>
      <c r="G21" t="str">
        <f>'Kertas Kerja'!H175</f>
        <v>E</v>
      </c>
      <c r="H21">
        <f>'Kertas Kerja'!I175</f>
        <v>1</v>
      </c>
    </row>
    <row r="22" spans="1:8" ht="60" x14ac:dyDescent="0.25">
      <c r="A22" s="38">
        <f t="shared" si="0"/>
        <v>17</v>
      </c>
      <c r="B22" s="41" t="s">
        <v>45</v>
      </c>
      <c r="C22" s="42" t="str">
        <f>'Kertas Kerja'!F189</f>
        <v>Deskripsi dan penjelasan tentang indikator yang terkait</v>
      </c>
      <c r="D22" s="42" t="str">
        <f>'Kertas Kerja'!G189</f>
        <v>Deskripsi identifikasi risiko tentang indikator yang terkait</v>
      </c>
      <c r="E22" s="38" t="str">
        <f>'Kertas Kerja'!J189</f>
        <v>TINGGI</v>
      </c>
      <c r="G22" t="str">
        <f>'Kertas Kerja'!H189</f>
        <v>C</v>
      </c>
      <c r="H22">
        <f>'Kertas Kerja'!I189</f>
        <v>3</v>
      </c>
    </row>
    <row r="23" spans="1:8" ht="24" x14ac:dyDescent="0.25">
      <c r="A23" s="38">
        <f t="shared" si="0"/>
        <v>18</v>
      </c>
      <c r="B23" s="41" t="s">
        <v>46</v>
      </c>
      <c r="C23" s="42" t="str">
        <f>'Kertas Kerja'!F199</f>
        <v>Deskripsi dan penjelasan tentang indikator yang terkait</v>
      </c>
      <c r="D23" s="42" t="str">
        <f>'Kertas Kerja'!G199</f>
        <v>Deskripsi identifikasi risiko tentang indikator yang terkait</v>
      </c>
      <c r="E23" s="38" t="str">
        <f>'Kertas Kerja'!J199</f>
        <v>RENDAH</v>
      </c>
      <c r="G23" t="str">
        <f>'Kertas Kerja'!H199</f>
        <v>A</v>
      </c>
      <c r="H23">
        <f>'Kertas Kerja'!I199</f>
        <v>1</v>
      </c>
    </row>
    <row r="24" spans="1:8" hidden="1" x14ac:dyDescent="0.25">
      <c r="A24" s="255"/>
      <c r="B24" s="256"/>
      <c r="C24" s="257"/>
      <c r="D24" s="257"/>
      <c r="E24" s="255"/>
    </row>
    <row r="25" spans="1:8" ht="24" x14ac:dyDescent="0.25">
      <c r="A25" s="38">
        <f>A23+1</f>
        <v>19</v>
      </c>
      <c r="B25" s="41" t="s">
        <v>49</v>
      </c>
      <c r="C25" s="42" t="str">
        <f>'Kertas Kerja'!F205</f>
        <v>Deskripsi dan penjelasan tentang indikator yang terkait</v>
      </c>
      <c r="D25" s="42" t="str">
        <f>'Kertas Kerja'!G205</f>
        <v>Deskripsi identifikasi risiko tentang indikator yang terkait</v>
      </c>
      <c r="E25" s="38" t="str">
        <f>'Kertas Kerja'!J205</f>
        <v>RENDAH</v>
      </c>
      <c r="G25" t="str">
        <f>'Kertas Kerja'!H205</f>
        <v>A</v>
      </c>
      <c r="H25">
        <f>'Kertas Kerja'!I205</f>
        <v>1</v>
      </c>
    </row>
    <row r="26" spans="1:8" ht="48" x14ac:dyDescent="0.25">
      <c r="A26" s="38">
        <f t="shared" si="0"/>
        <v>20</v>
      </c>
      <c r="B26" s="41" t="s">
        <v>50</v>
      </c>
      <c r="C26" s="42" t="str">
        <f>'Kertas Kerja'!F219</f>
        <v>Deskripsi dan penjelasan tentang indikator yang terkait</v>
      </c>
      <c r="D26" s="42" t="str">
        <f>'Kertas Kerja'!G219</f>
        <v>Deskripsi identifikasi risiko tentang indikator yang terkait</v>
      </c>
      <c r="E26" s="38" t="str">
        <f>'Kertas Kerja'!J219</f>
        <v>RENDAH</v>
      </c>
      <c r="G26" t="str">
        <f>'Kertas Kerja'!H219</f>
        <v>A</v>
      </c>
      <c r="H26">
        <f>'Kertas Kerja'!I219</f>
        <v>1</v>
      </c>
    </row>
    <row r="27" spans="1:8" ht="36" x14ac:dyDescent="0.25">
      <c r="A27" s="38">
        <f t="shared" si="0"/>
        <v>21</v>
      </c>
      <c r="B27" s="41" t="s">
        <v>51</v>
      </c>
      <c r="C27" s="42" t="str">
        <f>'Kertas Kerja'!F228</f>
        <v>Deskripsi dan penjelasan tentang indikator yang terkait</v>
      </c>
      <c r="D27" s="42" t="str">
        <f>'Kertas Kerja'!G228</f>
        <v>Deskripsi identifikasi risiko tentang indikator yang terkait</v>
      </c>
      <c r="E27" s="38" t="str">
        <f>'Kertas Kerja'!J228</f>
        <v>RENDAH</v>
      </c>
      <c r="G27" t="str">
        <f>'Kertas Kerja'!H228</f>
        <v>A</v>
      </c>
      <c r="H27">
        <f>'Kertas Kerja'!I228</f>
        <v>1</v>
      </c>
    </row>
    <row r="28" spans="1:8" ht="24" x14ac:dyDescent="0.25">
      <c r="A28" s="38">
        <f t="shared" si="0"/>
        <v>22</v>
      </c>
      <c r="B28" s="41" t="s">
        <v>52</v>
      </c>
      <c r="C28" s="42" t="str">
        <f>'Kertas Kerja'!F234</f>
        <v>Deskripsi dan penjelasan tentang indikator yang terkait</v>
      </c>
      <c r="D28" s="42" t="str">
        <f>'Kertas Kerja'!G234</f>
        <v>Deskripsi identifikasi risiko tentang indikator yang terkait</v>
      </c>
      <c r="E28" s="38" t="str">
        <f>'Kertas Kerja'!J234</f>
        <v>RENDAH</v>
      </c>
      <c r="G28" t="str">
        <f>'Kertas Kerja'!H234</f>
        <v>A</v>
      </c>
      <c r="H28">
        <f>'Kertas Kerja'!I234</f>
        <v>1</v>
      </c>
    </row>
    <row r="29" spans="1:8" ht="24" x14ac:dyDescent="0.25">
      <c r="A29" s="38">
        <f t="shared" si="0"/>
        <v>23</v>
      </c>
      <c r="B29" s="41" t="s">
        <v>53</v>
      </c>
      <c r="C29" s="42" t="str">
        <f>'Kertas Kerja'!F238</f>
        <v>Deskripsi dan penjelasan tentang indikator yang terkait</v>
      </c>
      <c r="D29" s="42" t="str">
        <f>'Kertas Kerja'!G238</f>
        <v>Deskripsi identifikasi risiko tentang indikator yang terkait</v>
      </c>
      <c r="E29" s="38" t="str">
        <f>'Kertas Kerja'!J238</f>
        <v>RENDAH</v>
      </c>
      <c r="G29" t="str">
        <f>'Kertas Kerja'!H238</f>
        <v>C</v>
      </c>
      <c r="H29">
        <f>'Kertas Kerja'!I238</f>
        <v>1</v>
      </c>
    </row>
    <row r="30" spans="1:8" hidden="1" x14ac:dyDescent="0.25">
      <c r="A30" s="255"/>
      <c r="B30" s="256"/>
      <c r="C30" s="257"/>
      <c r="D30" s="257"/>
      <c r="E30" s="255"/>
    </row>
    <row r="31" spans="1:8" ht="48" x14ac:dyDescent="0.25">
      <c r="A31" s="38">
        <f>A29+1</f>
        <v>24</v>
      </c>
      <c r="B31" s="41" t="s">
        <v>54</v>
      </c>
      <c r="C31" s="42" t="str">
        <f>'Kertas Kerja'!F244</f>
        <v>Deskripsi dan penjelasan tentang indikator yang terkait</v>
      </c>
      <c r="D31" s="42" t="str">
        <f>'Kertas Kerja'!G244</f>
        <v>Deskripsi identifikasi risiko tentang indikator yang terkait</v>
      </c>
      <c r="E31" s="38" t="str">
        <f>'Kertas Kerja'!J244</f>
        <v>RENDAH</v>
      </c>
      <c r="G31" t="str">
        <f>'Kertas Kerja'!H244</f>
        <v>C</v>
      </c>
      <c r="H31">
        <f>'Kertas Kerja'!I244</f>
        <v>1</v>
      </c>
    </row>
    <row r="32" spans="1:8" ht="48" x14ac:dyDescent="0.25">
      <c r="A32" s="38">
        <f t="shared" si="0"/>
        <v>25</v>
      </c>
      <c r="B32" s="41" t="s">
        <v>55</v>
      </c>
      <c r="C32" s="42" t="str">
        <f>'Kertas Kerja'!F250</f>
        <v>Deskripsi dan penjelasan tentang indikator yang terkait</v>
      </c>
      <c r="D32" s="42" t="str">
        <f>'Kertas Kerja'!G250</f>
        <v>Deskripsi identifikasi risiko tentang indikator yang terkait</v>
      </c>
      <c r="E32" s="38" t="str">
        <f>'Kertas Kerja'!J250</f>
        <v>RENDAH</v>
      </c>
      <c r="G32" t="str">
        <f>'Kertas Kerja'!H250</f>
        <v>C</v>
      </c>
      <c r="H32">
        <f>'Kertas Kerja'!I250</f>
        <v>1</v>
      </c>
    </row>
    <row r="33" spans="1:8" ht="36" x14ac:dyDescent="0.25">
      <c r="A33" s="38">
        <f t="shared" si="0"/>
        <v>26</v>
      </c>
      <c r="B33" s="41" t="s">
        <v>56</v>
      </c>
      <c r="C33" s="42" t="str">
        <f>'Kertas Kerja'!F268</f>
        <v>Deskripsi dan penjelasan tentang indikator yang terkait</v>
      </c>
      <c r="D33" s="42" t="str">
        <f>'Kertas Kerja'!G268</f>
        <v>Deskripsi identifikasi risiko tentang indikator yang terkait</v>
      </c>
      <c r="E33" s="38" t="str">
        <f>'Kertas Kerja'!J268</f>
        <v>RENDAH</v>
      </c>
      <c r="G33" t="str">
        <f>'Kertas Kerja'!H268</f>
        <v>C</v>
      </c>
      <c r="H33">
        <f>'Kertas Kerja'!I268</f>
        <v>1</v>
      </c>
    </row>
    <row r="34" spans="1:8" ht="48" x14ac:dyDescent="0.25">
      <c r="A34" s="38">
        <f t="shared" si="0"/>
        <v>27</v>
      </c>
      <c r="B34" s="42" t="s">
        <v>57</v>
      </c>
      <c r="C34" s="42" t="str">
        <f>'Kertas Kerja'!F286</f>
        <v>Deskripsi dan penjelasan tentang indikator yang terkait</v>
      </c>
      <c r="D34" s="42" t="str">
        <f>'Kertas Kerja'!G286</f>
        <v>Deskripsi identifikasi risiko tentang indikator yang terkait</v>
      </c>
      <c r="E34" s="38" t="str">
        <f>'Kertas Kerja'!J286</f>
        <v>RENDAH</v>
      </c>
      <c r="G34" t="str">
        <f>'Kertas Kerja'!H286</f>
        <v>C</v>
      </c>
      <c r="H34">
        <f>'Kertas Kerja'!I286</f>
        <v>1</v>
      </c>
    </row>
    <row r="35" spans="1:8" ht="36" x14ac:dyDescent="0.25">
      <c r="A35" s="38">
        <f t="shared" si="0"/>
        <v>28</v>
      </c>
      <c r="B35" s="43" t="s">
        <v>58</v>
      </c>
      <c r="C35" s="42" t="str">
        <f>'Kertas Kerja'!F311</f>
        <v>Deskripsi dan penjelasan tentang indikator yang terkait</v>
      </c>
      <c r="D35" s="42" t="str">
        <f>'Kertas Kerja'!G311</f>
        <v>Deskripsi identifikasi risiko tentang indikator yang terkait</v>
      </c>
      <c r="E35" s="38" t="str">
        <f>'Kertas Kerja'!J311</f>
        <v>RENDAH</v>
      </c>
      <c r="G35" t="str">
        <f>'Kertas Kerja'!H311</f>
        <v>C</v>
      </c>
      <c r="H35">
        <f>'Kertas Kerja'!I311</f>
        <v>1</v>
      </c>
    </row>
    <row r="36" spans="1:8" hidden="1" x14ac:dyDescent="0.25">
      <c r="A36" s="255"/>
      <c r="B36" s="262"/>
      <c r="C36" s="257"/>
      <c r="D36" s="257"/>
      <c r="E36" s="255"/>
    </row>
    <row r="37" spans="1:8" ht="36" x14ac:dyDescent="0.25">
      <c r="A37" s="38">
        <f>A35+1</f>
        <v>29</v>
      </c>
      <c r="B37" s="43" t="s">
        <v>59</v>
      </c>
      <c r="C37" s="42" t="str">
        <f>'Kertas Kerja'!F318</f>
        <v>Deskripsi dan penjelasan tentang indikator yang terkait</v>
      </c>
      <c r="D37" s="42" t="str">
        <f>'Kertas Kerja'!G318</f>
        <v>Deskripsi identifikasi risiko tentang indikator yang terkait</v>
      </c>
      <c r="E37" s="38" t="str">
        <f>'Kertas Kerja'!J318</f>
        <v>RENDAH</v>
      </c>
      <c r="G37" t="str">
        <f>'Kertas Kerja'!H318</f>
        <v>C</v>
      </c>
      <c r="H37">
        <f>'Kertas Kerja'!I318</f>
        <v>1</v>
      </c>
    </row>
    <row r="38" spans="1:8" ht="24" x14ac:dyDescent="0.25">
      <c r="A38" s="38">
        <f t="shared" si="0"/>
        <v>30</v>
      </c>
      <c r="B38" s="41" t="s">
        <v>60</v>
      </c>
      <c r="C38" s="42" t="str">
        <f>'Kertas Kerja'!F328</f>
        <v>Deskripsi dan penjelasan tentang indikator yang terkait</v>
      </c>
      <c r="D38" s="42" t="str">
        <f>'Kertas Kerja'!G328</f>
        <v>Deskripsi identifikasi risiko tentang indikator yang terkait</v>
      </c>
      <c r="E38" s="38" t="str">
        <f>'Kertas Kerja'!J328</f>
        <v>RENDAH</v>
      </c>
      <c r="G38" t="str">
        <f>'Kertas Kerja'!H328</f>
        <v>C</v>
      </c>
      <c r="H38">
        <f>'Kertas Kerja'!I328</f>
        <v>1</v>
      </c>
    </row>
    <row r="39" spans="1:8" ht="96" x14ac:dyDescent="0.25">
      <c r="A39" s="38">
        <f t="shared" si="0"/>
        <v>31</v>
      </c>
      <c r="B39" s="41" t="s">
        <v>61</v>
      </c>
      <c r="C39" s="42" t="str">
        <f>'Kertas Kerja'!F337</f>
        <v>Deskripsi dan penjelasan tentang indikator yang terkait</v>
      </c>
      <c r="D39" s="42" t="str">
        <f>'Kertas Kerja'!G337</f>
        <v>Deskripsi identifikasi risiko tentang indikator yang terkait</v>
      </c>
      <c r="E39" s="38" t="str">
        <f>'Kertas Kerja'!J337</f>
        <v>RENDAH</v>
      </c>
      <c r="G39" t="str">
        <f>'Kertas Kerja'!H337</f>
        <v>C</v>
      </c>
      <c r="H39">
        <f>'Kertas Kerja'!I337</f>
        <v>1</v>
      </c>
    </row>
    <row r="40" spans="1:8" ht="60" x14ac:dyDescent="0.25">
      <c r="A40" s="38">
        <f t="shared" si="0"/>
        <v>32</v>
      </c>
      <c r="B40" s="41" t="s">
        <v>62</v>
      </c>
      <c r="C40" s="42" t="str">
        <f>'Kertas Kerja'!F375</f>
        <v>Deskripsi dan penjelasan tentang indikator yang terkait</v>
      </c>
      <c r="D40" s="42" t="str">
        <f>'Kertas Kerja'!G375</f>
        <v>Deskripsi identifikasi risiko tentang indikator yang terkait</v>
      </c>
      <c r="E40" s="38" t="str">
        <f>'Kertas Kerja'!J375</f>
        <v>RENDAH</v>
      </c>
      <c r="G40" t="str">
        <f>'Kertas Kerja'!H375</f>
        <v>C</v>
      </c>
      <c r="H40">
        <f>'Kertas Kerja'!I375</f>
        <v>1</v>
      </c>
    </row>
    <row r="41" spans="1:8" ht="24" x14ac:dyDescent="0.25">
      <c r="A41" s="38">
        <f t="shared" si="0"/>
        <v>33</v>
      </c>
      <c r="B41" s="41" t="s">
        <v>63</v>
      </c>
      <c r="C41" s="42" t="str">
        <f>'Kertas Kerja'!F381</f>
        <v>Deskripsi dan penjelasan tentang indikator yang terkait</v>
      </c>
      <c r="D41" s="42" t="str">
        <f>'Kertas Kerja'!G381</f>
        <v>Deskripsi identifikasi risiko tentang indikator yang terkait</v>
      </c>
      <c r="E41" s="38" t="str">
        <f>'Kertas Kerja'!J381</f>
        <v>RENDAH</v>
      </c>
      <c r="G41" t="str">
        <f>'Kertas Kerja'!H381</f>
        <v>C</v>
      </c>
      <c r="H41">
        <f>'Kertas Kerja'!I381</f>
        <v>1</v>
      </c>
    </row>
    <row r="42" spans="1:8" ht="24" x14ac:dyDescent="0.25">
      <c r="A42" s="38">
        <f t="shared" si="0"/>
        <v>34</v>
      </c>
      <c r="B42" s="41" t="s">
        <v>64</v>
      </c>
      <c r="C42" s="42" t="str">
        <f>'Kertas Kerja'!F387</f>
        <v>Deskripsi dan penjelasan tentang indikator yang terkait</v>
      </c>
      <c r="D42" s="42" t="str">
        <f>'Kertas Kerja'!G387</f>
        <v>Deskripsi identifikasi risiko tentang indikator yang terkait</v>
      </c>
      <c r="E42" s="38" t="str">
        <f>'Kertas Kerja'!J387</f>
        <v>RENDAH</v>
      </c>
      <c r="G42" t="str">
        <f>'Kertas Kerja'!H387</f>
        <v>C</v>
      </c>
      <c r="H42">
        <f>'Kertas Kerja'!I387</f>
        <v>1</v>
      </c>
    </row>
    <row r="43" spans="1:8" ht="36" x14ac:dyDescent="0.25">
      <c r="A43" s="38">
        <f t="shared" si="0"/>
        <v>35</v>
      </c>
      <c r="B43" s="41" t="s">
        <v>65</v>
      </c>
      <c r="C43" s="42" t="str">
        <f>'Kertas Kerja'!F393</f>
        <v>Deskripsi dan penjelasan tentang indikator yang terkait</v>
      </c>
      <c r="D43" s="42" t="str">
        <f>'Kertas Kerja'!G393</f>
        <v>Deskripsi identifikasi risiko tentang indikator yang terkait</v>
      </c>
      <c r="E43" s="38" t="str">
        <f>'Kertas Kerja'!J393</f>
        <v>RENDAH</v>
      </c>
      <c r="G43" t="str">
        <f>'Kertas Kerja'!H393</f>
        <v>C</v>
      </c>
      <c r="H43">
        <f>'Kertas Kerja'!I393</f>
        <v>1</v>
      </c>
    </row>
    <row r="44" spans="1:8" ht="24" x14ac:dyDescent="0.25">
      <c r="A44" s="38">
        <f t="shared" si="0"/>
        <v>36</v>
      </c>
      <c r="B44" s="41" t="s">
        <v>66</v>
      </c>
      <c r="C44" s="42" t="str">
        <f>'Kertas Kerja'!F402</f>
        <v>Deskripsi dan penjelasan tentang indikator yang terkait</v>
      </c>
      <c r="D44" s="42" t="str">
        <f>'Kertas Kerja'!G402</f>
        <v>Deskripsi identifikasi risiko tentang indikator yang terkait</v>
      </c>
      <c r="E44" s="38" t="str">
        <f>'Kertas Kerja'!J402</f>
        <v>RENDAH</v>
      </c>
      <c r="G44" t="str">
        <f>'Kertas Kerja'!H402</f>
        <v>C</v>
      </c>
      <c r="H44">
        <f>'Kertas Kerja'!I402</f>
        <v>1</v>
      </c>
    </row>
    <row r="45" spans="1:8" ht="60" x14ac:dyDescent="0.25">
      <c r="A45" s="38">
        <f t="shared" si="0"/>
        <v>37</v>
      </c>
      <c r="B45" s="41" t="s">
        <v>67</v>
      </c>
      <c r="C45" s="42" t="str">
        <f>'Kertas Kerja'!F410</f>
        <v>Deskripsi dan penjelasan tentang indikator yang terkait</v>
      </c>
      <c r="D45" s="42" t="str">
        <f>'Kertas Kerja'!G410</f>
        <v>Deskripsi identifikasi risiko tentang indikator yang terkait</v>
      </c>
      <c r="E45" s="38" t="str">
        <f>'Kertas Kerja'!J410</f>
        <v>RENDAH</v>
      </c>
      <c r="G45" t="str">
        <f>'Kertas Kerja'!H410</f>
        <v>C</v>
      </c>
      <c r="H45">
        <f>'Kertas Kerja'!I410</f>
        <v>1</v>
      </c>
    </row>
    <row r="46" spans="1:8" ht="108" x14ac:dyDescent="0.25">
      <c r="A46" s="38">
        <f t="shared" si="0"/>
        <v>38</v>
      </c>
      <c r="B46" s="41" t="s">
        <v>68</v>
      </c>
      <c r="C46" s="42" t="str">
        <f>'Kertas Kerja'!F458</f>
        <v>Deskripsi dan penjelasan tentang indikator yang terkait</v>
      </c>
      <c r="D46" s="42" t="str">
        <f>'Kertas Kerja'!G458</f>
        <v>Deskripsi identifikasi risiko tentang indikator yang terkait</v>
      </c>
      <c r="E46" s="38" t="str">
        <f>'Kertas Kerja'!J458</f>
        <v>RENDAH</v>
      </c>
      <c r="G46" t="str">
        <f>'Kertas Kerja'!H458</f>
        <v>C</v>
      </c>
      <c r="H46">
        <f>'Kertas Kerja'!I458</f>
        <v>1</v>
      </c>
    </row>
    <row r="47" spans="1:8" ht="84" x14ac:dyDescent="0.25">
      <c r="A47" s="38">
        <f t="shared" si="0"/>
        <v>39</v>
      </c>
      <c r="B47" s="41" t="s">
        <v>69</v>
      </c>
      <c r="C47" s="42" t="str">
        <f>'Kertas Kerja'!F478</f>
        <v>Deskripsi dan penjelasan tentang indikator yang terkait</v>
      </c>
      <c r="D47" s="42" t="str">
        <f>'Kertas Kerja'!G478</f>
        <v>Deskripsi identifikasi risiko tentang indikator yang terkait</v>
      </c>
      <c r="E47" s="38" t="str">
        <f>'Kertas Kerja'!J478</f>
        <v>RENDAH</v>
      </c>
      <c r="G47" t="str">
        <f>'Kertas Kerja'!H478</f>
        <v>C</v>
      </c>
      <c r="H47">
        <f>'Kertas Kerja'!I478</f>
        <v>1</v>
      </c>
    </row>
    <row r="48" spans="1:8" ht="60" x14ac:dyDescent="0.25">
      <c r="A48" s="38">
        <f t="shared" si="0"/>
        <v>40</v>
      </c>
      <c r="B48" s="41" t="s">
        <v>70</v>
      </c>
      <c r="C48" s="42" t="str">
        <f>'Kertas Kerja'!F486</f>
        <v>Deskripsi dan penjelasan tentang indikator yang terkait</v>
      </c>
      <c r="D48" s="42" t="str">
        <f>'Kertas Kerja'!G486</f>
        <v>Deskripsi identifikasi risiko tentang indikator yang terkait</v>
      </c>
      <c r="E48" s="38" t="str">
        <f>'Kertas Kerja'!J486</f>
        <v>RENDAH</v>
      </c>
      <c r="G48" t="str">
        <f>'Kertas Kerja'!H486</f>
        <v>C</v>
      </c>
      <c r="H48">
        <f>'Kertas Kerja'!I486</f>
        <v>1</v>
      </c>
    </row>
    <row r="49" spans="1:8" ht="384" x14ac:dyDescent="0.25">
      <c r="A49" s="38">
        <f t="shared" si="0"/>
        <v>41</v>
      </c>
      <c r="B49" s="41" t="s">
        <v>71</v>
      </c>
      <c r="C49" s="42" t="str">
        <f>'Kertas Kerja'!F500</f>
        <v>Deskripsi dan penjelasan tentang indikator yang terkait</v>
      </c>
      <c r="D49" s="42" t="str">
        <f>'Kertas Kerja'!G500</f>
        <v>Deskripsi identifikasi risiko tentang indikator yang terkait</v>
      </c>
      <c r="E49" s="38" t="str">
        <f>'Kertas Kerja'!J500</f>
        <v>RENDAH</v>
      </c>
      <c r="G49" t="str">
        <f>'Kertas Kerja'!H500</f>
        <v>C</v>
      </c>
      <c r="H49">
        <f>'Kertas Kerja'!I500</f>
        <v>1</v>
      </c>
    </row>
    <row r="50" spans="1:8" ht="48" x14ac:dyDescent="0.25">
      <c r="A50" s="38">
        <f t="shared" si="0"/>
        <v>42</v>
      </c>
      <c r="B50" s="41" t="s">
        <v>72</v>
      </c>
      <c r="C50" s="42" t="str">
        <f>'Kertas Kerja'!F532</f>
        <v>Deskripsi dan penjelasan tentang indikator yang terkait</v>
      </c>
      <c r="D50" s="42" t="str">
        <f>'Kertas Kerja'!G532</f>
        <v>Deskripsi identifikasi risiko tentang indikator yang terkait</v>
      </c>
      <c r="E50" s="38" t="str">
        <f>'Kertas Kerja'!J532</f>
        <v>RENDAH</v>
      </c>
      <c r="G50" t="str">
        <f>'Kertas Kerja'!H532</f>
        <v>C</v>
      </c>
      <c r="H50">
        <f>'Kertas Kerja'!I532</f>
        <v>1</v>
      </c>
    </row>
    <row r="51" spans="1:8" ht="96" x14ac:dyDescent="0.25">
      <c r="A51" s="38">
        <f t="shared" si="0"/>
        <v>43</v>
      </c>
      <c r="B51" s="41" t="s">
        <v>73</v>
      </c>
      <c r="C51" s="42" t="str">
        <f>'Kertas Kerja'!F538</f>
        <v>Deskripsi dan penjelasan tentang indikator yang terkait</v>
      </c>
      <c r="D51" s="42" t="str">
        <f>'Kertas Kerja'!G538</f>
        <v>Deskripsi identifikasi risiko tentang indikator yang terkait</v>
      </c>
      <c r="E51" s="38" t="str">
        <f>'Kertas Kerja'!J538</f>
        <v>RENDAH</v>
      </c>
      <c r="G51" t="str">
        <f>'Kertas Kerja'!H538</f>
        <v>C</v>
      </c>
      <c r="H51">
        <f>'Kertas Kerja'!I538</f>
        <v>1</v>
      </c>
    </row>
    <row r="52" spans="1:8" ht="409.5" x14ac:dyDescent="0.25">
      <c r="A52" s="38">
        <f t="shared" si="0"/>
        <v>44</v>
      </c>
      <c r="B52" s="41" t="s">
        <v>74</v>
      </c>
      <c r="C52" s="42" t="str">
        <f>'Kertas Kerja'!F546</f>
        <v>Deskripsi dan penjelasan tentang indikator yang terkait</v>
      </c>
      <c r="D52" s="42" t="str">
        <f>'Kertas Kerja'!G546</f>
        <v>Deskripsi identifikasi risiko tentang indikator yang terkait</v>
      </c>
      <c r="E52" s="38" t="str">
        <f>'Kertas Kerja'!J546</f>
        <v>RENDAH</v>
      </c>
      <c r="G52" t="str">
        <f>'Kertas Kerja'!H546&amp;", "&amp;'Kertas Kerja'!H552&amp;", "&amp;'Kertas Kerja'!H558</f>
        <v xml:space="preserve">C, , </v>
      </c>
      <c r="H52" t="str">
        <f>'Kertas Kerja'!I546&amp;", "&amp;'Kertas Kerja'!I552&amp;", "&amp;'Kertas Kerja'!I558</f>
        <v xml:space="preserve">1, , </v>
      </c>
    </row>
    <row r="53" spans="1:8" ht="72" x14ac:dyDescent="0.25">
      <c r="A53" s="38">
        <f t="shared" si="0"/>
        <v>45</v>
      </c>
      <c r="B53" s="41" t="s">
        <v>75</v>
      </c>
      <c r="C53" s="42" t="str">
        <f>'Kertas Kerja'!F566</f>
        <v>Deskripsi dan penjelasan tentang indikator yang terkait</v>
      </c>
      <c r="D53" s="42" t="str">
        <f>'Kertas Kerja'!G566</f>
        <v>Deskripsi identifikasi risiko tentang indikator yang terkait</v>
      </c>
      <c r="E53" s="38" t="str">
        <f>'Kertas Kerja'!J566</f>
        <v>RENDAH</v>
      </c>
      <c r="G53" t="str">
        <f>'Kertas Kerja'!H566</f>
        <v>C</v>
      </c>
      <c r="H53">
        <f>'Kertas Kerja'!I566</f>
        <v>1</v>
      </c>
    </row>
    <row r="54" spans="1:8" ht="96" x14ac:dyDescent="0.25">
      <c r="A54" s="38">
        <f t="shared" si="0"/>
        <v>46</v>
      </c>
      <c r="B54" s="41" t="s">
        <v>76</v>
      </c>
      <c r="C54" s="245" t="str">
        <f>'Kertas Kerja'!F570</f>
        <v>Deskripsi dan penjelasan tentang indikator yang terkait</v>
      </c>
      <c r="D54" s="245" t="str">
        <f>'Kertas Kerja'!G570</f>
        <v>Deskripsi identifikasi risiko tentang indikator yang terkait</v>
      </c>
      <c r="E54" s="214" t="str">
        <f>'Kertas Kerja'!J570</f>
        <v>RENDAH</v>
      </c>
      <c r="G54" t="str">
        <f>'Kertas Kerja'!H570</f>
        <v>C</v>
      </c>
      <c r="H54">
        <f>'Kertas Kerja'!I570</f>
        <v>1</v>
      </c>
    </row>
    <row r="55" spans="1:8" ht="72" x14ac:dyDescent="0.25">
      <c r="A55" s="38">
        <f t="shared" si="0"/>
        <v>47</v>
      </c>
      <c r="B55" s="41" t="s">
        <v>77</v>
      </c>
      <c r="C55" s="246" t="str">
        <f>'Kertas Kerja'!F578</f>
        <v>Deskripsi dan penjelasan tentang indikator yang terkait</v>
      </c>
      <c r="D55" s="246" t="str">
        <f>'Kertas Kerja'!G578</f>
        <v>Deskripsi identifikasi risiko tentang indikator yang terkait</v>
      </c>
      <c r="E55" s="215" t="str">
        <f>'Kertas Kerja'!J578</f>
        <v>RENDAH</v>
      </c>
      <c r="G55" t="str">
        <f>'Kertas Kerja'!H578&amp;", "&amp;'Kertas Kerja'!H581</f>
        <v xml:space="preserve">C, </v>
      </c>
      <c r="H55" t="str">
        <f>'Kertas Kerja'!I578&amp;", "&amp;'Kertas Kerja'!I581</f>
        <v xml:space="preserve">1, </v>
      </c>
    </row>
    <row r="56" spans="1:8" ht="180" x14ac:dyDescent="0.25">
      <c r="A56" s="38">
        <f t="shared" si="0"/>
        <v>48</v>
      </c>
      <c r="B56" s="41" t="s">
        <v>78</v>
      </c>
      <c r="C56" s="245" t="str">
        <f>'Kertas Kerja'!F590</f>
        <v>Deskripsi dan penjelasan tentang indikator yang terkait</v>
      </c>
      <c r="D56" s="245" t="str">
        <f>'Kertas Kerja'!G590</f>
        <v>Deskripsi identifikasi risiko tentang indikator yang terkait</v>
      </c>
      <c r="E56" s="214" t="str">
        <f>'Kertas Kerja'!J590</f>
        <v>RENDAH</v>
      </c>
      <c r="G56" t="str">
        <f>'Kertas Kerja'!H590</f>
        <v>C</v>
      </c>
      <c r="H56">
        <f>'Kertas Kerja'!I590</f>
        <v>1</v>
      </c>
    </row>
    <row r="57" spans="1:8" ht="60" x14ac:dyDescent="0.25">
      <c r="A57" s="38">
        <f t="shared" si="0"/>
        <v>49</v>
      </c>
      <c r="B57" s="41" t="s">
        <v>79</v>
      </c>
      <c r="C57" s="245" t="str">
        <f>'Kertas Kerja'!F614</f>
        <v>Deskripsi dan penjelasan tentang indikator yang terkait</v>
      </c>
      <c r="D57" s="245" t="str">
        <f>'Kertas Kerja'!G614</f>
        <v>Deskripsi identifikasi risiko tentang indikator yang terkait</v>
      </c>
      <c r="E57" s="214" t="str">
        <f>'Kertas Kerja'!J614</f>
        <v>RENDAH</v>
      </c>
      <c r="G57" t="str">
        <f>'Kertas Kerja'!H614</f>
        <v>C</v>
      </c>
      <c r="H57">
        <f>'Kertas Kerja'!I614</f>
        <v>1</v>
      </c>
    </row>
    <row r="58" spans="1:8" hidden="1" x14ac:dyDescent="0.25">
      <c r="A58" s="255"/>
      <c r="B58" s="256"/>
      <c r="C58" s="260"/>
      <c r="D58" s="260"/>
      <c r="E58" s="263"/>
    </row>
    <row r="59" spans="1:8" ht="180" x14ac:dyDescent="0.25">
      <c r="A59" s="38">
        <f>A57+1</f>
        <v>50</v>
      </c>
      <c r="B59" s="41" t="s">
        <v>80</v>
      </c>
      <c r="C59" s="245" t="str">
        <f>'Kertas Kerja'!F642</f>
        <v>Deskripsi dan penjelasan tentang indikator yang terkait</v>
      </c>
      <c r="D59" s="245" t="str">
        <f>'Kertas Kerja'!G642</f>
        <v>Deskripsi identifikasi risiko tentang indikator yang terkait</v>
      </c>
      <c r="E59" s="214" t="str">
        <f>'Kertas Kerja'!J642</f>
        <v>RENDAH</v>
      </c>
      <c r="G59" t="str">
        <f>'Kertas Kerja'!H642</f>
        <v>C</v>
      </c>
      <c r="H59">
        <f>'Kertas Kerja'!I642</f>
        <v>1</v>
      </c>
    </row>
    <row r="60" spans="1:8" ht="60" x14ac:dyDescent="0.25">
      <c r="A60" s="38">
        <f t="shared" si="0"/>
        <v>51</v>
      </c>
      <c r="B60" s="41" t="s">
        <v>81</v>
      </c>
      <c r="C60" s="245" t="str">
        <f>'Kertas Kerja'!F658</f>
        <v>Deskripsi dan penjelasan tentang indikator yang terkait</v>
      </c>
      <c r="D60" s="245" t="str">
        <f>'Kertas Kerja'!G658</f>
        <v>Deskripsi identifikasi risiko tentang indikator yang terkait</v>
      </c>
      <c r="E60" s="214" t="str">
        <f>'Kertas Kerja'!J658</f>
        <v>RENDAH</v>
      </c>
      <c r="G60" t="str">
        <f>'Kertas Kerja'!H658</f>
        <v>C</v>
      </c>
      <c r="H60">
        <f>'Kertas Kerja'!I658</f>
        <v>1</v>
      </c>
    </row>
    <row r="61" spans="1:8" ht="132" x14ac:dyDescent="0.25">
      <c r="A61" s="38">
        <f t="shared" si="0"/>
        <v>52</v>
      </c>
      <c r="B61" s="41" t="s">
        <v>82</v>
      </c>
      <c r="C61" s="245" t="str">
        <f>'Kertas Kerja'!F662</f>
        <v>Deskripsi dan penjelasan tentang indikator yang terkait</v>
      </c>
      <c r="D61" s="245" t="str">
        <f>'Kertas Kerja'!G662</f>
        <v>Deskripsi identifikasi risiko tentang indikator yang terkait</v>
      </c>
      <c r="E61" s="214" t="str">
        <f>'Kertas Kerja'!J662</f>
        <v>RENDAH</v>
      </c>
      <c r="G61" t="str">
        <f>'Kertas Kerja'!H662</f>
        <v>C</v>
      </c>
      <c r="H61">
        <f>'Kertas Kerja'!I662</f>
        <v>1</v>
      </c>
    </row>
    <row r="62" spans="1:8" ht="24" x14ac:dyDescent="0.25">
      <c r="A62" s="38">
        <f t="shared" si="0"/>
        <v>53</v>
      </c>
      <c r="B62" s="41" t="s">
        <v>83</v>
      </c>
      <c r="C62" s="245" t="str">
        <f>'Kertas Kerja'!F670</f>
        <v>Deskripsi dan penjelasan tentang indikator yang terkait</v>
      </c>
      <c r="D62" s="245" t="str">
        <f>'Kertas Kerja'!G670</f>
        <v>Deskripsi identifikasi risiko tentang indikator yang terkait</v>
      </c>
      <c r="E62" s="214" t="str">
        <f>'Kertas Kerja'!J670</f>
        <v>RENDAH</v>
      </c>
      <c r="G62" t="str">
        <f>'Kertas Kerja'!H670</f>
        <v>C</v>
      </c>
      <c r="H62">
        <f>'Kertas Kerja'!I670</f>
        <v>1</v>
      </c>
    </row>
    <row r="63" spans="1:8" ht="36" x14ac:dyDescent="0.25">
      <c r="A63" s="38">
        <f t="shared" si="0"/>
        <v>54</v>
      </c>
      <c r="B63" s="41" t="s">
        <v>84</v>
      </c>
      <c r="C63" s="245" t="str">
        <f>'Kertas Kerja'!F682</f>
        <v>Deskripsi dan penjelasan tentang indikator yang terkait</v>
      </c>
      <c r="D63" s="245" t="str">
        <f>'Kertas Kerja'!G682</f>
        <v>Deskripsi identifikasi risiko tentang indikator yang terkait</v>
      </c>
      <c r="E63" s="44" t="str">
        <f>'Kertas Kerja'!J682</f>
        <v>RENDAH</v>
      </c>
      <c r="G63" t="str">
        <f>'Kertas Kerja'!H682</f>
        <v>C</v>
      </c>
      <c r="H63">
        <f>'Kertas Kerja'!I682</f>
        <v>1</v>
      </c>
    </row>
    <row r="64" spans="1:8" ht="36" x14ac:dyDescent="0.25">
      <c r="A64" s="38">
        <f t="shared" si="0"/>
        <v>55</v>
      </c>
      <c r="B64" s="41" t="s">
        <v>85</v>
      </c>
      <c r="C64" s="245" t="str">
        <f>'Kertas Kerja'!F695</f>
        <v>Deskripsi dan penjelasan tentang indikator yang terkait</v>
      </c>
      <c r="D64" s="245" t="str">
        <f>'Kertas Kerja'!G695</f>
        <v>Deskripsi identifikasi risiko tentang indikator yang terkait</v>
      </c>
      <c r="E64" s="214" t="str">
        <f>'Kertas Kerja'!J695</f>
        <v>RENDAH</v>
      </c>
      <c r="G64" t="str">
        <f>'Kertas Kerja'!H695</f>
        <v>C</v>
      </c>
      <c r="H64">
        <f>'Kertas Kerja'!I695</f>
        <v>1</v>
      </c>
    </row>
    <row r="65" spans="1:8" ht="24" x14ac:dyDescent="0.25">
      <c r="A65" s="38">
        <f t="shared" si="0"/>
        <v>56</v>
      </c>
      <c r="B65" s="41" t="s">
        <v>86</v>
      </c>
      <c r="C65" s="42" t="str">
        <f>'Kertas Kerja'!F708</f>
        <v>Deskripsi dan penjelasan tentang indikator yang terkait</v>
      </c>
      <c r="D65" s="42" t="str">
        <f>'Kertas Kerja'!G708</f>
        <v>Deskripsi identifikasi risiko tentang indikator yang terkait</v>
      </c>
      <c r="E65" s="38" t="str">
        <f>'Kertas Kerja'!J708</f>
        <v>RENDAH</v>
      </c>
      <c r="G65" t="str">
        <f>'Kertas Kerja'!H708</f>
        <v>C</v>
      </c>
      <c r="H65">
        <f>'Kertas Kerja'!I708</f>
        <v>1</v>
      </c>
    </row>
    <row r="66" spans="1:8" ht="24" x14ac:dyDescent="0.25">
      <c r="A66" s="38">
        <f t="shared" si="0"/>
        <v>57</v>
      </c>
      <c r="B66" s="41" t="s">
        <v>87</v>
      </c>
      <c r="C66" s="42" t="str">
        <f>'Kertas Kerja'!F722</f>
        <v>Deskripsi dan penjelasan tentang indikator yang terkait</v>
      </c>
      <c r="D66" s="42" t="str">
        <f>'Kertas Kerja'!G722</f>
        <v>Deskripsi identifikasi risiko tentang indikator yang terkait</v>
      </c>
      <c r="E66" s="38" t="str">
        <f>'Kertas Kerja'!J722</f>
        <v>RENDAH</v>
      </c>
      <c r="G66" t="str">
        <f>'Kertas Kerja'!H722</f>
        <v>C</v>
      </c>
      <c r="H66">
        <f>'Kertas Kerja'!I722</f>
        <v>1</v>
      </c>
    </row>
    <row r="67" spans="1:8" ht="24" x14ac:dyDescent="0.25">
      <c r="A67" s="38">
        <f t="shared" si="0"/>
        <v>58</v>
      </c>
      <c r="B67" s="41" t="s">
        <v>88</v>
      </c>
      <c r="C67" s="42" t="str">
        <f>'Kertas Kerja'!F734</f>
        <v>Deskripsi dan penjelasan tentang indikator yang terkait</v>
      </c>
      <c r="D67" s="42" t="str">
        <f>'Kertas Kerja'!G734</f>
        <v>Deskripsi identifikasi risiko tentang indikator yang terkait</v>
      </c>
      <c r="E67" s="38" t="str">
        <f>'Kertas Kerja'!J734</f>
        <v>TINGGI</v>
      </c>
      <c r="G67" t="str">
        <f>'Kertas Kerja'!H734</f>
        <v>B</v>
      </c>
      <c r="H67">
        <f>'Kertas Kerja'!I734</f>
        <v>4</v>
      </c>
    </row>
    <row r="68" spans="1:8" ht="132" x14ac:dyDescent="0.25">
      <c r="A68" s="38">
        <f t="shared" si="0"/>
        <v>59</v>
      </c>
      <c r="B68" s="41" t="s">
        <v>89</v>
      </c>
      <c r="C68" s="42" t="str">
        <f>'Kertas Kerja'!F745</f>
        <v>Deskripsi dan penjelasan tentang indikator yang terkait</v>
      </c>
      <c r="D68" s="42" t="str">
        <f>'Kertas Kerja'!G745</f>
        <v>Deskripsi identifikasi risiko tentang indikator yang terkait</v>
      </c>
      <c r="E68" s="38" t="str">
        <f>'Kertas Kerja'!J745</f>
        <v>TINGGI</v>
      </c>
      <c r="G68" t="str">
        <f>'Kertas Kerja'!H745</f>
        <v>B</v>
      </c>
      <c r="H68">
        <f>'Kertas Kerja'!I745</f>
        <v>4</v>
      </c>
    </row>
    <row r="69" spans="1:8" ht="24" x14ac:dyDescent="0.25">
      <c r="A69" s="38">
        <f t="shared" si="0"/>
        <v>60</v>
      </c>
      <c r="B69" s="41" t="s">
        <v>90</v>
      </c>
      <c r="C69" s="42" t="str">
        <f>'Kertas Kerja'!F753</f>
        <v>Deskripsi dan penjelasan tentang indikator yang terkait</v>
      </c>
      <c r="D69" s="42" t="str">
        <f>'Kertas Kerja'!G753</f>
        <v>Deskripsi identifikasi risiko tentang indikator yang terkait</v>
      </c>
      <c r="E69" s="38" t="str">
        <f>'Kertas Kerja'!J753</f>
        <v>TINGGI</v>
      </c>
      <c r="G69" t="str">
        <f>'Kertas Kerja'!H753</f>
        <v>B</v>
      </c>
      <c r="H69">
        <f>'Kertas Kerja'!I753</f>
        <v>4</v>
      </c>
    </row>
    <row r="70" spans="1:8" ht="24" x14ac:dyDescent="0.25">
      <c r="A70" s="38">
        <f t="shared" si="0"/>
        <v>61</v>
      </c>
      <c r="B70" s="41" t="s">
        <v>91</v>
      </c>
      <c r="C70" s="42" t="str">
        <f>'Kertas Kerja'!F782</f>
        <v>Deskripsi dan penjelasan tentang indikator yang terkait</v>
      </c>
      <c r="D70" s="42" t="str">
        <f>'Kertas Kerja'!G782</f>
        <v>Deskripsi identifikasi risiko tentang indikator yang terkait</v>
      </c>
      <c r="E70" s="38" t="str">
        <f>'Kertas Kerja'!J782</f>
        <v>TINGGI</v>
      </c>
      <c r="G70" t="str">
        <f>'Kertas Kerja'!H782</f>
        <v>B</v>
      </c>
      <c r="H70">
        <f>'Kertas Kerja'!I782</f>
        <v>4</v>
      </c>
    </row>
    <row r="71" spans="1:8" ht="24" x14ac:dyDescent="0.25">
      <c r="A71" s="38">
        <f t="shared" si="0"/>
        <v>62</v>
      </c>
      <c r="B71" s="41" t="s">
        <v>92</v>
      </c>
      <c r="C71" s="42" t="str">
        <f>'Kertas Kerja'!F809</f>
        <v>Deskripsi dan penjelasan tentang indikator yang terkait</v>
      </c>
      <c r="D71" s="42" t="str">
        <f>'Kertas Kerja'!G809</f>
        <v>Deskripsi identifikasi risiko tentang indikator yang terkait</v>
      </c>
      <c r="E71" s="38" t="str">
        <f>'Kertas Kerja'!J809</f>
        <v>TINGGI</v>
      </c>
      <c r="G71" t="str">
        <f>'Kertas Kerja'!H809</f>
        <v>B</v>
      </c>
      <c r="H71">
        <f>'Kertas Kerja'!I809</f>
        <v>4</v>
      </c>
    </row>
    <row r="72" spans="1:8" ht="24" x14ac:dyDescent="0.25">
      <c r="A72" s="38">
        <f t="shared" si="0"/>
        <v>63</v>
      </c>
      <c r="B72" s="41" t="s">
        <v>93</v>
      </c>
      <c r="C72" s="42" t="str">
        <f>'Kertas Kerja'!F842</f>
        <v>Deskripsi dan penjelasan tentang indikator yang terkait</v>
      </c>
      <c r="D72" s="42" t="str">
        <f>'Kertas Kerja'!G842</f>
        <v>Deskripsi identifikasi risiko tentang indikator yang terkait</v>
      </c>
      <c r="E72" s="38" t="str">
        <f>'Kertas Kerja'!J842</f>
        <v>TINGGI</v>
      </c>
      <c r="G72" t="str">
        <f>'Kertas Kerja'!H842</f>
        <v>B</v>
      </c>
      <c r="H72">
        <f>'Kertas Kerja'!I842</f>
        <v>4</v>
      </c>
    </row>
    <row r="73" spans="1:8" ht="72" x14ac:dyDescent="0.25">
      <c r="A73" s="38">
        <f t="shared" si="0"/>
        <v>64</v>
      </c>
      <c r="B73" s="41" t="s">
        <v>94</v>
      </c>
      <c r="C73" s="42" t="str">
        <f>'Kertas Kerja'!F890</f>
        <v>Deskripsi dan penjelasan tentang indikator yang terkait</v>
      </c>
      <c r="D73" s="42" t="str">
        <f>'Kertas Kerja'!G890</f>
        <v>Deskripsi identifikasi risiko tentang indikator yang terkait</v>
      </c>
      <c r="E73" s="38" t="str">
        <f>'Kertas Kerja'!J890</f>
        <v>TINGGI</v>
      </c>
      <c r="G73" t="str">
        <f>'Kertas Kerja'!H890</f>
        <v>B</v>
      </c>
      <c r="H73">
        <f>'Kertas Kerja'!I890</f>
        <v>4</v>
      </c>
    </row>
    <row r="74" spans="1:8" hidden="1" x14ac:dyDescent="0.25">
      <c r="A74" s="38"/>
      <c r="B74" s="38"/>
      <c r="C74" s="38"/>
      <c r="D74" s="38"/>
      <c r="E74" s="38"/>
    </row>
    <row r="75" spans="1:8" hidden="1" x14ac:dyDescent="0.25">
      <c r="A75" s="38"/>
      <c r="B75" s="38"/>
      <c r="C75" s="38"/>
      <c r="D75" s="38"/>
      <c r="E75" s="38"/>
    </row>
    <row r="76" spans="1:8" ht="48" x14ac:dyDescent="0.25">
      <c r="A76" s="38">
        <f>A73+1</f>
        <v>65</v>
      </c>
      <c r="B76" s="41" t="s">
        <v>95</v>
      </c>
      <c r="C76" s="42" t="str">
        <f>'Kertas Kerja'!F915</f>
        <v>Deskripsi dan penjelasan tentang indikator yang terkait</v>
      </c>
      <c r="D76" s="42" t="str">
        <f>'Kertas Kerja'!G915</f>
        <v>Deskripsi identifikasi risiko tentang indikator yang terkait</v>
      </c>
      <c r="E76" s="38" t="str">
        <f>'Kertas Kerja'!J915</f>
        <v>TINGGI</v>
      </c>
      <c r="G76" t="str">
        <f>'Kertas Kerja'!H915</f>
        <v>B</v>
      </c>
      <c r="H76">
        <f>'Kertas Kerja'!I915</f>
        <v>4</v>
      </c>
    </row>
    <row r="77" spans="1:8" ht="84" x14ac:dyDescent="0.25">
      <c r="A77" s="38">
        <f t="shared" si="0"/>
        <v>66</v>
      </c>
      <c r="B77" s="46" t="s">
        <v>96</v>
      </c>
      <c r="C77" s="42" t="str">
        <f>'Kertas Kerja'!F924</f>
        <v>Deskripsi dan penjelasan tentang indikator yang terkait</v>
      </c>
      <c r="D77" s="42" t="str">
        <f>'Kertas Kerja'!G924</f>
        <v>Deskripsi identifikasi risiko tentang indikator yang terkait</v>
      </c>
      <c r="E77" s="38" t="str">
        <f>'Kertas Kerja'!J924</f>
        <v>TINGGI</v>
      </c>
      <c r="G77" t="str">
        <f>'Kertas Kerja'!H924</f>
        <v>B</v>
      </c>
      <c r="H77">
        <f>'Kertas Kerja'!I924</f>
        <v>4</v>
      </c>
    </row>
    <row r="78" spans="1:8" ht="48" x14ac:dyDescent="0.25">
      <c r="A78" s="38">
        <f t="shared" ref="A78:A80" si="1">A77+1</f>
        <v>67</v>
      </c>
      <c r="B78" s="46" t="s">
        <v>97</v>
      </c>
      <c r="C78" s="42" t="str">
        <f>'Kertas Kerja'!F932</f>
        <v>Deskripsi dan penjelasan tentang indikator yang terkait</v>
      </c>
      <c r="D78" s="42" t="str">
        <f>'Kertas Kerja'!G932</f>
        <v>Deskripsi identifikasi risiko tentang indikator yang terkait</v>
      </c>
      <c r="E78" s="38" t="str">
        <f>'Kertas Kerja'!J932</f>
        <v>TINGGI</v>
      </c>
      <c r="G78" t="str">
        <f>'Kertas Kerja'!H932</f>
        <v>B</v>
      </c>
      <c r="H78">
        <f>'Kertas Kerja'!I932</f>
        <v>4</v>
      </c>
    </row>
    <row r="79" spans="1:8" ht="48" x14ac:dyDescent="0.25">
      <c r="A79" s="38">
        <f t="shared" si="1"/>
        <v>68</v>
      </c>
      <c r="B79" s="46" t="s">
        <v>98</v>
      </c>
      <c r="C79" s="42" t="str">
        <f>'Kertas Kerja'!F940</f>
        <v>Deskripsi dan penjelasan tentang indikator yang terkait</v>
      </c>
      <c r="D79" s="42" t="str">
        <f>'Kertas Kerja'!G940</f>
        <v>Deskripsi identifikasi risiko tentang indikator yang terkait</v>
      </c>
      <c r="E79" s="38" t="str">
        <f>'Kertas Kerja'!J940</f>
        <v>TINGGI</v>
      </c>
      <c r="G79" t="str">
        <f>'Kertas Kerja'!H940</f>
        <v>B</v>
      </c>
      <c r="H79">
        <f>'Kertas Kerja'!I940</f>
        <v>4</v>
      </c>
    </row>
    <row r="80" spans="1:8" ht="60" x14ac:dyDescent="0.25">
      <c r="A80" s="38">
        <f t="shared" si="1"/>
        <v>69</v>
      </c>
      <c r="B80" s="47" t="s">
        <v>99</v>
      </c>
      <c r="C80" s="42" t="str">
        <f>'Kertas Kerja'!F948</f>
        <v>Deskripsi dan penjelasan tentang indikator yang terkait</v>
      </c>
      <c r="D80" s="42" t="str">
        <f>'Kertas Kerja'!G948</f>
        <v>Deskripsi identifikasi risiko tentang indikator yang terkait</v>
      </c>
      <c r="E80" s="38" t="str">
        <f>'Kertas Kerja'!J948</f>
        <v>TINGGI</v>
      </c>
      <c r="G80" t="str">
        <f>'Kertas Kerja'!H948</f>
        <v>B</v>
      </c>
      <c r="H80">
        <f>'Kertas Kerja'!I948</f>
        <v>4</v>
      </c>
    </row>
  </sheetData>
  <mergeCells count="2">
    <mergeCell ref="A1:E1"/>
    <mergeCell ref="A2:E2"/>
  </mergeCells>
  <conditionalFormatting sqref="A6:A80 B74:E75">
    <cfRule type="cellIs" dxfId="5" priority="20" operator="equal">
      <formula>0</formula>
    </cfRule>
  </conditionalFormatting>
  <conditionalFormatting sqref="B6:B14 B76:B80 B66:B72 B17:B64">
    <cfRule type="cellIs" dxfId="4" priority="19" operator="equal">
      <formula>"Tidak dinilai"</formula>
    </cfRule>
  </conditionalFormatting>
  <conditionalFormatting sqref="E6:E73 E76:E80">
    <cfRule type="cellIs" dxfId="3" priority="1" operator="equal">
      <formula>"RENDAH"</formula>
    </cfRule>
    <cfRule type="cellIs" dxfId="2" priority="2" operator="equal">
      <formula>"MODERAT"</formula>
    </cfRule>
    <cfRule type="cellIs" dxfId="1" priority="3" operator="equal">
      <formula>"TINGGI"</formula>
    </cfRule>
    <cfRule type="cellIs" dxfId="0" priority="4" operator="equal">
      <formula>"EKSTREM"</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3"/>
  <sheetViews>
    <sheetView topLeftCell="C1" zoomScale="120" zoomScaleNormal="120" workbookViewId="0">
      <selection activeCell="G7" sqref="G7"/>
    </sheetView>
  </sheetViews>
  <sheetFormatPr defaultRowHeight="15" x14ac:dyDescent="0.25"/>
  <cols>
    <col min="1" max="1" width="4.7109375" customWidth="1"/>
    <col min="2" max="2" width="5.7109375" customWidth="1"/>
    <col min="3" max="3" width="13.7109375" customWidth="1"/>
    <col min="4" max="4" width="5.7109375" customWidth="1"/>
    <col min="5" max="9" width="17.7109375" customWidth="1"/>
  </cols>
  <sheetData>
    <row r="1" spans="1:27" x14ac:dyDescent="0.25">
      <c r="A1" s="429" t="s">
        <v>965</v>
      </c>
      <c r="B1" s="429"/>
      <c r="C1" s="429"/>
      <c r="D1" s="429"/>
      <c r="E1" s="429"/>
      <c r="F1" s="429"/>
      <c r="G1" s="429"/>
      <c r="H1" s="429"/>
      <c r="I1" s="429"/>
    </row>
    <row r="2" spans="1:27" x14ac:dyDescent="0.25">
      <c r="A2" s="429" t="str">
        <f>'Isian Prodi'!C5</f>
        <v>Prodi A</v>
      </c>
      <c r="B2" s="429"/>
      <c r="C2" s="429"/>
      <c r="D2" s="429"/>
      <c r="E2" s="429"/>
      <c r="F2" s="429"/>
      <c r="G2" s="429"/>
      <c r="H2" s="429"/>
      <c r="I2" s="429"/>
    </row>
    <row r="3" spans="1:27" ht="15.75" thickBot="1" x14ac:dyDescent="0.3"/>
    <row r="4" spans="1:27" ht="60" customHeight="1" x14ac:dyDescent="0.25">
      <c r="B4" s="430" t="s">
        <v>955</v>
      </c>
      <c r="C4" s="217" t="s">
        <v>954</v>
      </c>
      <c r="D4" s="218" t="s">
        <v>920</v>
      </c>
      <c r="E4" s="219" t="str">
        <f>C15&amp;" "&amp;C16&amp;" "&amp;C17&amp;" "&amp;C18&amp;" "&amp;C19&amp;" "&amp;C20&amp;" "&amp;C21&amp;" "&amp;C22&amp;" "&amp;C23&amp;" "&amp;C24&amp;" "&amp;C25&amp;" "&amp;C26&amp;" "&amp;C27&amp;" "&amp;C28&amp;" "&amp;C29&amp;" "&amp;C30&amp;" "&amp;C31&amp;" "&amp;C32&amp;" "&amp;C33&amp;" "&amp;C34&amp;" "&amp;C35&amp;" "&amp;C36&amp;" "&amp;C37&amp;" "&amp;C38&amp;" "&amp;C39&amp;" "&amp;C40&amp;" "&amp;C41&amp;" "&amp;C42&amp;" "&amp;C43&amp;" "&amp;C44&amp;" "&amp;C45&amp;" "&amp;C46&amp;" "&amp;C47&amp;" "&amp;C48&amp;" "&amp;C49&amp;" "&amp;C50&amp;" "&amp;C51&amp;" "&amp;C52&amp;" "&amp;C53&amp;" "&amp;C54&amp;" "&amp;C55&amp;" "&amp;C56&amp;" "&amp;C57&amp;" "&amp;C58&amp;" "&amp;C59&amp;" "&amp;C60&amp;" "&amp;C61&amp;" "&amp;C62&amp;" "&amp;C63&amp;" "&amp;C64&amp;" "&amp;C65&amp;" "&amp;C66&amp;" "&amp;C67&amp;" "&amp;C68&amp;" "&amp;C69&amp;" "&amp;C70&amp;" "&amp;C71&amp;" "&amp;C72&amp;" "&amp;C73&amp;" "&amp;C74&amp;" "&amp;C75&amp;" "&amp;C76&amp;" "&amp;C77&amp;" "&amp;C78&amp;" "&amp;C79&amp;" "&amp;C80&amp;" "&amp;C81&amp;" "&amp;C82&amp;" "&amp;C83</f>
        <v xml:space="preserve"> 2  4 5 6 7 8 9 10 11 12 13 14 15 16                                                     </v>
      </c>
      <c r="F4" s="220" t="str">
        <f>D15&amp;" "&amp;D16&amp;" "&amp;D17&amp;" "&amp;D18&amp;" "&amp;D19&amp;" "&amp;D20&amp;" "&amp;D21&amp;" "&amp;D22&amp;" "&amp;D23&amp;" "&amp;D24&amp;" "&amp;D25&amp;" "&amp;D26&amp;" "&amp;D27&amp;" "&amp;D28&amp;" "&amp;D29&amp;" "&amp;D30&amp;" "&amp;D31&amp;" "&amp;D32&amp;" "&amp;D33&amp;" "&amp;D34&amp;" "&amp;D35&amp;" "&amp;D36&amp;" "&amp;D37&amp;" "&amp;D38&amp;" "&amp;D39&amp;" "&amp;D40&amp;" "&amp;D41&amp;" "&amp;D42&amp;" "&amp;D43&amp;" "&amp;D44&amp;" "&amp;D45&amp;" "&amp;D46&amp;" "&amp;D47&amp;" "&amp;D48&amp;" "&amp;D49&amp;" "&amp;D50&amp;" "&amp;D51&amp;" "&amp;D52&amp;" "&amp;D53&amp;" "&amp;D54&amp;" "&amp;D55&amp;" "&amp;D56&amp;" "&amp;D57&amp;" "&amp;D58&amp;" "&amp;D59&amp;" "&amp;D60&amp;" "&amp;D61&amp;" "&amp;D62&amp;" "&amp;D63&amp;" "&amp;D64&amp;" "&amp;D65&amp;" "&amp;D66&amp;" "&amp;D67&amp;" "&amp;D68&amp;" "&amp;D69&amp;" "&amp;D70&amp;" "&amp;D71&amp;" "&amp;D72&amp;" "&amp;D73&amp;" "&amp;D74&amp;" "&amp;D75&amp;" "&amp;D76&amp;" "&amp;D77&amp;" "&amp;D78&amp;" "&amp;D79&amp;" "&amp;D80&amp;" "&amp;D81&amp;" "&amp;D82&amp;" "&amp;D83</f>
        <v xml:space="preserve">                                                                    </v>
      </c>
      <c r="G4" s="221" t="str">
        <f>E15&amp;" "&amp;E16&amp;" "&amp;E17&amp;" "&amp;E18&amp;" "&amp;E19&amp;" "&amp;E20&amp;" "&amp;E21&amp;" "&amp;E22&amp;" "&amp;E23&amp;" "&amp;E24&amp;" "&amp;E25&amp;" "&amp;E26&amp;" "&amp;E27&amp;" "&amp;E28&amp;" "&amp;E29&amp;" "&amp;E30&amp;" "&amp;E31&amp;" "&amp;E32&amp;" "&amp;E33&amp;" "&amp;E34&amp;" "&amp;E35&amp;" "&amp;E36&amp;" "&amp;E37&amp;" "&amp;E38&amp;" "&amp;E39&amp;" "&amp;E40&amp;" "&amp;E41&amp;" "&amp;E42&amp;" "&amp;E43&amp;" "&amp;E44&amp;" "&amp;E45&amp;" "&amp;E46&amp;" "&amp;E47&amp;" "&amp;E48&amp;" "&amp;E49&amp;" "&amp;E50&amp;" "&amp;E51&amp;" "&amp;E52&amp;" "&amp;E53&amp;" "&amp;E54&amp;" "&amp;E55&amp;" "&amp;E56&amp;" "&amp;E57&amp;" "&amp;E58&amp;" "&amp;E59&amp;" "&amp;E60&amp;" "&amp;E61&amp;" "&amp;E62&amp;" "&amp;E63&amp;" "&amp;E64&amp;" "&amp;E65&amp;" "&amp;E66&amp;" "&amp;E67&amp;" "&amp;E68&amp;" "&amp;E69&amp;" "&amp;E70&amp;" "&amp;E71&amp;" "&amp;E72&amp;" "&amp;E73&amp;" "&amp;E74&amp;" "&amp;E75&amp;" "&amp;E76&amp;" "&amp;E77&amp;" "&amp;E78&amp;" "&amp;E79&amp;" "&amp;E80&amp;" "&amp;E81&amp;" "&amp;E82&amp;" "&amp;E83</f>
        <v xml:space="preserve">                                                                    </v>
      </c>
      <c r="H4" s="222" t="str">
        <f>F15&amp;" "&amp;F16&amp;" "&amp;F17&amp;" "&amp;F18&amp;" "&amp;F19&amp;" "&amp;F20&amp;" "&amp;F21&amp;" "&amp;F22&amp;" "&amp;F23&amp;" "&amp;F24&amp;" "&amp;F25&amp;" "&amp;F26&amp;" "&amp;F27&amp;" "&amp;F28&amp;" "&amp;F29&amp;" "&amp;F30&amp;" "&amp;F31&amp;" "&amp;F32&amp;" "&amp;F33&amp;" "&amp;F34&amp;" "&amp;F35&amp;" "&amp;F36&amp;" "&amp;F37&amp;" "&amp;F38&amp;" "&amp;F39&amp;" "&amp;F40&amp;" "&amp;F41&amp;" "&amp;F42&amp;" "&amp;F43&amp;" "&amp;F44&amp;" "&amp;F45&amp;" "&amp;F46&amp;" "&amp;F47&amp;" "&amp;F48&amp;" "&amp;F49&amp;" "&amp;F50&amp;" "&amp;F51&amp;" "&amp;F52&amp;" "&amp;F53&amp;" "&amp;F54&amp;" "&amp;F55&amp;" "&amp;F56&amp;" "&amp;F57&amp;" "&amp;F58&amp;" "&amp;F59&amp;" "&amp;F60&amp;" "&amp;F61&amp;" "&amp;F62&amp;" "&amp;F63&amp;" "&amp;F64&amp;" "&amp;F65&amp;" "&amp;F66&amp;" "&amp;F67&amp;" "&amp;F68&amp;" "&amp;F69&amp;" "&amp;F70&amp;" "&amp;F71&amp;" "&amp;F72&amp;" "&amp;F73&amp;" "&amp;F74&amp;" "&amp;F75&amp;" "&amp;F76&amp;" "&amp;F77&amp;" "&amp;F78&amp;" "&amp;F79&amp;" "&amp;F80&amp;" "&amp;F81&amp;" "&amp;F82&amp;" "&amp;F83</f>
        <v xml:space="preserve">  3                                                                  </v>
      </c>
      <c r="I4" s="223" t="str">
        <f>G15&amp;" "&amp;G16&amp;" "&amp;G17&amp;" "&amp;G18&amp;" "&amp;G19&amp;" "&amp;G20&amp;" "&amp;G21&amp;" "&amp;G22&amp;" "&amp;G23&amp;" "&amp;G24&amp;" "&amp;G25&amp;" "&amp;G26&amp;" "&amp;G27&amp;" "&amp;G28&amp;" "&amp;G29&amp;" "&amp;G30&amp;" "&amp;G31&amp;" "&amp;G32&amp;" "&amp;G33&amp;" "&amp;G34&amp;" "&amp;G35&amp;" "&amp;G36&amp;" "&amp;G37&amp;" "&amp;G38&amp;" "&amp;G39&amp;" "&amp;G40&amp;" "&amp;G41&amp;" "&amp;G42&amp;" "&amp;G43&amp;" "&amp;G44&amp;" "&amp;G45&amp;" "&amp;G46&amp;" "&amp;G47&amp;" "&amp;G48&amp;" "&amp;G49&amp;" "&amp;G50&amp;" "&amp;G51&amp;" "&amp;G52&amp;" "&amp;G53&amp;" "&amp;G54&amp;" "&amp;G55&amp;" "&amp;G56&amp;" "&amp;G57&amp;" "&amp;G58&amp;" "&amp;G59&amp;" "&amp;G60&amp;" "&amp;G61&amp;" "&amp;G62&amp;" "&amp;G63&amp;" "&amp;G64&amp;" "&amp;G65&amp;" "&amp;G66&amp;" "&amp;G67&amp;" "&amp;G68&amp;" "&amp;G69&amp;" "&amp;G70&amp;" "&amp;G71&amp;" "&amp;G72&amp;" "&amp;G73&amp;" "&amp;G74&amp;" "&amp;G75&amp;" "&amp;G76&amp;" "&amp;G77&amp;" "&amp;G78&amp;" "&amp;G79&amp;" "&amp;G80&amp;" "&amp;G81&amp;" "&amp;G82&amp;" "&amp;G83</f>
        <v xml:space="preserve">                                                                    </v>
      </c>
    </row>
    <row r="5" spans="1:27" ht="60" customHeight="1" x14ac:dyDescent="0.25">
      <c r="B5" s="431"/>
      <c r="C5" s="217" t="s">
        <v>956</v>
      </c>
      <c r="D5" s="218" t="s">
        <v>953</v>
      </c>
      <c r="E5" s="224" t="str">
        <f>H15&amp;" "&amp;H16&amp;" "&amp;H17&amp;" "&amp;H18&amp;" "&amp;H19&amp;" "&amp;H20&amp;" "&amp;H21&amp;" "&amp;H22&amp;" "&amp;H23&amp;" "&amp;H24&amp;" "&amp;H25&amp;" "&amp;H26&amp;" "&amp;H27&amp;" "&amp;H28&amp;" "&amp;H29&amp;" "&amp;H30&amp;" "&amp;H31&amp;" "&amp;H32&amp;" "&amp;H33&amp;" "&amp;H34&amp;" "&amp;H35&amp;" "&amp;H36&amp;" "&amp;H37&amp;" "&amp;H38&amp;" "&amp;H39&amp;" "&amp;H40&amp;" "&amp;H41&amp;" "&amp;H42&amp;" "&amp;H43&amp;" "&amp;H44&amp;" "&amp;H45&amp;" "&amp;H46&amp;" "&amp;H47&amp;" "&amp;H48&amp;" "&amp;H49&amp;" "&amp;H50&amp;" "&amp;H51&amp;" "&amp;H52&amp;" "&amp;H53&amp;" "&amp;H54&amp;" "&amp;H55&amp;" "&amp;H56&amp;" "&amp;H57&amp;" "&amp;H58&amp;" "&amp;H59&amp;" "&amp;H60&amp;" "&amp;H61&amp;" "&amp;H62&amp;" "&amp;H63&amp;" "&amp;H64&amp;" "&amp;H65&amp;" "&amp;H66&amp;" "&amp;H67&amp;" "&amp;H68&amp;" "&amp;H69&amp;" "&amp;H70&amp;" "&amp;H71&amp;" "&amp;H72&amp;" "&amp;H73&amp;" "&amp;H74&amp;" "&amp;H75&amp;" "&amp;H76&amp;" "&amp;H77&amp;" "&amp;H78&amp;" "&amp;H79&amp;" "&amp;H80&amp;" "&amp;H81&amp;" "&amp;H82&amp;" "&amp;H83</f>
        <v xml:space="preserve">                                                                    </v>
      </c>
      <c r="F5" s="225" t="str">
        <f>I15&amp;" "&amp;I16&amp;" "&amp;I17&amp;" "&amp;I18&amp;" "&amp;I19&amp;" "&amp;I20&amp;" "&amp;I21&amp;" "&amp;I22&amp;" "&amp;I23&amp;" "&amp;I24&amp;" "&amp;I25&amp;" "&amp;I26&amp;" "&amp;I27&amp;" "&amp;I28&amp;" "&amp;I29&amp;" "&amp;I30&amp;" "&amp;I31&amp;" "&amp;I32&amp;" "&amp;I33&amp;" "&amp;I34&amp;" "&amp;I35&amp;" "&amp;I36&amp;" "&amp;I37&amp;" "&amp;I38&amp;" "&amp;I39&amp;" "&amp;I40&amp;" "&amp;I41&amp;" "&amp;I42&amp;" "&amp;I43&amp;" "&amp;I44&amp;" "&amp;I45&amp;" "&amp;I46&amp;" "&amp;I47&amp;" "&amp;I48&amp;" "&amp;I49&amp;" "&amp;I50&amp;" "&amp;I51&amp;" "&amp;I52&amp;" "&amp;I53&amp;" "&amp;I54&amp;" "&amp;I55&amp;" "&amp;I56&amp;" "&amp;I57&amp;" "&amp;I58&amp;" "&amp;I59&amp;" "&amp;I60&amp;" "&amp;I61&amp;" "&amp;I62&amp;" "&amp;I63&amp;" "&amp;I64&amp;" "&amp;I65&amp;" "&amp;I66&amp;" "&amp;I67&amp;" "&amp;I68&amp;" "&amp;I69&amp;" "&amp;I70&amp;" "&amp;I71&amp;" "&amp;I72&amp;" "&amp;I73&amp;" "&amp;I74&amp;" "&amp;I75&amp;" "&amp;I76&amp;" "&amp;I77&amp;" "&amp;I78&amp;" "&amp;I79&amp;" "&amp;I80&amp;" "&amp;I81&amp;" "&amp;I82&amp;" "&amp;I83</f>
        <v xml:space="preserve">                                                                    </v>
      </c>
      <c r="G5" s="226" t="str">
        <f>J15&amp;" "&amp;J16&amp;" "&amp;J17&amp;" "&amp;J18&amp;" "&amp;J19&amp;" "&amp;J20&amp;" "&amp;J21&amp;" "&amp;J22&amp;" "&amp;J23&amp;" "&amp;J24&amp;" "&amp;J25&amp;" "&amp;J26&amp;" "&amp;J27&amp;" "&amp;J28&amp;" "&amp;J29&amp;" "&amp;J30&amp;" "&amp;J31&amp;" "&amp;J32&amp;" "&amp;J33&amp;" "&amp;J34&amp;" "&amp;J35&amp;" "&amp;J36&amp;" "&amp;J37&amp;" "&amp;J38&amp;" "&amp;J39&amp;" "&amp;J40&amp;" "&amp;J41&amp;" "&amp;J42&amp;" "&amp;J43&amp;" "&amp;J44&amp;" "&amp;J45&amp;" "&amp;J46&amp;" "&amp;J47&amp;" "&amp;J48&amp;" "&amp;J49&amp;" "&amp;J50&amp;" "&amp;J51&amp;" "&amp;J52&amp;" "&amp;J53&amp;" "&amp;J54&amp;" "&amp;J55&amp;" "&amp;J56&amp;" "&amp;J57&amp;" "&amp;J58&amp;" "&amp;J59&amp;" "&amp;J60&amp;" "&amp;J61&amp;" "&amp;J62&amp;" "&amp;J63&amp;" "&amp;J64&amp;" "&amp;J65&amp;" "&amp;J66&amp;" "&amp;J67&amp;" "&amp;J68&amp;" "&amp;J69&amp;" "&amp;J70&amp;" "&amp;J71&amp;" "&amp;J72&amp;" "&amp;J73&amp;" "&amp;J74&amp;" "&amp;J75&amp;" "&amp;J76&amp;" "&amp;J77&amp;" "&amp;J78&amp;" "&amp;J79&amp;" "&amp;J80&amp;" "&amp;J81&amp;" "&amp;J82&amp;" "&amp;J83</f>
        <v xml:space="preserve">                                                                    </v>
      </c>
      <c r="H5" s="227" t="str">
        <f>K15&amp;" "&amp;K16&amp;" "&amp;K17&amp;" "&amp;K18&amp;" "&amp;K19&amp;" "&amp;K20&amp;" "&amp;K21&amp;" "&amp;K22&amp;" "&amp;K23&amp;" "&amp;K24&amp;" "&amp;K25&amp;" "&amp;K26&amp;" "&amp;K27&amp;" "&amp;K28&amp;" "&amp;K29&amp;" "&amp;K30&amp;" "&amp;K31&amp;" "&amp;K32&amp;" "&amp;K33&amp;" "&amp;K34&amp;" "&amp;K35&amp;" "&amp;K36&amp;" "&amp;K37&amp;" "&amp;K38&amp;" "&amp;K39&amp;" "&amp;K40&amp;" "&amp;K41&amp;" "&amp;K42&amp;" "&amp;K43&amp;" "&amp;K44&amp;" "&amp;K45&amp;" "&amp;K46&amp;" "&amp;K47&amp;" "&amp;K48&amp;" "&amp;K49&amp;" "&amp;K50&amp;" "&amp;K51&amp;" "&amp;K52&amp;" "&amp;K53&amp;" "&amp;K54&amp;" "&amp;K55&amp;" "&amp;K56&amp;" "&amp;K57&amp;" "&amp;K58&amp;" "&amp;K59&amp;" "&amp;K60&amp;" "&amp;K61&amp;" "&amp;K62&amp;" "&amp;K63&amp;" "&amp;K64&amp;" "&amp;K65&amp;" "&amp;K66&amp;" "&amp;K67&amp;" "&amp;K68&amp;" "&amp;K69&amp;" "&amp;K70&amp;" "&amp;K71&amp;" "&amp;K72&amp;" "&amp;K73&amp;" "&amp;K74&amp;" "&amp;K75&amp;" "&amp;K76&amp;" "&amp;K77&amp;" "&amp;K78&amp;" "&amp;K79&amp;" "&amp;K80&amp;" "&amp;K81&amp;" "&amp;K82&amp;" "&amp;K83</f>
        <v xml:space="preserve">                                                                    </v>
      </c>
      <c r="I5" s="228" t="str">
        <f>L15&amp;" "&amp;L16&amp;" "&amp;L17&amp;" "&amp;L18&amp;" "&amp;L19&amp;" "&amp;L20&amp;" "&amp;L21&amp;" "&amp;L22&amp;" "&amp;L23&amp;" "&amp;L24&amp;" "&amp;L25&amp;" "&amp;L26&amp;" "&amp;L27&amp;" "&amp;L28&amp;" "&amp;L29&amp;" "&amp;L30&amp;" "&amp;L31&amp;" "&amp;L32&amp;" "&amp;L33&amp;" "&amp;L34&amp;" "&amp;L35&amp;" "&amp;L36&amp;" "&amp;L37&amp;" "&amp;L38&amp;" "&amp;L39&amp;" "&amp;L40&amp;" "&amp;L41&amp;" "&amp;L42&amp;" "&amp;L43&amp;" "&amp;L44&amp;" "&amp;L45&amp;" "&amp;L46&amp;" "&amp;L47&amp;" "&amp;L48&amp;" "&amp;L49&amp;" "&amp;L50&amp;" "&amp;L51&amp;" "&amp;L52&amp;" "&amp;L53&amp;" "&amp;L54&amp;" "&amp;L55&amp;" "&amp;L56&amp;" "&amp;L57&amp;" "&amp;L58&amp;" "&amp;L59&amp;" "&amp;L60&amp;" "&amp;L61&amp;" "&amp;L62&amp;" "&amp;L63&amp;" "&amp;L64&amp;" "&amp;L65&amp;" "&amp;L66&amp;" "&amp;L67&amp;" "&amp;L68&amp;" "&amp;L69&amp;" "&amp;L70&amp;" "&amp;L71&amp;" "&amp;L72&amp;" "&amp;L73&amp;" "&amp;L74&amp;" "&amp;L75&amp;" "&amp;L76&amp;" "&amp;L77&amp;" "&amp;L78&amp;" "&amp;L79&amp;" "&amp;L80&amp;" "&amp;L81&amp;" "&amp;L82&amp;" "&amp;L83</f>
        <v xml:space="preserve">                                                                    </v>
      </c>
    </row>
    <row r="6" spans="1:27" ht="60" customHeight="1" x14ac:dyDescent="0.25">
      <c r="B6" s="431"/>
      <c r="C6" s="217" t="s">
        <v>482</v>
      </c>
      <c r="D6" s="218" t="s">
        <v>964</v>
      </c>
      <c r="E6" s="224" t="str">
        <f>M15&amp;" "&amp;M16&amp;" "&amp;M17&amp;" "&amp;M18&amp;" "&amp;M19&amp;" "&amp;M20&amp;" "&amp;M21&amp;" "&amp;M22&amp;" "&amp;M23&amp;" "&amp;M24&amp;" "&amp;M25&amp;" "&amp;M26&amp;" "&amp;M27&amp;" "&amp;M28&amp;" "&amp;M29&amp;" "&amp;M30&amp;" "&amp;M31&amp;" "&amp;M32&amp;" "&amp;M33&amp;" "&amp;M34&amp;" "&amp;M35&amp;" "&amp;M36&amp;" "&amp;M37&amp;" "&amp;M38&amp;" "&amp;M39&amp;" "&amp;M40&amp;" "&amp;M41&amp;" "&amp;M42&amp;" "&amp;M43&amp;" "&amp;M44&amp;" "&amp;M45&amp;" "&amp;M46&amp;" "&amp;M47&amp;" "&amp;M48&amp;" "&amp;M49&amp;" "&amp;M50&amp;" "&amp;M51&amp;" "&amp;M52&amp;" "&amp;M53&amp;" "&amp;M54&amp;" "&amp;M55&amp;" "&amp;M56&amp;" "&amp;M57&amp;" "&amp;M58&amp;" "&amp;M59&amp;" "&amp;M60&amp;" "&amp;M61&amp;" "&amp;M62&amp;" "&amp;M63&amp;" "&amp;M64&amp;" "&amp;M65&amp;" "&amp;M66&amp;" "&amp;M67&amp;" "&amp;M68&amp;" "&amp;M69&amp;" "&amp;M70&amp;" "&amp;M71&amp;" "&amp;M72&amp;" "&amp;M73&amp;" "&amp;M74&amp;" "&amp;M75&amp;" "&amp;M76&amp;" "&amp;M77&amp;" "&amp;M78&amp;" "&amp;M79&amp;" "&amp;M80&amp;" "&amp;M81&amp;" "&amp;M82&amp;" "&amp;M83</f>
        <v xml:space="preserve">                      23 24 25 26 27 28 29 30 31 32 33 34 35 36 37 38 39 40 41 42 43  45 46  48 49 50 51 52 53 54 55 56 57            </v>
      </c>
      <c r="F6" s="225" t="str">
        <f>N15&amp;" "&amp;N16&amp;" "&amp;N17&amp;" "&amp;N18&amp;" "&amp;N19&amp;" "&amp;N20&amp;" "&amp;N21&amp;" "&amp;N22&amp;" "&amp;N23&amp;" "&amp;N24&amp;" "&amp;N25&amp;" "&amp;N26&amp;" "&amp;N27&amp;" "&amp;N28&amp;" "&amp;N29&amp;" "&amp;N30&amp;" "&amp;N31&amp;" "&amp;N32&amp;" "&amp;N33&amp;" "&amp;N34&amp;" "&amp;N35&amp;" "&amp;N36&amp;" "&amp;N37&amp;" "&amp;N38&amp;" "&amp;N39&amp;" "&amp;N40&amp;" "&amp;N41&amp;" "&amp;N42&amp;" "&amp;N43&amp;" "&amp;N44&amp;" "&amp;N45&amp;" "&amp;N46&amp;" "&amp;N47&amp;" "&amp;N48&amp;" "&amp;N49&amp;" "&amp;N50&amp;" "&amp;N51&amp;" "&amp;N52&amp;" "&amp;N53&amp;" "&amp;N54&amp;" "&amp;N55&amp;" "&amp;N56&amp;" "&amp;N57&amp;" "&amp;N58&amp;" "&amp;N59&amp;" "&amp;N60&amp;" "&amp;N61&amp;" "&amp;N62&amp;" "&amp;N63&amp;" "&amp;N64&amp;" "&amp;N65&amp;" "&amp;N66&amp;" "&amp;N67&amp;" "&amp;N68&amp;" "&amp;N69&amp;" "&amp;N70&amp;" "&amp;N71&amp;" "&amp;N72&amp;" "&amp;N73&amp;" "&amp;N74&amp;" "&amp;N75&amp;" "&amp;N76&amp;" "&amp;N77&amp;" "&amp;N78&amp;" "&amp;N79&amp;" "&amp;N80&amp;" "&amp;N81&amp;" "&amp;N82&amp;" "&amp;N83</f>
        <v xml:space="preserve">                                                                    </v>
      </c>
      <c r="G6" s="226" t="str">
        <f>O15&amp;" "&amp;O16&amp;" "&amp;O17&amp;" "&amp;O18&amp;" "&amp;O19&amp;" "&amp;O20&amp;" "&amp;O21&amp;" "&amp;O22&amp;" "&amp;O23&amp;" "&amp;O24&amp;" "&amp;O25&amp;" "&amp;O26&amp;" "&amp;O27&amp;" "&amp;O28&amp;" "&amp;O29&amp;" "&amp;O30&amp;" "&amp;O31&amp;" "&amp;O32&amp;" "&amp;O33&amp;" "&amp;O34&amp;" "&amp;O35&amp;" "&amp;O36&amp;" "&amp;O37&amp;" "&amp;O38&amp;" "&amp;O39&amp;" "&amp;O40&amp;" "&amp;O41&amp;" "&amp;O42&amp;" "&amp;O43&amp;" "&amp;O44&amp;" "&amp;O45&amp;" "&amp;O46&amp;" "&amp;O47&amp;" "&amp;O48&amp;" "&amp;O49&amp;" "&amp;O50&amp;" "&amp;O51&amp;" "&amp;O52&amp;" "&amp;O53&amp;" "&amp;O54&amp;" "&amp;O55&amp;" "&amp;O56&amp;" "&amp;O57&amp;" "&amp;O58&amp;" "&amp;O59&amp;" "&amp;O60&amp;" "&amp;O61&amp;" "&amp;O62&amp;" "&amp;O63&amp;" "&amp;O64&amp;" "&amp;O65&amp;" "&amp;O66&amp;" "&amp;O67&amp;" "&amp;O68&amp;" "&amp;O69&amp;" "&amp;O70&amp;" "&amp;O71&amp;" "&amp;O72&amp;" "&amp;O73&amp;" "&amp;O74&amp;" "&amp;O75&amp;" "&amp;O76&amp;" "&amp;O77&amp;" "&amp;O78&amp;" "&amp;O79&amp;" "&amp;O80&amp;" "&amp;O81&amp;" "&amp;O82&amp;" "&amp;O83</f>
        <v xml:space="preserve">                17                                                    </v>
      </c>
      <c r="H6" s="226" t="str">
        <f>P15&amp;" "&amp;P16&amp;" "&amp;P17&amp;" "&amp;P18&amp;" "&amp;P19&amp;" "&amp;P20&amp;" "&amp;P21&amp;" "&amp;P22&amp;" "&amp;P23&amp;" "&amp;P24&amp;" "&amp;P25&amp;" "&amp;P26&amp;" "&amp;P27&amp;" "&amp;P28&amp;" "&amp;P29&amp;" "&amp;P30&amp;" "&amp;P31&amp;" "&amp;P32&amp;" "&amp;P33&amp;" "&amp;P34&amp;" "&amp;P35&amp;" "&amp;P36&amp;" "&amp;P37&amp;" "&amp;P38&amp;" "&amp;P39&amp;" "&amp;P40&amp;" "&amp;P41&amp;" "&amp;P42&amp;" "&amp;P43&amp;" "&amp;P44&amp;" "&amp;P45&amp;" "&amp;P46&amp;" "&amp;P47&amp;" "&amp;P48&amp;" "&amp;P49&amp;" "&amp;P50&amp;" "&amp;P51&amp;" "&amp;P52&amp;" "&amp;P53&amp;" "&amp;P54&amp;" "&amp;P55&amp;" "&amp;P56&amp;" "&amp;P57&amp;" "&amp;P58&amp;" "&amp;P59&amp;" "&amp;P60&amp;" "&amp;P61&amp;" "&amp;P62&amp;" "&amp;P63&amp;" "&amp;P64&amp;" "&amp;P65&amp;" "&amp;P66&amp;" "&amp;P67&amp;" "&amp;P68&amp;" "&amp;P69&amp;" "&amp;P70&amp;" "&amp;P71&amp;" "&amp;P72&amp;" "&amp;P73&amp;" "&amp;P74&amp;" "&amp;P75&amp;" "&amp;P76&amp;" "&amp;P77&amp;" "&amp;P78&amp;" "&amp;P79&amp;" "&amp;P80&amp;" "&amp;P81&amp;" "&amp;P82&amp;" "&amp;P83</f>
        <v xml:space="preserve">1                                                                    </v>
      </c>
      <c r="I6" s="228" t="str">
        <f>Q15&amp;" "&amp;Q16&amp;" "&amp;Q17&amp;" "&amp;Q18&amp;" "&amp;Q19&amp;" "&amp;Q20&amp;" "&amp;Q21&amp;" "&amp;Q22&amp;" "&amp;Q23&amp;" "&amp;Q24&amp;" "&amp;Q25&amp;" "&amp;Q26&amp;" "&amp;Q27&amp;" "&amp;Q28&amp;" "&amp;Q29&amp;" "&amp;Q30&amp;" "&amp;Q31&amp;" "&amp;Q32&amp;" "&amp;Q33&amp;" "&amp;Q34&amp;" "&amp;Q35&amp;" "&amp;Q36&amp;" "&amp;Q37&amp;" "&amp;Q38&amp;" "&amp;Q39&amp;" "&amp;Q40&amp;" "&amp;Q41&amp;" "&amp;Q42&amp;" "&amp;Q43&amp;" "&amp;Q44&amp;" "&amp;Q45&amp;" "&amp;Q46&amp;" "&amp;Q47&amp;" "&amp;Q48&amp;" "&amp;Q49&amp;" "&amp;Q50&amp;" "&amp;Q51&amp;" "&amp;Q52&amp;" "&amp;Q53&amp;" "&amp;Q54&amp;" "&amp;Q55&amp;" "&amp;Q56&amp;" "&amp;Q57&amp;" "&amp;Q58&amp;" "&amp;Q59&amp;" "&amp;Q60&amp;" "&amp;Q61&amp;" "&amp;Q62&amp;" "&amp;Q63&amp;" "&amp;Q64&amp;" "&amp;Q65&amp;" "&amp;Q66&amp;" "&amp;Q67&amp;" "&amp;Q68&amp;" "&amp;Q69&amp;" "&amp;Q70&amp;" "&amp;Q71&amp;" "&amp;Q72&amp;" "&amp;Q73&amp;" "&amp;Q74&amp;" "&amp;Q75&amp;" "&amp;Q76&amp;" "&amp;Q77&amp;" "&amp;Q78&amp;" "&amp;Q79&amp;" "&amp;Q80&amp;" "&amp;Q81&amp;" "&amp;Q82&amp;" "&amp;Q83</f>
        <v xml:space="preserve">                                                                    </v>
      </c>
    </row>
    <row r="7" spans="1:27" ht="60" customHeight="1" x14ac:dyDescent="0.25">
      <c r="B7" s="431"/>
      <c r="C7" s="217" t="s">
        <v>957</v>
      </c>
      <c r="D7" s="218" t="s">
        <v>698</v>
      </c>
      <c r="E7" s="224" t="str">
        <f>R15&amp;" "&amp;R16&amp;" "&amp;R17&amp;" "&amp;R18&amp;" "&amp;R19&amp;" "&amp;R20&amp;" "&amp;R21&amp;" "&amp;R22&amp;" "&amp;R23&amp;" "&amp;R24&amp;" "&amp;R25&amp;" "&amp;R26&amp;" "&amp;R27&amp;" "&amp;R28&amp;" "&amp;R29&amp;" "&amp;R30&amp;" "&amp;R31&amp;" "&amp;R32&amp;" "&amp;R33&amp;" "&amp;R34&amp;" "&amp;R35&amp;" "&amp;R36&amp;" "&amp;R37&amp;" "&amp;R38&amp;" "&amp;R39&amp;" "&amp;R40&amp;" "&amp;R41&amp;" "&amp;R42&amp;" "&amp;R43&amp;" "&amp;R44&amp;" "&amp;R45&amp;" "&amp;R46&amp;" "&amp;R47&amp;" "&amp;R48&amp;" "&amp;R49&amp;" "&amp;R50&amp;" "&amp;R51&amp;" "&amp;R52&amp;" "&amp;R53&amp;" "&amp;R54&amp;" "&amp;R55&amp;" "&amp;R56&amp;" "&amp;R57&amp;" "&amp;R58&amp;" "&amp;R59&amp;" "&amp;R60&amp;" "&amp;R61&amp;" "&amp;R62&amp;" "&amp;R63&amp;" "&amp;R64&amp;" "&amp;R65&amp;" "&amp;R66&amp;" "&amp;R67&amp;" "&amp;R68&amp;" "&amp;R69&amp;" "&amp;R70&amp;" "&amp;R71&amp;" "&amp;R72&amp;" "&amp;R73&amp;" "&amp;R74&amp;" "&amp;R75&amp;" "&amp;R76&amp;" "&amp;R77&amp;" "&amp;R78&amp;" "&amp;R79&amp;" "&amp;R80&amp;" "&amp;R81&amp;" "&amp;R82&amp;" "&amp;R83</f>
        <v xml:space="preserve">                                                                    </v>
      </c>
      <c r="F7" s="229" t="str">
        <f t="shared" ref="F7:I7" si="0">S15&amp;" "&amp;S16&amp;" "&amp;S17&amp;" "&amp;S18&amp;" "&amp;S19&amp;" "&amp;S20&amp;" "&amp;S21&amp;" "&amp;S22&amp;" "&amp;S23&amp;" "&amp;S24&amp;" "&amp;S25&amp;" "&amp;S26&amp;" "&amp;S27&amp;" "&amp;S28&amp;" "&amp;S29&amp;" "&amp;S30&amp;" "&amp;S31&amp;" "&amp;S32&amp;" "&amp;S33&amp;" "&amp;S34&amp;" "&amp;S35&amp;" "&amp;S36&amp;" "&amp;S37&amp;" "&amp;S38&amp;" "&amp;S39&amp;" "&amp;S40&amp;" "&amp;S41&amp;" "&amp;S42&amp;" "&amp;S43&amp;" "&amp;S44&amp;" "&amp;S45&amp;" "&amp;S46&amp;" "&amp;S47&amp;" "&amp;S48&amp;" "&amp;S49&amp;" "&amp;S50&amp;" "&amp;S51&amp;" "&amp;S52&amp;" "&amp;S53&amp;" "&amp;S54&amp;" "&amp;S55&amp;" "&amp;S56&amp;" "&amp;S57&amp;" "&amp;S58&amp;" "&amp;S59&amp;" "&amp;S60&amp;" "&amp;S61&amp;" "&amp;S62&amp;" "&amp;S63&amp;" "&amp;S64&amp;" "&amp;S65&amp;" "&amp;S66&amp;" "&amp;S67&amp;" "&amp;S68&amp;" "&amp;S69&amp;" "&amp;S70&amp;" "&amp;S71&amp;" "&amp;S72&amp;" "&amp;S73&amp;" "&amp;S74&amp;" "&amp;S75&amp;" "&amp;S76&amp;" "&amp;S77&amp;" "&amp;S78&amp;" "&amp;S79&amp;" "&amp;S80&amp;" "&amp;S81&amp;" "&amp;S82&amp;" "&amp;S83</f>
        <v xml:space="preserve">                                                                    </v>
      </c>
      <c r="G7" s="225" t="str">
        <f t="shared" si="0"/>
        <v xml:space="preserve">                                                                    </v>
      </c>
      <c r="H7" s="226" t="str">
        <f t="shared" si="0"/>
        <v xml:space="preserve">                                                         58 59 60 61 62 63 64 65 66 67 68 69</v>
      </c>
      <c r="I7" s="228" t="str">
        <f t="shared" si="0"/>
        <v xml:space="preserve">                                                                    </v>
      </c>
    </row>
    <row r="8" spans="1:27" ht="60" customHeight="1" thickBot="1" x14ac:dyDescent="0.3">
      <c r="B8" s="432"/>
      <c r="C8" s="217" t="s">
        <v>958</v>
      </c>
      <c r="D8" s="218" t="s">
        <v>697</v>
      </c>
      <c r="E8" s="230" t="str">
        <f>W15&amp;" "&amp;W16&amp;" "&amp;W17&amp;" "&amp;W18&amp;" "&amp;W19&amp;" "&amp;W20&amp;" "&amp;W21&amp;" "&amp;W22&amp;" "&amp;W23&amp;" "&amp;W24&amp;" "&amp;W25&amp;" "&amp;W26&amp;" "&amp;W27&amp;" "&amp;W28&amp;" "&amp;W29&amp;" "&amp;W30&amp;" "&amp;W31&amp;" "&amp;W32&amp;" "&amp;W33&amp;" "&amp;W34&amp;" "&amp;W35&amp;" "&amp;W36&amp;" "&amp;W37&amp;" "&amp;W38&amp;" "&amp;W39&amp;" "&amp;W40&amp;" "&amp;W41&amp;" "&amp;W42&amp;" "&amp;W43&amp;" "&amp;W44&amp;" "&amp;W45&amp;" "&amp;W46&amp;" "&amp;W47&amp;" "&amp;W48&amp;" "&amp;W49&amp;" "&amp;W50&amp;" "&amp;W51&amp;" "&amp;W52&amp;" "&amp;W53&amp;" "&amp;W54&amp;" "&amp;W55&amp;" "&amp;W56&amp;" "&amp;W57&amp;" "&amp;W58&amp;" "&amp;W59&amp;" "&amp;W60&amp;" "&amp;W61&amp;" "&amp;W62&amp;" "&amp;W63&amp;" "&amp;W64&amp;" "&amp;W65&amp;" "&amp;W66&amp;" "&amp;W67&amp;" "&amp;W68&amp;" "&amp;W69&amp;" "&amp;W70&amp;" "&amp;W71&amp;" "&amp;W72&amp;" "&amp;W73&amp;" "&amp;W74&amp;" "&amp;W75&amp;" "&amp;W76&amp;" "&amp;W77&amp;" "&amp;W78&amp;" "&amp;W79&amp;" "&amp;W80&amp;" "&amp;W81&amp;" "&amp;W82&amp;" "&amp;W83</f>
        <v xml:space="preserve">                 18 19 20 21 22                                               </v>
      </c>
      <c r="F8" s="231" t="str">
        <f t="shared" ref="F8:I8" si="1">X15&amp;" "&amp;X16&amp;" "&amp;X17&amp;" "&amp;X18&amp;" "&amp;X19&amp;" "&amp;X20&amp;" "&amp;X21&amp;" "&amp;X22&amp;" "&amp;X23&amp;" "&amp;X24&amp;" "&amp;X25&amp;" "&amp;X26&amp;" "&amp;X27&amp;" "&amp;X28&amp;" "&amp;X29&amp;" "&amp;X30&amp;" "&amp;X31&amp;" "&amp;X32&amp;" "&amp;X33&amp;" "&amp;X34&amp;" "&amp;X35&amp;" "&amp;X36&amp;" "&amp;X37&amp;" "&amp;X38&amp;" "&amp;X39&amp;" "&amp;X40&amp;" "&amp;X41&amp;" "&amp;X42&amp;" "&amp;X43&amp;" "&amp;X44&amp;" "&amp;X45&amp;" "&amp;X46&amp;" "&amp;X47&amp;" "&amp;X48&amp;" "&amp;X49&amp;" "&amp;X50&amp;" "&amp;X51&amp;" "&amp;X52&amp;" "&amp;X53&amp;" "&amp;X54&amp;" "&amp;X55&amp;" "&amp;X56&amp;" "&amp;X57&amp;" "&amp;X58&amp;" "&amp;X59&amp;" "&amp;X60&amp;" "&amp;X61&amp;" "&amp;X62&amp;" "&amp;X63&amp;" "&amp;X64&amp;" "&amp;X65&amp;" "&amp;X66&amp;" "&amp;X67&amp;" "&amp;X68&amp;" "&amp;X69&amp;" "&amp;X70&amp;" "&amp;X71&amp;" "&amp;X72&amp;" "&amp;X73&amp;" "&amp;X74&amp;" "&amp;X75&amp;" "&amp;X76&amp;" "&amp;X77&amp;" "&amp;X78&amp;" "&amp;X79&amp;" "&amp;X80&amp;" "&amp;X81&amp;" "&amp;X82&amp;" "&amp;X83</f>
        <v xml:space="preserve">                                                                    </v>
      </c>
      <c r="G8" s="232" t="str">
        <f t="shared" si="1"/>
        <v xml:space="preserve">                                                                    </v>
      </c>
      <c r="H8" s="233" t="str">
        <f t="shared" si="1"/>
        <v xml:space="preserve">                                                                    </v>
      </c>
      <c r="I8" s="234" t="str">
        <f t="shared" si="1"/>
        <v xml:space="preserve">                                                                    </v>
      </c>
    </row>
    <row r="9" spans="1:27" ht="15.75" x14ac:dyDescent="0.25">
      <c r="B9" s="235"/>
      <c r="C9" s="236"/>
      <c r="D9" s="237"/>
      <c r="E9" s="238">
        <v>1</v>
      </c>
      <c r="F9" s="238">
        <v>2</v>
      </c>
      <c r="G9" s="238">
        <v>3</v>
      </c>
      <c r="H9" s="238">
        <v>4</v>
      </c>
      <c r="I9" s="238">
        <v>5</v>
      </c>
    </row>
    <row r="10" spans="1:27" ht="54.95" customHeight="1" x14ac:dyDescent="0.25">
      <c r="B10" s="179"/>
      <c r="C10" s="239"/>
      <c r="D10" s="240"/>
      <c r="E10" s="241" t="s">
        <v>959</v>
      </c>
      <c r="F10" s="241" t="s">
        <v>960</v>
      </c>
      <c r="G10" s="241" t="s">
        <v>961</v>
      </c>
      <c r="H10" s="241" t="s">
        <v>962</v>
      </c>
      <c r="I10" s="241" t="s">
        <v>963</v>
      </c>
    </row>
    <row r="11" spans="1:27" ht="26.25" customHeight="1" x14ac:dyDescent="0.25">
      <c r="B11" s="179"/>
      <c r="C11" s="179"/>
      <c r="D11" s="235"/>
      <c r="E11" s="270" t="s">
        <v>919</v>
      </c>
      <c r="F11" s="271"/>
      <c r="G11" s="271"/>
      <c r="H11" s="271"/>
      <c r="I11" s="272"/>
    </row>
    <row r="13" spans="1:27" x14ac:dyDescent="0.25">
      <c r="E13" s="179"/>
      <c r="F13" s="179" t="s">
        <v>927</v>
      </c>
      <c r="G13" s="179" t="s">
        <v>925</v>
      </c>
      <c r="H13" s="179" t="s">
        <v>923</v>
      </c>
      <c r="I13" s="179" t="s">
        <v>921</v>
      </c>
    </row>
    <row r="14" spans="1:27" hidden="1" x14ac:dyDescent="0.25">
      <c r="C14" t="s">
        <v>966</v>
      </c>
      <c r="D14" t="s">
        <v>967</v>
      </c>
      <c r="E14" t="s">
        <v>968</v>
      </c>
      <c r="F14" t="s">
        <v>969</v>
      </c>
      <c r="G14" t="s">
        <v>970</v>
      </c>
      <c r="H14" t="s">
        <v>971</v>
      </c>
      <c r="I14" t="s">
        <v>972</v>
      </c>
      <c r="J14" t="s">
        <v>973</v>
      </c>
      <c r="K14" t="s">
        <v>974</v>
      </c>
      <c r="L14" t="s">
        <v>975</v>
      </c>
      <c r="M14" t="s">
        <v>976</v>
      </c>
      <c r="N14" t="s">
        <v>977</v>
      </c>
      <c r="O14" t="s">
        <v>978</v>
      </c>
      <c r="P14" t="s">
        <v>979</v>
      </c>
      <c r="Q14" t="s">
        <v>980</v>
      </c>
      <c r="R14" t="s">
        <v>981</v>
      </c>
      <c r="S14" t="s">
        <v>982</v>
      </c>
      <c r="T14" t="s">
        <v>983</v>
      </c>
      <c r="U14" t="s">
        <v>984</v>
      </c>
      <c r="V14" t="s">
        <v>985</v>
      </c>
      <c r="W14" t="s">
        <v>986</v>
      </c>
      <c r="X14" t="s">
        <v>987</v>
      </c>
      <c r="Y14" t="s">
        <v>988</v>
      </c>
      <c r="Z14" t="s">
        <v>989</v>
      </c>
      <c r="AA14" t="s">
        <v>990</v>
      </c>
    </row>
    <row r="15" spans="1:27" hidden="1" x14ac:dyDescent="0.25">
      <c r="B15">
        <v>1</v>
      </c>
      <c r="C15" t="str">
        <f>IF(AND('Lap ED'!G6='Peta Risiko'!$D$4,'Lap ED'!H6='Peta Risiko'!$E$9),'Lap ED'!A6,"")</f>
        <v/>
      </c>
      <c r="D15" t="str">
        <f>IF(AND('Lap ED'!G6='Peta Risiko'!$D$4,'Lap ED'!H6='Peta Risiko'!$F$9),'Lap ED'!A6,"")</f>
        <v/>
      </c>
      <c r="E15" t="str">
        <f>IF(AND('Lap ED'!G6='Peta Risiko'!$D$4,'Lap ED'!H6='Peta Risiko'!$G$9),'Lap ED'!A6,"")</f>
        <v/>
      </c>
      <c r="F15" t="str">
        <f>IF(AND('Lap ED'!G6='Peta Risiko'!$D$4,'Lap ED'!H6='Peta Risiko'!$H$9),'Lap ED'!A6,"")</f>
        <v/>
      </c>
      <c r="G15" t="str">
        <f>IF(AND('Lap ED'!G6='Peta Risiko'!$D$4,'Lap ED'!H6='Peta Risiko'!$I$9),'Lap ED'!A6,"")</f>
        <v/>
      </c>
      <c r="H15" t="str">
        <f>IF(AND('Lap ED'!G6='Peta Risiko'!$D$5,'Lap ED'!H6='Peta Risiko'!$E$9),'Lap ED'!A6,"")</f>
        <v/>
      </c>
      <c r="I15" t="str">
        <f>IF(AND('Lap ED'!G6='Peta Risiko'!$D$5,'Lap ED'!H6='Peta Risiko'!$F$9),'Lap ED'!A6,"")</f>
        <v/>
      </c>
      <c r="J15" t="str">
        <f>IF(AND('Lap ED'!G6='Peta Risiko'!$D$5,'Lap ED'!H6='Peta Risiko'!$G$9),'Lap ED'!A6,"")</f>
        <v/>
      </c>
      <c r="K15" t="str">
        <f>IF(AND('Lap ED'!G6='Peta Risiko'!$D$5,'Lap ED'!H6='Peta Risiko'!$H$9),'Lap ED'!A6,"")</f>
        <v/>
      </c>
      <c r="L15" t="str">
        <f>IF(AND('Lap ED'!G6='Peta Risiko'!$D$5,'Lap ED'!H6='Peta Risiko'!$I$9),'Lap ED'!A6,"")</f>
        <v/>
      </c>
      <c r="M15" t="str">
        <f>IF(AND('Lap ED'!G6='Peta Risiko'!$D$6,'Lap ED'!H6='Peta Risiko'!$E$9),'Lap ED'!A6,"")</f>
        <v/>
      </c>
      <c r="N15" t="str">
        <f>IF(AND('Lap ED'!G6='Peta Risiko'!$D$6,'Lap ED'!H6='Peta Risiko'!$F$9),'Lap ED'!A6,"")</f>
        <v/>
      </c>
      <c r="O15" t="str">
        <f>IF(AND('Lap ED'!G6='Peta Risiko'!$D$6,'Lap ED'!H6='Peta Risiko'!$G$9),'Lap ED'!A6,"")</f>
        <v/>
      </c>
      <c r="P15">
        <f>IF(AND('Lap ED'!G6='Peta Risiko'!$D$6,'Lap ED'!H6='Peta Risiko'!$H$9),'Lap ED'!A6,"")</f>
        <v>1</v>
      </c>
      <c r="Q15" t="str">
        <f>IF(AND('Lap ED'!G6='Peta Risiko'!$D$6,'Lap ED'!H6='Peta Risiko'!$I$9),'Lap ED'!A6,"")</f>
        <v/>
      </c>
      <c r="R15" t="str">
        <f>IF(AND('Lap ED'!G6='Peta Risiko'!$D$7,'Lap ED'!H6='Peta Risiko'!$E$9),'Lap ED'!A6,"")</f>
        <v/>
      </c>
      <c r="S15" t="str">
        <f>IF(AND('Lap ED'!G6='Peta Risiko'!$D$7,'Lap ED'!H6='Peta Risiko'!$F$9),'Lap ED'!A6,"")</f>
        <v/>
      </c>
      <c r="T15" t="str">
        <f>IF(AND('Lap ED'!G6='Peta Risiko'!$D$7,'Lap ED'!H6='Peta Risiko'!$G$9),'Lap ED'!A6,"")</f>
        <v/>
      </c>
      <c r="U15" t="str">
        <f>IF(AND('Lap ED'!G6='Peta Risiko'!$D$7,'Lap ED'!H6='Peta Risiko'!$H$9),'Lap ED'!A6,"")</f>
        <v/>
      </c>
      <c r="V15" t="str">
        <f>IF(AND('Lap ED'!G6='Peta Risiko'!$D$7,'Lap ED'!H6='Peta Risiko'!$I$9),'Lap ED'!A6,"")</f>
        <v/>
      </c>
      <c r="W15" t="str">
        <f>IF(AND('Lap ED'!G6='Peta Risiko'!$D$8,'Lap ED'!H6='Peta Risiko'!$E$9),'Lap ED'!A6,"")</f>
        <v/>
      </c>
      <c r="X15" t="str">
        <f>IF(AND('Lap ED'!G6='Peta Risiko'!$D$8,'Lap ED'!H6='Peta Risiko'!$F$9),'Lap ED'!A6,"")</f>
        <v/>
      </c>
      <c r="Y15" t="str">
        <f>IF(AND('Lap ED'!G6='Peta Risiko'!$D$8,'Lap ED'!H6='Peta Risiko'!$G$9),'Lap ED'!A6,"")</f>
        <v/>
      </c>
      <c r="Z15" t="str">
        <f>IF(AND('Lap ED'!G6='Peta Risiko'!$D$8,'Lap ED'!H6='Peta Risiko'!$H$9),'Lap ED'!A6,"")</f>
        <v/>
      </c>
      <c r="AA15" t="str">
        <f>IF(AND('Lap ED'!G6='Peta Risiko'!$D$8,'Lap ED'!H6='Peta Risiko'!$I$9),'Lap ED'!A6,"")</f>
        <v/>
      </c>
    </row>
    <row r="16" spans="1:27" hidden="1" x14ac:dyDescent="0.25">
      <c r="B16">
        <v>2</v>
      </c>
      <c r="C16">
        <f>IF(AND('Lap ED'!G7='Peta Risiko'!$D$4,'Lap ED'!H7='Peta Risiko'!$E$9),'Lap ED'!A7,"")</f>
        <v>2</v>
      </c>
      <c r="D16" t="str">
        <f>IF(AND('Lap ED'!G7='Peta Risiko'!$D$4,'Lap ED'!H7='Peta Risiko'!$F$9),'Lap ED'!A7,"")</f>
        <v/>
      </c>
      <c r="E16" t="str">
        <f>IF(AND('Lap ED'!G7='Peta Risiko'!$D$4,'Lap ED'!H7='Peta Risiko'!$G$9),'Lap ED'!A7,"")</f>
        <v/>
      </c>
      <c r="F16" t="str">
        <f>IF(AND('Lap ED'!G7='Peta Risiko'!$D$4,'Lap ED'!H7='Peta Risiko'!$H$9),'Lap ED'!A7,"")</f>
        <v/>
      </c>
      <c r="G16" t="str">
        <f>IF(AND('Lap ED'!G7='Peta Risiko'!$D$4,'Lap ED'!H7='Peta Risiko'!$I$9),'Lap ED'!A7,"")</f>
        <v/>
      </c>
      <c r="H16" t="str">
        <f>IF(AND('Lap ED'!G7='Peta Risiko'!$D$5,'Lap ED'!H7='Peta Risiko'!$E$9),'Lap ED'!A7,"")</f>
        <v/>
      </c>
      <c r="I16" t="str">
        <f>IF(AND('Lap ED'!G7='Peta Risiko'!$D$5,'Lap ED'!H7='Peta Risiko'!$F$9),'Lap ED'!A7,"")</f>
        <v/>
      </c>
      <c r="J16" t="str">
        <f>IF(AND('Lap ED'!G7='Peta Risiko'!$D$5,'Lap ED'!H7='Peta Risiko'!$G$9),'Lap ED'!A7,"")</f>
        <v/>
      </c>
      <c r="K16" t="str">
        <f>IF(AND('Lap ED'!G7='Peta Risiko'!$D$5,'Lap ED'!H7='Peta Risiko'!$H$9),'Lap ED'!A7,"")</f>
        <v/>
      </c>
      <c r="L16" t="str">
        <f>IF(AND('Lap ED'!G7='Peta Risiko'!$D$5,'Lap ED'!H7='Peta Risiko'!$I$9),'Lap ED'!A7,"")</f>
        <v/>
      </c>
      <c r="M16" t="str">
        <f>IF(AND('Lap ED'!G7='Peta Risiko'!$D$6,'Lap ED'!H7='Peta Risiko'!$E$9),'Lap ED'!A7,"")</f>
        <v/>
      </c>
      <c r="N16" t="str">
        <f>IF(AND('Lap ED'!G7='Peta Risiko'!$D$6,'Lap ED'!H7='Peta Risiko'!$F$9),'Lap ED'!A7,"")</f>
        <v/>
      </c>
      <c r="O16" t="str">
        <f>IF(AND('Lap ED'!G7='Peta Risiko'!$D$6,'Lap ED'!H7='Peta Risiko'!$G$9),'Lap ED'!A7,"")</f>
        <v/>
      </c>
      <c r="P16" t="str">
        <f>IF(AND('Lap ED'!G7='Peta Risiko'!$D$6,'Lap ED'!H7='Peta Risiko'!$H$9),'Lap ED'!A7,"")</f>
        <v/>
      </c>
      <c r="Q16" t="str">
        <f>IF(AND('Lap ED'!G7='Peta Risiko'!$D$6,'Lap ED'!H7='Peta Risiko'!$I$9),'Lap ED'!A7,"")</f>
        <v/>
      </c>
      <c r="R16" t="str">
        <f>IF(AND('Lap ED'!G7='Peta Risiko'!$D$7,'Lap ED'!H7='Peta Risiko'!$E$9),'Lap ED'!A7,"")</f>
        <v/>
      </c>
      <c r="S16" t="str">
        <f>IF(AND('Lap ED'!G7='Peta Risiko'!$D$7,'Lap ED'!H7='Peta Risiko'!$F$9),'Lap ED'!A7,"")</f>
        <v/>
      </c>
      <c r="T16" t="str">
        <f>IF(AND('Lap ED'!G7='Peta Risiko'!$D$7,'Lap ED'!H7='Peta Risiko'!$G$9),'Lap ED'!A7,"")</f>
        <v/>
      </c>
      <c r="U16" t="str">
        <f>IF(AND('Lap ED'!G7='Peta Risiko'!$D$7,'Lap ED'!H7='Peta Risiko'!$H$9),'Lap ED'!A7,"")</f>
        <v/>
      </c>
      <c r="V16" t="str">
        <f>IF(AND('Lap ED'!G7='Peta Risiko'!$D$7,'Lap ED'!H7='Peta Risiko'!$I$9),'Lap ED'!A7,"")</f>
        <v/>
      </c>
      <c r="W16" t="str">
        <f>IF(AND('Lap ED'!G7='Peta Risiko'!$D$8,'Lap ED'!H7='Peta Risiko'!$E$9),'Lap ED'!A7,"")</f>
        <v/>
      </c>
      <c r="X16" t="str">
        <f>IF(AND('Lap ED'!G7='Peta Risiko'!$D$8,'Lap ED'!H7='Peta Risiko'!$F$9),'Lap ED'!A7,"")</f>
        <v/>
      </c>
      <c r="Y16" t="str">
        <f>IF(AND('Lap ED'!G7='Peta Risiko'!$D$8,'Lap ED'!H7='Peta Risiko'!$G$9),'Lap ED'!A7,"")</f>
        <v/>
      </c>
      <c r="Z16" t="str">
        <f>IF(AND('Lap ED'!G7='Peta Risiko'!$D$8,'Lap ED'!H7='Peta Risiko'!$H$9),'Lap ED'!A7,"")</f>
        <v/>
      </c>
      <c r="AA16" t="str">
        <f>IF(AND('Lap ED'!G7='Peta Risiko'!$D$8,'Lap ED'!H7='Peta Risiko'!$I$9),'Lap ED'!A7,"")</f>
        <v/>
      </c>
    </row>
    <row r="17" spans="2:27" hidden="1" x14ac:dyDescent="0.25">
      <c r="B17">
        <v>3</v>
      </c>
      <c r="C17" t="str">
        <f>IF(AND('Lap ED'!G8='Peta Risiko'!$D$4,'Lap ED'!H8='Peta Risiko'!$E$9),'Lap ED'!A8,"")</f>
        <v/>
      </c>
      <c r="D17" t="str">
        <f>IF(AND('Lap ED'!G8='Peta Risiko'!$D$4,'Lap ED'!H8='Peta Risiko'!$F$9),'Lap ED'!A8,"")</f>
        <v/>
      </c>
      <c r="E17" t="str">
        <f>IF(AND('Lap ED'!G8='Peta Risiko'!$D$4,'Lap ED'!H8='Peta Risiko'!$G$9),'Lap ED'!A8,"")</f>
        <v/>
      </c>
      <c r="F17">
        <f>IF(AND('Lap ED'!G8='Peta Risiko'!$D$4,'Lap ED'!H8='Peta Risiko'!$H$9),'Lap ED'!A8,"")</f>
        <v>3</v>
      </c>
      <c r="G17" t="str">
        <f>IF(AND('Lap ED'!G8='Peta Risiko'!$D$4,'Lap ED'!H8='Peta Risiko'!$I$9),'Lap ED'!A8,"")</f>
        <v/>
      </c>
      <c r="H17" t="str">
        <f>IF(AND('Lap ED'!G8='Peta Risiko'!$D$5,'Lap ED'!H8='Peta Risiko'!$E$9),'Lap ED'!A8,"")</f>
        <v/>
      </c>
      <c r="I17" t="str">
        <f>IF(AND('Lap ED'!G8='Peta Risiko'!$D$5,'Lap ED'!H8='Peta Risiko'!$F$9),'Lap ED'!A8,"")</f>
        <v/>
      </c>
      <c r="J17" t="str">
        <f>IF(AND('Lap ED'!G8='Peta Risiko'!$D$5,'Lap ED'!H8='Peta Risiko'!$G$9),'Lap ED'!A8,"")</f>
        <v/>
      </c>
      <c r="K17" t="str">
        <f>IF(AND('Lap ED'!G8='Peta Risiko'!$D$5,'Lap ED'!H8='Peta Risiko'!$H$9),'Lap ED'!A8,"")</f>
        <v/>
      </c>
      <c r="L17" t="str">
        <f>IF(AND('Lap ED'!G8='Peta Risiko'!$D$5,'Lap ED'!H8='Peta Risiko'!$I$9),'Lap ED'!A8,"")</f>
        <v/>
      </c>
      <c r="M17" t="str">
        <f>IF(AND('Lap ED'!G8='Peta Risiko'!$D$6,'Lap ED'!H8='Peta Risiko'!$E$9),'Lap ED'!A8,"")</f>
        <v/>
      </c>
      <c r="N17" t="str">
        <f>IF(AND('Lap ED'!G8='Peta Risiko'!$D$6,'Lap ED'!H8='Peta Risiko'!$F$9),'Lap ED'!A8,"")</f>
        <v/>
      </c>
      <c r="O17" t="str">
        <f>IF(AND('Lap ED'!G8='Peta Risiko'!$D$6,'Lap ED'!H8='Peta Risiko'!$G$9),'Lap ED'!A8,"")</f>
        <v/>
      </c>
      <c r="P17" t="str">
        <f>IF(AND('Lap ED'!G8='Peta Risiko'!$D$6,'Lap ED'!H8='Peta Risiko'!$H$9),'Lap ED'!A8,"")</f>
        <v/>
      </c>
      <c r="Q17" t="str">
        <f>IF(AND('Lap ED'!G8='Peta Risiko'!$D$6,'Lap ED'!H8='Peta Risiko'!$I$9),'Lap ED'!A8,"")</f>
        <v/>
      </c>
      <c r="R17" t="str">
        <f>IF(AND('Lap ED'!G8='Peta Risiko'!$D$7,'Lap ED'!H8='Peta Risiko'!$E$9),'Lap ED'!A8,"")</f>
        <v/>
      </c>
      <c r="S17" t="str">
        <f>IF(AND('Lap ED'!G8='Peta Risiko'!$D$7,'Lap ED'!H8='Peta Risiko'!$F$9),'Lap ED'!A8,"")</f>
        <v/>
      </c>
      <c r="T17" t="str">
        <f>IF(AND('Lap ED'!G8='Peta Risiko'!$D$7,'Lap ED'!H8='Peta Risiko'!$G$9),'Lap ED'!A8,"")</f>
        <v/>
      </c>
      <c r="U17" t="str">
        <f>IF(AND('Lap ED'!G8='Peta Risiko'!$D$7,'Lap ED'!H8='Peta Risiko'!$H$9),'Lap ED'!A8,"")</f>
        <v/>
      </c>
      <c r="V17" t="str">
        <f>IF(AND('Lap ED'!G8='Peta Risiko'!$D$7,'Lap ED'!H8='Peta Risiko'!$I$9),'Lap ED'!A8,"")</f>
        <v/>
      </c>
      <c r="W17" t="str">
        <f>IF(AND('Lap ED'!G8='Peta Risiko'!$D$8,'Lap ED'!H8='Peta Risiko'!$E$9),'Lap ED'!A8,"")</f>
        <v/>
      </c>
      <c r="X17" t="str">
        <f>IF(AND('Lap ED'!G8='Peta Risiko'!$D$8,'Lap ED'!H8='Peta Risiko'!$F$9),'Lap ED'!A8,"")</f>
        <v/>
      </c>
      <c r="Y17" t="str">
        <f>IF(AND('Lap ED'!G8='Peta Risiko'!$D$8,'Lap ED'!H8='Peta Risiko'!$G$9),'Lap ED'!A8,"")</f>
        <v/>
      </c>
      <c r="Z17" t="str">
        <f>IF(AND('Lap ED'!G8='Peta Risiko'!$D$8,'Lap ED'!H8='Peta Risiko'!$H$9),'Lap ED'!A8,"")</f>
        <v/>
      </c>
      <c r="AA17" t="str">
        <f>IF(AND('Lap ED'!G8='Peta Risiko'!$D$8,'Lap ED'!H8='Peta Risiko'!$I$9),'Lap ED'!A8,"")</f>
        <v/>
      </c>
    </row>
    <row r="18" spans="2:27" hidden="1" x14ac:dyDescent="0.25">
      <c r="B18">
        <v>4</v>
      </c>
      <c r="C18">
        <f>IF(AND('Lap ED'!G9='Peta Risiko'!$D$4,'Lap ED'!H9='Peta Risiko'!$E$9),'Lap ED'!A9,"")</f>
        <v>4</v>
      </c>
      <c r="D18" t="str">
        <f>IF(AND('Lap ED'!G9='Peta Risiko'!$D$4,'Lap ED'!H9='Peta Risiko'!$F$9),'Lap ED'!A9,"")</f>
        <v/>
      </c>
      <c r="E18" t="str">
        <f>IF(AND('Lap ED'!G9='Peta Risiko'!$D$4,'Lap ED'!H9='Peta Risiko'!$G$9),'Lap ED'!A9,"")</f>
        <v/>
      </c>
      <c r="F18" t="str">
        <f>IF(AND('Lap ED'!G9='Peta Risiko'!$D$4,'Lap ED'!H9='Peta Risiko'!$H$9),'Lap ED'!A9,"")</f>
        <v/>
      </c>
      <c r="G18" t="str">
        <f>IF(AND('Lap ED'!G9='Peta Risiko'!$D$4,'Lap ED'!H9='Peta Risiko'!$I$9),'Lap ED'!A9,"")</f>
        <v/>
      </c>
      <c r="H18" t="str">
        <f>IF(AND('Lap ED'!G9='Peta Risiko'!$D$5,'Lap ED'!H9='Peta Risiko'!$E$9),'Lap ED'!A9,"")</f>
        <v/>
      </c>
      <c r="I18" t="str">
        <f>IF(AND('Lap ED'!G9='Peta Risiko'!$D$5,'Lap ED'!H9='Peta Risiko'!$F$9),'Lap ED'!A9,"")</f>
        <v/>
      </c>
      <c r="J18" t="str">
        <f>IF(AND('Lap ED'!G9='Peta Risiko'!$D$5,'Lap ED'!H9='Peta Risiko'!$G$9),'Lap ED'!A9,"")</f>
        <v/>
      </c>
      <c r="K18" t="str">
        <f>IF(AND('Lap ED'!G9='Peta Risiko'!$D$5,'Lap ED'!H9='Peta Risiko'!$H$9),'Lap ED'!A9,"")</f>
        <v/>
      </c>
      <c r="L18" t="str">
        <f>IF(AND('Lap ED'!G9='Peta Risiko'!$D$5,'Lap ED'!H9='Peta Risiko'!$I$9),'Lap ED'!A9,"")</f>
        <v/>
      </c>
      <c r="M18" t="str">
        <f>IF(AND('Lap ED'!G9='Peta Risiko'!$D$6,'Lap ED'!H9='Peta Risiko'!$E$9),'Lap ED'!A9,"")</f>
        <v/>
      </c>
      <c r="N18" t="str">
        <f>IF(AND('Lap ED'!G9='Peta Risiko'!$D$6,'Lap ED'!H9='Peta Risiko'!$F$9),'Lap ED'!A9,"")</f>
        <v/>
      </c>
      <c r="O18" t="str">
        <f>IF(AND('Lap ED'!G9='Peta Risiko'!$D$6,'Lap ED'!H9='Peta Risiko'!$G$9),'Lap ED'!A9,"")</f>
        <v/>
      </c>
      <c r="P18" t="str">
        <f>IF(AND('Lap ED'!G9='Peta Risiko'!$D$6,'Lap ED'!H9='Peta Risiko'!$H$9),'Lap ED'!A9,"")</f>
        <v/>
      </c>
      <c r="Q18" t="str">
        <f>IF(AND('Lap ED'!G9='Peta Risiko'!$D$6,'Lap ED'!H9='Peta Risiko'!$I$9),'Lap ED'!A9,"")</f>
        <v/>
      </c>
      <c r="R18" t="str">
        <f>IF(AND('Lap ED'!G9='Peta Risiko'!$D$7,'Lap ED'!H9='Peta Risiko'!$E$9),'Lap ED'!A9,"")</f>
        <v/>
      </c>
      <c r="S18" t="str">
        <f>IF(AND('Lap ED'!G9='Peta Risiko'!$D$7,'Lap ED'!H9='Peta Risiko'!$F$9),'Lap ED'!A9,"")</f>
        <v/>
      </c>
      <c r="T18" t="str">
        <f>IF(AND('Lap ED'!G9='Peta Risiko'!$D$7,'Lap ED'!H9='Peta Risiko'!$G$9),'Lap ED'!A9,"")</f>
        <v/>
      </c>
      <c r="U18" t="str">
        <f>IF(AND('Lap ED'!G9='Peta Risiko'!$D$7,'Lap ED'!H9='Peta Risiko'!$H$9),'Lap ED'!A9,"")</f>
        <v/>
      </c>
      <c r="V18" t="str">
        <f>IF(AND('Lap ED'!G9='Peta Risiko'!$D$7,'Lap ED'!H9='Peta Risiko'!$I$9),'Lap ED'!A9,"")</f>
        <v/>
      </c>
      <c r="W18" t="str">
        <f>IF(AND('Lap ED'!G9='Peta Risiko'!$D$8,'Lap ED'!H9='Peta Risiko'!$E$9),'Lap ED'!A9,"")</f>
        <v/>
      </c>
      <c r="X18" t="str">
        <f>IF(AND('Lap ED'!G9='Peta Risiko'!$D$8,'Lap ED'!H9='Peta Risiko'!$F$9),'Lap ED'!A9,"")</f>
        <v/>
      </c>
      <c r="Y18" t="str">
        <f>IF(AND('Lap ED'!G9='Peta Risiko'!$D$8,'Lap ED'!H9='Peta Risiko'!$G$9),'Lap ED'!A9,"")</f>
        <v/>
      </c>
      <c r="Z18" t="str">
        <f>IF(AND('Lap ED'!G9='Peta Risiko'!$D$8,'Lap ED'!H9='Peta Risiko'!$H$9),'Lap ED'!A9,"")</f>
        <v/>
      </c>
      <c r="AA18" t="str">
        <f>IF(AND('Lap ED'!G9='Peta Risiko'!$D$8,'Lap ED'!H9='Peta Risiko'!$I$9),'Lap ED'!A9,"")</f>
        <v/>
      </c>
    </row>
    <row r="19" spans="2:27" hidden="1" x14ac:dyDescent="0.25">
      <c r="B19">
        <v>5</v>
      </c>
      <c r="C19">
        <f>IF(AND('Lap ED'!G10='Peta Risiko'!$D$4,'Lap ED'!H10='Peta Risiko'!$E$9),'Lap ED'!A10,"")</f>
        <v>5</v>
      </c>
      <c r="D19" t="str">
        <f>IF(AND('Lap ED'!G10='Peta Risiko'!$D$4,'Lap ED'!H10='Peta Risiko'!$F$9),'Lap ED'!A10,"")</f>
        <v/>
      </c>
      <c r="E19" t="str">
        <f>IF(AND('Lap ED'!G10='Peta Risiko'!$D$4,'Lap ED'!H10='Peta Risiko'!$G$9),'Lap ED'!A10,"")</f>
        <v/>
      </c>
      <c r="F19" t="str">
        <f>IF(AND('Lap ED'!G10='Peta Risiko'!$D$4,'Lap ED'!H10='Peta Risiko'!$H$9),'Lap ED'!A10,"")</f>
        <v/>
      </c>
      <c r="G19" t="str">
        <f>IF(AND('Lap ED'!G10='Peta Risiko'!$D$4,'Lap ED'!H10='Peta Risiko'!$I$9),'Lap ED'!A10,"")</f>
        <v/>
      </c>
      <c r="H19" t="str">
        <f>IF(AND('Lap ED'!G10='Peta Risiko'!$D$5,'Lap ED'!H10='Peta Risiko'!$E$9),'Lap ED'!A10,"")</f>
        <v/>
      </c>
      <c r="I19" t="str">
        <f>IF(AND('Lap ED'!G10='Peta Risiko'!$D$5,'Lap ED'!H10='Peta Risiko'!$F$9),'Lap ED'!A10,"")</f>
        <v/>
      </c>
      <c r="J19" t="str">
        <f>IF(AND('Lap ED'!G10='Peta Risiko'!$D$5,'Lap ED'!H10='Peta Risiko'!$G$9),'Lap ED'!A10,"")</f>
        <v/>
      </c>
      <c r="K19" t="str">
        <f>IF(AND('Lap ED'!G10='Peta Risiko'!$D$5,'Lap ED'!H10='Peta Risiko'!$H$9),'Lap ED'!A10,"")</f>
        <v/>
      </c>
      <c r="L19" t="str">
        <f>IF(AND('Lap ED'!G10='Peta Risiko'!$D$5,'Lap ED'!H10='Peta Risiko'!$I$9),'Lap ED'!A10,"")</f>
        <v/>
      </c>
      <c r="M19" t="str">
        <f>IF(AND('Lap ED'!G10='Peta Risiko'!$D$6,'Lap ED'!H10='Peta Risiko'!$E$9),'Lap ED'!A10,"")</f>
        <v/>
      </c>
      <c r="N19" t="str">
        <f>IF(AND('Lap ED'!G10='Peta Risiko'!$D$6,'Lap ED'!H10='Peta Risiko'!$F$9),'Lap ED'!A10,"")</f>
        <v/>
      </c>
      <c r="O19" t="str">
        <f>IF(AND('Lap ED'!G10='Peta Risiko'!$D$6,'Lap ED'!H10='Peta Risiko'!$G$9),'Lap ED'!A10,"")</f>
        <v/>
      </c>
      <c r="P19" t="str">
        <f>IF(AND('Lap ED'!G10='Peta Risiko'!$D$6,'Lap ED'!H10='Peta Risiko'!$H$9),'Lap ED'!A10,"")</f>
        <v/>
      </c>
      <c r="Q19" t="str">
        <f>IF(AND('Lap ED'!G10='Peta Risiko'!$D$6,'Lap ED'!H10='Peta Risiko'!$I$9),'Lap ED'!A10,"")</f>
        <v/>
      </c>
      <c r="R19" t="str">
        <f>IF(AND('Lap ED'!G10='Peta Risiko'!$D$7,'Lap ED'!H10='Peta Risiko'!$E$9),'Lap ED'!A10,"")</f>
        <v/>
      </c>
      <c r="S19" t="str">
        <f>IF(AND('Lap ED'!G10='Peta Risiko'!$D$7,'Lap ED'!H10='Peta Risiko'!$F$9),'Lap ED'!A10,"")</f>
        <v/>
      </c>
      <c r="T19" t="str">
        <f>IF(AND('Lap ED'!G10='Peta Risiko'!$D$7,'Lap ED'!H10='Peta Risiko'!$G$9),'Lap ED'!A10,"")</f>
        <v/>
      </c>
      <c r="U19" t="str">
        <f>IF(AND('Lap ED'!G10='Peta Risiko'!$D$7,'Lap ED'!H10='Peta Risiko'!$H$9),'Lap ED'!A10,"")</f>
        <v/>
      </c>
      <c r="V19" t="str">
        <f>IF(AND('Lap ED'!G10='Peta Risiko'!$D$7,'Lap ED'!H10='Peta Risiko'!$I$9),'Lap ED'!A10,"")</f>
        <v/>
      </c>
      <c r="W19" t="str">
        <f>IF(AND('Lap ED'!G10='Peta Risiko'!$D$8,'Lap ED'!H10='Peta Risiko'!$E$9),'Lap ED'!A10,"")</f>
        <v/>
      </c>
      <c r="X19" t="str">
        <f>IF(AND('Lap ED'!G10='Peta Risiko'!$D$8,'Lap ED'!H10='Peta Risiko'!$F$9),'Lap ED'!A10,"")</f>
        <v/>
      </c>
      <c r="Y19" t="str">
        <f>IF(AND('Lap ED'!G10='Peta Risiko'!$D$8,'Lap ED'!H10='Peta Risiko'!$G$9),'Lap ED'!A10,"")</f>
        <v/>
      </c>
      <c r="Z19" t="str">
        <f>IF(AND('Lap ED'!G10='Peta Risiko'!$D$8,'Lap ED'!H10='Peta Risiko'!$H$9),'Lap ED'!A10,"")</f>
        <v/>
      </c>
      <c r="AA19" t="str">
        <f>IF(AND('Lap ED'!G10='Peta Risiko'!$D$8,'Lap ED'!H10='Peta Risiko'!$I$9),'Lap ED'!A10,"")</f>
        <v/>
      </c>
    </row>
    <row r="20" spans="2:27" hidden="1" x14ac:dyDescent="0.25">
      <c r="B20">
        <v>6</v>
      </c>
      <c r="C20">
        <f>IF(AND('Lap ED'!G11='Peta Risiko'!$D$4,'Lap ED'!H11='Peta Risiko'!$E$9),'Lap ED'!A11,"")</f>
        <v>6</v>
      </c>
      <c r="D20" t="str">
        <f>IF(AND('Lap ED'!G11='Peta Risiko'!$D$4,'Lap ED'!H11='Peta Risiko'!$F$9),'Lap ED'!A11,"")</f>
        <v/>
      </c>
      <c r="E20" t="str">
        <f>IF(AND('Lap ED'!G11='Peta Risiko'!$D$4,'Lap ED'!H11='Peta Risiko'!$G$9),'Lap ED'!A11,"")</f>
        <v/>
      </c>
      <c r="F20" t="str">
        <f>IF(AND('Lap ED'!G11='Peta Risiko'!$D$4,'Lap ED'!H11='Peta Risiko'!$H$9),'Lap ED'!A11,"")</f>
        <v/>
      </c>
      <c r="G20" t="str">
        <f>IF(AND('Lap ED'!G11='Peta Risiko'!$D$4,'Lap ED'!H11='Peta Risiko'!$I$9),'Lap ED'!A11,"")</f>
        <v/>
      </c>
      <c r="H20" t="str">
        <f>IF(AND('Lap ED'!G11='Peta Risiko'!$D$5,'Lap ED'!H11='Peta Risiko'!$E$9),'Lap ED'!A11,"")</f>
        <v/>
      </c>
      <c r="I20" t="str">
        <f>IF(AND('Lap ED'!G11='Peta Risiko'!$D$5,'Lap ED'!H11='Peta Risiko'!$F$9),'Lap ED'!A11,"")</f>
        <v/>
      </c>
      <c r="J20" t="str">
        <f>IF(AND('Lap ED'!G11='Peta Risiko'!$D$5,'Lap ED'!H11='Peta Risiko'!$G$9),'Lap ED'!A11,"")</f>
        <v/>
      </c>
      <c r="K20" t="str">
        <f>IF(AND('Lap ED'!G11='Peta Risiko'!$D$5,'Lap ED'!H11='Peta Risiko'!$H$9),'Lap ED'!A11,"")</f>
        <v/>
      </c>
      <c r="L20" t="str">
        <f>IF(AND('Lap ED'!G11='Peta Risiko'!$D$5,'Lap ED'!H11='Peta Risiko'!$I$9),'Lap ED'!A11,"")</f>
        <v/>
      </c>
      <c r="M20" t="str">
        <f>IF(AND('Lap ED'!G11='Peta Risiko'!$D$6,'Lap ED'!H11='Peta Risiko'!$E$9),'Lap ED'!A11,"")</f>
        <v/>
      </c>
      <c r="N20" t="str">
        <f>IF(AND('Lap ED'!G11='Peta Risiko'!$D$6,'Lap ED'!H11='Peta Risiko'!$F$9),'Lap ED'!A11,"")</f>
        <v/>
      </c>
      <c r="O20" t="str">
        <f>IF(AND('Lap ED'!G11='Peta Risiko'!$D$6,'Lap ED'!H11='Peta Risiko'!$G$9),'Lap ED'!A11,"")</f>
        <v/>
      </c>
      <c r="P20" t="str">
        <f>IF(AND('Lap ED'!G11='Peta Risiko'!$D$6,'Lap ED'!H11='Peta Risiko'!$H$9),'Lap ED'!A11,"")</f>
        <v/>
      </c>
      <c r="Q20" t="str">
        <f>IF(AND('Lap ED'!G11='Peta Risiko'!$D$6,'Lap ED'!H11='Peta Risiko'!$I$9),'Lap ED'!A11,"")</f>
        <v/>
      </c>
      <c r="R20" t="str">
        <f>IF(AND('Lap ED'!G11='Peta Risiko'!$D$7,'Lap ED'!H11='Peta Risiko'!$E$9),'Lap ED'!A11,"")</f>
        <v/>
      </c>
      <c r="S20" t="str">
        <f>IF(AND('Lap ED'!G11='Peta Risiko'!$D$7,'Lap ED'!H11='Peta Risiko'!$F$9),'Lap ED'!A11,"")</f>
        <v/>
      </c>
      <c r="T20" t="str">
        <f>IF(AND('Lap ED'!G11='Peta Risiko'!$D$7,'Lap ED'!H11='Peta Risiko'!$G$9),'Lap ED'!A11,"")</f>
        <v/>
      </c>
      <c r="U20" t="str">
        <f>IF(AND('Lap ED'!G11='Peta Risiko'!$D$7,'Lap ED'!H11='Peta Risiko'!$H$9),'Lap ED'!A11,"")</f>
        <v/>
      </c>
      <c r="V20" t="str">
        <f>IF(AND('Lap ED'!G11='Peta Risiko'!$D$7,'Lap ED'!H11='Peta Risiko'!$I$9),'Lap ED'!A11,"")</f>
        <v/>
      </c>
      <c r="W20" t="str">
        <f>IF(AND('Lap ED'!G11='Peta Risiko'!$D$8,'Lap ED'!H11='Peta Risiko'!$E$9),'Lap ED'!A11,"")</f>
        <v/>
      </c>
      <c r="X20" t="str">
        <f>IF(AND('Lap ED'!G11='Peta Risiko'!$D$8,'Lap ED'!H11='Peta Risiko'!$F$9),'Lap ED'!A11,"")</f>
        <v/>
      </c>
      <c r="Y20" t="str">
        <f>IF(AND('Lap ED'!G11='Peta Risiko'!$D$8,'Lap ED'!H11='Peta Risiko'!$G$9),'Lap ED'!A11,"")</f>
        <v/>
      </c>
      <c r="Z20" t="str">
        <f>IF(AND('Lap ED'!G11='Peta Risiko'!$D$8,'Lap ED'!H11='Peta Risiko'!$H$9),'Lap ED'!A11,"")</f>
        <v/>
      </c>
      <c r="AA20" t="str">
        <f>IF(AND('Lap ED'!G11='Peta Risiko'!$D$8,'Lap ED'!H11='Peta Risiko'!$I$9),'Lap ED'!A11,"")</f>
        <v/>
      </c>
    </row>
    <row r="21" spans="2:27" hidden="1" x14ac:dyDescent="0.25">
      <c r="B21">
        <v>7</v>
      </c>
      <c r="C21">
        <f>IF(AND('Lap ED'!G12='Peta Risiko'!$D$4,'Lap ED'!H12='Peta Risiko'!$E$9),'Lap ED'!A12,"")</f>
        <v>7</v>
      </c>
      <c r="D21" t="str">
        <f>IF(AND('Lap ED'!G12='Peta Risiko'!$D$4,'Lap ED'!H12='Peta Risiko'!$F$9),'Lap ED'!A12,"")</f>
        <v/>
      </c>
      <c r="E21" t="str">
        <f>IF(AND('Lap ED'!G12='Peta Risiko'!$D$4,'Lap ED'!H12='Peta Risiko'!$G$9),'Lap ED'!A12,"")</f>
        <v/>
      </c>
      <c r="F21" t="str">
        <f>IF(AND('Lap ED'!G12='Peta Risiko'!$D$4,'Lap ED'!H12='Peta Risiko'!$H$9),'Lap ED'!A12,"")</f>
        <v/>
      </c>
      <c r="G21" t="str">
        <f>IF(AND('Lap ED'!G12='Peta Risiko'!$D$4,'Lap ED'!H12='Peta Risiko'!$I$9),'Lap ED'!A12,"")</f>
        <v/>
      </c>
      <c r="H21" t="str">
        <f>IF(AND('Lap ED'!G12='Peta Risiko'!$D$5,'Lap ED'!H12='Peta Risiko'!$E$9),'Lap ED'!A12,"")</f>
        <v/>
      </c>
      <c r="I21" t="str">
        <f>IF(AND('Lap ED'!G12='Peta Risiko'!$D$5,'Lap ED'!H12='Peta Risiko'!$F$9),'Lap ED'!A12,"")</f>
        <v/>
      </c>
      <c r="J21" t="str">
        <f>IF(AND('Lap ED'!G12='Peta Risiko'!$D$5,'Lap ED'!H12='Peta Risiko'!$G$9),'Lap ED'!A12,"")</f>
        <v/>
      </c>
      <c r="K21" t="str">
        <f>IF(AND('Lap ED'!G12='Peta Risiko'!$D$5,'Lap ED'!H12='Peta Risiko'!$H$9),'Lap ED'!A12,"")</f>
        <v/>
      </c>
      <c r="L21" t="str">
        <f>IF(AND('Lap ED'!G12='Peta Risiko'!$D$5,'Lap ED'!H12='Peta Risiko'!$I$9),'Lap ED'!A12,"")</f>
        <v/>
      </c>
      <c r="M21" t="str">
        <f>IF(AND('Lap ED'!G12='Peta Risiko'!$D$6,'Lap ED'!H12='Peta Risiko'!$E$9),'Lap ED'!A12,"")</f>
        <v/>
      </c>
      <c r="N21" t="str">
        <f>IF(AND('Lap ED'!G12='Peta Risiko'!$D$6,'Lap ED'!H12='Peta Risiko'!$F$9),'Lap ED'!A12,"")</f>
        <v/>
      </c>
      <c r="O21" t="str">
        <f>IF(AND('Lap ED'!G12='Peta Risiko'!$D$6,'Lap ED'!H12='Peta Risiko'!$G$9),'Lap ED'!A12,"")</f>
        <v/>
      </c>
      <c r="P21" t="str">
        <f>IF(AND('Lap ED'!G12='Peta Risiko'!$D$6,'Lap ED'!H12='Peta Risiko'!$H$9),'Lap ED'!A12,"")</f>
        <v/>
      </c>
      <c r="Q21" t="str">
        <f>IF(AND('Lap ED'!G12='Peta Risiko'!$D$6,'Lap ED'!H12='Peta Risiko'!$I$9),'Lap ED'!A12,"")</f>
        <v/>
      </c>
      <c r="R21" t="str">
        <f>IF(AND('Lap ED'!G12='Peta Risiko'!$D$7,'Lap ED'!H12='Peta Risiko'!$E$9),'Lap ED'!A12,"")</f>
        <v/>
      </c>
      <c r="S21" t="str">
        <f>IF(AND('Lap ED'!G12='Peta Risiko'!$D$7,'Lap ED'!H12='Peta Risiko'!$F$9),'Lap ED'!A12,"")</f>
        <v/>
      </c>
      <c r="T21" t="str">
        <f>IF(AND('Lap ED'!G12='Peta Risiko'!$D$7,'Lap ED'!H12='Peta Risiko'!$G$9),'Lap ED'!A12,"")</f>
        <v/>
      </c>
      <c r="U21" t="str">
        <f>IF(AND('Lap ED'!G12='Peta Risiko'!$D$7,'Lap ED'!H12='Peta Risiko'!$H$9),'Lap ED'!A12,"")</f>
        <v/>
      </c>
      <c r="V21" t="str">
        <f>IF(AND('Lap ED'!G12='Peta Risiko'!$D$7,'Lap ED'!H12='Peta Risiko'!$I$9),'Lap ED'!A12,"")</f>
        <v/>
      </c>
      <c r="W21" t="str">
        <f>IF(AND('Lap ED'!G12='Peta Risiko'!$D$8,'Lap ED'!H12='Peta Risiko'!$E$9),'Lap ED'!A12,"")</f>
        <v/>
      </c>
      <c r="X21" t="str">
        <f>IF(AND('Lap ED'!G12='Peta Risiko'!$D$8,'Lap ED'!H12='Peta Risiko'!$F$9),'Lap ED'!A12,"")</f>
        <v/>
      </c>
      <c r="Y21" t="str">
        <f>IF(AND('Lap ED'!G12='Peta Risiko'!$D$8,'Lap ED'!H12='Peta Risiko'!$G$9),'Lap ED'!A12,"")</f>
        <v/>
      </c>
      <c r="Z21" t="str">
        <f>IF(AND('Lap ED'!G12='Peta Risiko'!$D$8,'Lap ED'!H12='Peta Risiko'!$H$9),'Lap ED'!A12,"")</f>
        <v/>
      </c>
      <c r="AA21" t="str">
        <f>IF(AND('Lap ED'!G12='Peta Risiko'!$D$8,'Lap ED'!H12='Peta Risiko'!$I$9),'Lap ED'!A12,"")</f>
        <v/>
      </c>
    </row>
    <row r="22" spans="2:27" hidden="1" x14ac:dyDescent="0.25">
      <c r="B22">
        <v>8</v>
      </c>
      <c r="C22">
        <f>IF(AND('Lap ED'!G13='Peta Risiko'!$D$4,'Lap ED'!H13='Peta Risiko'!$E$9),'Lap ED'!A13,"")</f>
        <v>8</v>
      </c>
      <c r="D22" t="str">
        <f>IF(AND('Lap ED'!G13='Peta Risiko'!$D$4,'Lap ED'!H13='Peta Risiko'!$F$9),'Lap ED'!A13,"")</f>
        <v/>
      </c>
      <c r="E22" t="str">
        <f>IF(AND('Lap ED'!G13='Peta Risiko'!$D$4,'Lap ED'!H13='Peta Risiko'!$G$9),'Lap ED'!A13,"")</f>
        <v/>
      </c>
      <c r="F22" t="str">
        <f>IF(AND('Lap ED'!G13='Peta Risiko'!$D$4,'Lap ED'!H13='Peta Risiko'!$H$9),'Lap ED'!A13,"")</f>
        <v/>
      </c>
      <c r="G22" t="str">
        <f>IF(AND('Lap ED'!G13='Peta Risiko'!$D$4,'Lap ED'!H13='Peta Risiko'!$I$9),'Lap ED'!A13,"")</f>
        <v/>
      </c>
      <c r="H22" t="str">
        <f>IF(AND('Lap ED'!G13='Peta Risiko'!$D$5,'Lap ED'!H13='Peta Risiko'!$E$9),'Lap ED'!A13,"")</f>
        <v/>
      </c>
      <c r="I22" t="str">
        <f>IF(AND('Lap ED'!G13='Peta Risiko'!$D$5,'Lap ED'!H13='Peta Risiko'!$F$9),'Lap ED'!A13,"")</f>
        <v/>
      </c>
      <c r="J22" t="str">
        <f>IF(AND('Lap ED'!G13='Peta Risiko'!$D$5,'Lap ED'!H13='Peta Risiko'!$G$9),'Lap ED'!A13,"")</f>
        <v/>
      </c>
      <c r="K22" t="str">
        <f>IF(AND('Lap ED'!G13='Peta Risiko'!$D$5,'Lap ED'!H13='Peta Risiko'!$H$9),'Lap ED'!A13,"")</f>
        <v/>
      </c>
      <c r="L22" t="str">
        <f>IF(AND('Lap ED'!G13='Peta Risiko'!$D$5,'Lap ED'!H13='Peta Risiko'!$I$9),'Lap ED'!A13,"")</f>
        <v/>
      </c>
      <c r="M22" t="str">
        <f>IF(AND('Lap ED'!G13='Peta Risiko'!$D$6,'Lap ED'!H13='Peta Risiko'!$E$9),'Lap ED'!A13,"")</f>
        <v/>
      </c>
      <c r="N22" t="str">
        <f>IF(AND('Lap ED'!G13='Peta Risiko'!$D$6,'Lap ED'!H13='Peta Risiko'!$F$9),'Lap ED'!A13,"")</f>
        <v/>
      </c>
      <c r="O22" t="str">
        <f>IF(AND('Lap ED'!G13='Peta Risiko'!$D$6,'Lap ED'!H13='Peta Risiko'!$G$9),'Lap ED'!A13,"")</f>
        <v/>
      </c>
      <c r="P22" t="str">
        <f>IF(AND('Lap ED'!G13='Peta Risiko'!$D$6,'Lap ED'!H13='Peta Risiko'!$H$9),'Lap ED'!A13,"")</f>
        <v/>
      </c>
      <c r="Q22" t="str">
        <f>IF(AND('Lap ED'!G13='Peta Risiko'!$D$6,'Lap ED'!H13='Peta Risiko'!$I$9),'Lap ED'!A13,"")</f>
        <v/>
      </c>
      <c r="R22" t="str">
        <f>IF(AND('Lap ED'!G13='Peta Risiko'!$D$7,'Lap ED'!H13='Peta Risiko'!$E$9),'Lap ED'!A13,"")</f>
        <v/>
      </c>
      <c r="S22" t="str">
        <f>IF(AND('Lap ED'!G13='Peta Risiko'!$D$7,'Lap ED'!H13='Peta Risiko'!$F$9),'Lap ED'!A13,"")</f>
        <v/>
      </c>
      <c r="T22" t="str">
        <f>IF(AND('Lap ED'!G13='Peta Risiko'!$D$7,'Lap ED'!H13='Peta Risiko'!$G$9),'Lap ED'!A13,"")</f>
        <v/>
      </c>
      <c r="U22" t="str">
        <f>IF(AND('Lap ED'!G13='Peta Risiko'!$D$7,'Lap ED'!H13='Peta Risiko'!$H$9),'Lap ED'!A13,"")</f>
        <v/>
      </c>
      <c r="V22" t="str">
        <f>IF(AND('Lap ED'!G13='Peta Risiko'!$D$7,'Lap ED'!H13='Peta Risiko'!$I$9),'Lap ED'!A13,"")</f>
        <v/>
      </c>
      <c r="W22" t="str">
        <f>IF(AND('Lap ED'!G13='Peta Risiko'!$D$8,'Lap ED'!H13='Peta Risiko'!$E$9),'Lap ED'!A13,"")</f>
        <v/>
      </c>
      <c r="X22" t="str">
        <f>IF(AND('Lap ED'!G13='Peta Risiko'!$D$8,'Lap ED'!H13='Peta Risiko'!$F$9),'Lap ED'!A13,"")</f>
        <v/>
      </c>
      <c r="Y22" t="str">
        <f>IF(AND('Lap ED'!G13='Peta Risiko'!$D$8,'Lap ED'!H13='Peta Risiko'!$G$9),'Lap ED'!A13,"")</f>
        <v/>
      </c>
      <c r="Z22" t="str">
        <f>IF(AND('Lap ED'!G13='Peta Risiko'!$D$8,'Lap ED'!H13='Peta Risiko'!$H$9),'Lap ED'!A13,"")</f>
        <v/>
      </c>
      <c r="AA22" t="str">
        <f>IF(AND('Lap ED'!G13='Peta Risiko'!$D$8,'Lap ED'!H13='Peta Risiko'!$I$9),'Lap ED'!A13,"")</f>
        <v/>
      </c>
    </row>
    <row r="23" spans="2:27" hidden="1" x14ac:dyDescent="0.25">
      <c r="B23">
        <v>9</v>
      </c>
      <c r="C23">
        <f>IF(AND('Lap ED'!G14='Peta Risiko'!$D$4,'Lap ED'!H14='Peta Risiko'!$E$9),'Lap ED'!A14,"")</f>
        <v>9</v>
      </c>
      <c r="D23" t="str">
        <f>IF(AND('Lap ED'!G14='Peta Risiko'!$D$4,'Lap ED'!H14='Peta Risiko'!$F$9),'Lap ED'!A14,"")</f>
        <v/>
      </c>
      <c r="E23" t="str">
        <f>IF(AND('Lap ED'!G14='Peta Risiko'!$D$4,'Lap ED'!H14='Peta Risiko'!$G$9),'Lap ED'!A14,"")</f>
        <v/>
      </c>
      <c r="F23" t="str">
        <f>IF(AND('Lap ED'!G14='Peta Risiko'!$D$4,'Lap ED'!H14='Peta Risiko'!$H$9),'Lap ED'!A14,"")</f>
        <v/>
      </c>
      <c r="G23" t="str">
        <f>IF(AND('Lap ED'!G14='Peta Risiko'!$D$4,'Lap ED'!H14='Peta Risiko'!$I$9),'Lap ED'!A14,"")</f>
        <v/>
      </c>
      <c r="H23" t="str">
        <f>IF(AND('Lap ED'!G14='Peta Risiko'!$D$5,'Lap ED'!H14='Peta Risiko'!$E$9),'Lap ED'!A14,"")</f>
        <v/>
      </c>
      <c r="I23" t="str">
        <f>IF(AND('Lap ED'!G14='Peta Risiko'!$D$5,'Lap ED'!H14='Peta Risiko'!$F$9),'Lap ED'!A14,"")</f>
        <v/>
      </c>
      <c r="J23" t="str">
        <f>IF(AND('Lap ED'!G14='Peta Risiko'!$D$5,'Lap ED'!H14='Peta Risiko'!$G$9),'Lap ED'!A14,"")</f>
        <v/>
      </c>
      <c r="K23" t="str">
        <f>IF(AND('Lap ED'!G14='Peta Risiko'!$D$5,'Lap ED'!H14='Peta Risiko'!$H$9),'Lap ED'!A14,"")</f>
        <v/>
      </c>
      <c r="L23" t="str">
        <f>IF(AND('Lap ED'!G14='Peta Risiko'!$D$5,'Lap ED'!H14='Peta Risiko'!$I$9),'Lap ED'!A14,"")</f>
        <v/>
      </c>
      <c r="M23" t="str">
        <f>IF(AND('Lap ED'!G14='Peta Risiko'!$D$6,'Lap ED'!H14='Peta Risiko'!$E$9),'Lap ED'!A14,"")</f>
        <v/>
      </c>
      <c r="N23" t="str">
        <f>IF(AND('Lap ED'!G14='Peta Risiko'!$D$6,'Lap ED'!H14='Peta Risiko'!$F$9),'Lap ED'!A14,"")</f>
        <v/>
      </c>
      <c r="O23" t="str">
        <f>IF(AND('Lap ED'!G14='Peta Risiko'!$D$6,'Lap ED'!H14='Peta Risiko'!$G$9),'Lap ED'!A14,"")</f>
        <v/>
      </c>
      <c r="P23" t="str">
        <f>IF(AND('Lap ED'!G14='Peta Risiko'!$D$6,'Lap ED'!H14='Peta Risiko'!$H$9),'Lap ED'!A14,"")</f>
        <v/>
      </c>
      <c r="Q23" t="str">
        <f>IF(AND('Lap ED'!G14='Peta Risiko'!$D$6,'Lap ED'!H14='Peta Risiko'!$I$9),'Lap ED'!A14,"")</f>
        <v/>
      </c>
      <c r="R23" t="str">
        <f>IF(AND('Lap ED'!G14='Peta Risiko'!$D$7,'Lap ED'!H14='Peta Risiko'!$E$9),'Lap ED'!A14,"")</f>
        <v/>
      </c>
      <c r="S23" t="str">
        <f>IF(AND('Lap ED'!G14='Peta Risiko'!$D$7,'Lap ED'!H14='Peta Risiko'!$F$9),'Lap ED'!A14,"")</f>
        <v/>
      </c>
      <c r="T23" t="str">
        <f>IF(AND('Lap ED'!G14='Peta Risiko'!$D$7,'Lap ED'!H14='Peta Risiko'!$G$9),'Lap ED'!A14,"")</f>
        <v/>
      </c>
      <c r="U23" t="str">
        <f>IF(AND('Lap ED'!G14='Peta Risiko'!$D$7,'Lap ED'!H14='Peta Risiko'!$H$9),'Lap ED'!A14,"")</f>
        <v/>
      </c>
      <c r="V23" t="str">
        <f>IF(AND('Lap ED'!G14='Peta Risiko'!$D$7,'Lap ED'!H14='Peta Risiko'!$I$9),'Lap ED'!A14,"")</f>
        <v/>
      </c>
      <c r="W23" t="str">
        <f>IF(AND('Lap ED'!G14='Peta Risiko'!$D$8,'Lap ED'!H14='Peta Risiko'!$E$9),'Lap ED'!A14,"")</f>
        <v/>
      </c>
      <c r="X23" t="str">
        <f>IF(AND('Lap ED'!G14='Peta Risiko'!$D$8,'Lap ED'!H14='Peta Risiko'!$F$9),'Lap ED'!A14,"")</f>
        <v/>
      </c>
      <c r="Y23" t="str">
        <f>IF(AND('Lap ED'!G14='Peta Risiko'!$D$8,'Lap ED'!H14='Peta Risiko'!$G$9),'Lap ED'!A14,"")</f>
        <v/>
      </c>
      <c r="Z23" t="str">
        <f>IF(AND('Lap ED'!G14='Peta Risiko'!$D$8,'Lap ED'!H14='Peta Risiko'!$H$9),'Lap ED'!A14,"")</f>
        <v/>
      </c>
      <c r="AA23" t="str">
        <f>IF(AND('Lap ED'!G14='Peta Risiko'!$D$8,'Lap ED'!H14='Peta Risiko'!$I$9),'Lap ED'!A14,"")</f>
        <v/>
      </c>
    </row>
    <row r="24" spans="2:27" hidden="1" x14ac:dyDescent="0.25">
      <c r="B24">
        <v>10</v>
      </c>
      <c r="C24">
        <f>IF(AND('Lap ED'!G15='Peta Risiko'!$D$4,'Lap ED'!H15='Peta Risiko'!$E$9),'Lap ED'!A15,"")</f>
        <v>10</v>
      </c>
      <c r="D24" t="str">
        <f>IF(AND('Lap ED'!G15='Peta Risiko'!$D$4,'Lap ED'!H15='Peta Risiko'!$F$9),'Lap ED'!A15,"")</f>
        <v/>
      </c>
      <c r="E24" t="str">
        <f>IF(AND('Lap ED'!G15='Peta Risiko'!$D$4,'Lap ED'!H15='Peta Risiko'!$G$9),'Lap ED'!A15,"")</f>
        <v/>
      </c>
      <c r="F24" t="str">
        <f>IF(AND('Lap ED'!G15='Peta Risiko'!$D$4,'Lap ED'!H15='Peta Risiko'!$H$9),'Lap ED'!A15,"")</f>
        <v/>
      </c>
      <c r="G24" t="str">
        <f>IF(AND('Lap ED'!G15='Peta Risiko'!$D$4,'Lap ED'!H15='Peta Risiko'!$I$9),'Lap ED'!A15,"")</f>
        <v/>
      </c>
      <c r="H24" t="str">
        <f>IF(AND('Lap ED'!G15='Peta Risiko'!$D$5,'Lap ED'!H15='Peta Risiko'!$E$9),'Lap ED'!A15,"")</f>
        <v/>
      </c>
      <c r="I24" t="str">
        <f>IF(AND('Lap ED'!G15='Peta Risiko'!$D$5,'Lap ED'!H15='Peta Risiko'!$F$9),'Lap ED'!A15,"")</f>
        <v/>
      </c>
      <c r="J24" t="str">
        <f>IF(AND('Lap ED'!G15='Peta Risiko'!$D$5,'Lap ED'!H15='Peta Risiko'!$G$9),'Lap ED'!A15,"")</f>
        <v/>
      </c>
      <c r="K24" t="str">
        <f>IF(AND('Lap ED'!G15='Peta Risiko'!$D$5,'Lap ED'!H15='Peta Risiko'!$H$9),'Lap ED'!A15,"")</f>
        <v/>
      </c>
      <c r="L24" t="str">
        <f>IF(AND('Lap ED'!G15='Peta Risiko'!$D$5,'Lap ED'!H15='Peta Risiko'!$I$9),'Lap ED'!A15,"")</f>
        <v/>
      </c>
      <c r="M24" t="str">
        <f>IF(AND('Lap ED'!G15='Peta Risiko'!$D$6,'Lap ED'!H15='Peta Risiko'!$E$9),'Lap ED'!A15,"")</f>
        <v/>
      </c>
      <c r="N24" t="str">
        <f>IF(AND('Lap ED'!G15='Peta Risiko'!$D$6,'Lap ED'!H15='Peta Risiko'!$F$9),'Lap ED'!A15,"")</f>
        <v/>
      </c>
      <c r="O24" t="str">
        <f>IF(AND('Lap ED'!G15='Peta Risiko'!$D$6,'Lap ED'!H15='Peta Risiko'!$G$9),'Lap ED'!A15,"")</f>
        <v/>
      </c>
      <c r="P24" t="str">
        <f>IF(AND('Lap ED'!G15='Peta Risiko'!$D$6,'Lap ED'!H15='Peta Risiko'!$H$9),'Lap ED'!A15,"")</f>
        <v/>
      </c>
      <c r="Q24" t="str">
        <f>IF(AND('Lap ED'!G15='Peta Risiko'!$D$6,'Lap ED'!H15='Peta Risiko'!$I$9),'Lap ED'!A15,"")</f>
        <v/>
      </c>
      <c r="R24" t="str">
        <f>IF(AND('Lap ED'!G15='Peta Risiko'!$D$7,'Lap ED'!H15='Peta Risiko'!$E$9),'Lap ED'!A15,"")</f>
        <v/>
      </c>
      <c r="S24" t="str">
        <f>IF(AND('Lap ED'!G15='Peta Risiko'!$D$7,'Lap ED'!H15='Peta Risiko'!$F$9),'Lap ED'!A15,"")</f>
        <v/>
      </c>
      <c r="T24" t="str">
        <f>IF(AND('Lap ED'!G15='Peta Risiko'!$D$7,'Lap ED'!H15='Peta Risiko'!$G$9),'Lap ED'!A15,"")</f>
        <v/>
      </c>
      <c r="U24" t="str">
        <f>IF(AND('Lap ED'!G15='Peta Risiko'!$D$7,'Lap ED'!H15='Peta Risiko'!$H$9),'Lap ED'!A15,"")</f>
        <v/>
      </c>
      <c r="V24" t="str">
        <f>IF(AND('Lap ED'!G15='Peta Risiko'!$D$7,'Lap ED'!H15='Peta Risiko'!$I$9),'Lap ED'!A15,"")</f>
        <v/>
      </c>
      <c r="W24" t="str">
        <f>IF(AND('Lap ED'!G15='Peta Risiko'!$D$8,'Lap ED'!H15='Peta Risiko'!$E$9),'Lap ED'!A15,"")</f>
        <v/>
      </c>
      <c r="X24" t="str">
        <f>IF(AND('Lap ED'!G15='Peta Risiko'!$D$8,'Lap ED'!H15='Peta Risiko'!$F$9),'Lap ED'!A15,"")</f>
        <v/>
      </c>
      <c r="Y24" t="str">
        <f>IF(AND('Lap ED'!G15='Peta Risiko'!$D$8,'Lap ED'!H15='Peta Risiko'!$G$9),'Lap ED'!A15,"")</f>
        <v/>
      </c>
      <c r="Z24" t="str">
        <f>IF(AND('Lap ED'!G15='Peta Risiko'!$D$8,'Lap ED'!H15='Peta Risiko'!$H$9),'Lap ED'!A15,"")</f>
        <v/>
      </c>
      <c r="AA24" t="str">
        <f>IF(AND('Lap ED'!G15='Peta Risiko'!$D$8,'Lap ED'!H15='Peta Risiko'!$I$9),'Lap ED'!A15,"")</f>
        <v/>
      </c>
    </row>
    <row r="25" spans="2:27" hidden="1" x14ac:dyDescent="0.25">
      <c r="B25">
        <v>11</v>
      </c>
      <c r="C25">
        <f>IF(AND('Lap ED'!G16='Peta Risiko'!$D$4,'Lap ED'!H16='Peta Risiko'!$E$9),'Lap ED'!A16,"")</f>
        <v>11</v>
      </c>
      <c r="D25" t="str">
        <f>IF(AND('Lap ED'!G16='Peta Risiko'!$D$4,'Lap ED'!H16='Peta Risiko'!$F$9),'Lap ED'!A16,"")</f>
        <v/>
      </c>
      <c r="E25" t="str">
        <f>IF(AND('Lap ED'!G16='Peta Risiko'!$D$4,'Lap ED'!H16='Peta Risiko'!$G$9),'Lap ED'!A16,"")</f>
        <v/>
      </c>
      <c r="F25" t="str">
        <f>IF(AND('Lap ED'!G16='Peta Risiko'!$D$4,'Lap ED'!H16='Peta Risiko'!$H$9),'Lap ED'!A16,"")</f>
        <v/>
      </c>
      <c r="G25" t="str">
        <f>IF(AND('Lap ED'!G16='Peta Risiko'!$D$4,'Lap ED'!H16='Peta Risiko'!$I$9),'Lap ED'!A16,"")</f>
        <v/>
      </c>
      <c r="H25" t="str">
        <f>IF(AND('Lap ED'!G16='Peta Risiko'!$D$5,'Lap ED'!H16='Peta Risiko'!$E$9),'Lap ED'!A16,"")</f>
        <v/>
      </c>
      <c r="I25" t="str">
        <f>IF(AND('Lap ED'!G16='Peta Risiko'!$D$5,'Lap ED'!H16='Peta Risiko'!$F$9),'Lap ED'!A16,"")</f>
        <v/>
      </c>
      <c r="J25" t="str">
        <f>IF(AND('Lap ED'!G16='Peta Risiko'!$D$5,'Lap ED'!H16='Peta Risiko'!$G$9),'Lap ED'!A16,"")</f>
        <v/>
      </c>
      <c r="K25" t="str">
        <f>IF(AND('Lap ED'!G16='Peta Risiko'!$D$5,'Lap ED'!H16='Peta Risiko'!$H$9),'Lap ED'!A16,"")</f>
        <v/>
      </c>
      <c r="L25" t="str">
        <f>IF(AND('Lap ED'!G16='Peta Risiko'!$D$5,'Lap ED'!H16='Peta Risiko'!$I$9),'Lap ED'!A16,"")</f>
        <v/>
      </c>
      <c r="M25" t="str">
        <f>IF(AND('Lap ED'!G16='Peta Risiko'!$D$6,'Lap ED'!H16='Peta Risiko'!$E$9),'Lap ED'!A16,"")</f>
        <v/>
      </c>
      <c r="N25" t="str">
        <f>IF(AND('Lap ED'!G16='Peta Risiko'!$D$6,'Lap ED'!H16='Peta Risiko'!$F$9),'Lap ED'!A16,"")</f>
        <v/>
      </c>
      <c r="O25" t="str">
        <f>IF(AND('Lap ED'!G16='Peta Risiko'!$D$6,'Lap ED'!H16='Peta Risiko'!$G$9),'Lap ED'!A16,"")</f>
        <v/>
      </c>
      <c r="P25" t="str">
        <f>IF(AND('Lap ED'!G16='Peta Risiko'!$D$6,'Lap ED'!H16='Peta Risiko'!$H$9),'Lap ED'!A16,"")</f>
        <v/>
      </c>
      <c r="Q25" t="str">
        <f>IF(AND('Lap ED'!G16='Peta Risiko'!$D$6,'Lap ED'!H16='Peta Risiko'!$I$9),'Lap ED'!A16,"")</f>
        <v/>
      </c>
      <c r="R25" t="str">
        <f>IF(AND('Lap ED'!G16='Peta Risiko'!$D$7,'Lap ED'!H16='Peta Risiko'!$E$9),'Lap ED'!A16,"")</f>
        <v/>
      </c>
      <c r="S25" t="str">
        <f>IF(AND('Lap ED'!G16='Peta Risiko'!$D$7,'Lap ED'!H16='Peta Risiko'!$F$9),'Lap ED'!A16,"")</f>
        <v/>
      </c>
      <c r="T25" t="str">
        <f>IF(AND('Lap ED'!G16='Peta Risiko'!$D$7,'Lap ED'!H16='Peta Risiko'!$G$9),'Lap ED'!A16,"")</f>
        <v/>
      </c>
      <c r="U25" t="str">
        <f>IF(AND('Lap ED'!G16='Peta Risiko'!$D$7,'Lap ED'!H16='Peta Risiko'!$H$9),'Lap ED'!A16,"")</f>
        <v/>
      </c>
      <c r="V25" t="str">
        <f>IF(AND('Lap ED'!G16='Peta Risiko'!$D$7,'Lap ED'!H16='Peta Risiko'!$I$9),'Lap ED'!A16,"")</f>
        <v/>
      </c>
      <c r="W25" t="str">
        <f>IF(AND('Lap ED'!G16='Peta Risiko'!$D$8,'Lap ED'!H16='Peta Risiko'!$E$9),'Lap ED'!A16,"")</f>
        <v/>
      </c>
      <c r="X25" t="str">
        <f>IF(AND('Lap ED'!G16='Peta Risiko'!$D$8,'Lap ED'!H16='Peta Risiko'!$F$9),'Lap ED'!A16,"")</f>
        <v/>
      </c>
      <c r="Y25" t="str">
        <f>IF(AND('Lap ED'!G16='Peta Risiko'!$D$8,'Lap ED'!H16='Peta Risiko'!$G$9),'Lap ED'!A16,"")</f>
        <v/>
      </c>
      <c r="Z25" t="str">
        <f>IF(AND('Lap ED'!G16='Peta Risiko'!$D$8,'Lap ED'!H16='Peta Risiko'!$H$9),'Lap ED'!A16,"")</f>
        <v/>
      </c>
      <c r="AA25" t="str">
        <f>IF(AND('Lap ED'!G16='Peta Risiko'!$D$8,'Lap ED'!H16='Peta Risiko'!$I$9),'Lap ED'!A16,"")</f>
        <v/>
      </c>
    </row>
    <row r="26" spans="2:27" hidden="1" x14ac:dyDescent="0.25">
      <c r="B26">
        <v>12</v>
      </c>
      <c r="C26">
        <f>IF(AND('Lap ED'!G17='Peta Risiko'!$D$4,'Lap ED'!H17='Peta Risiko'!$E$9),'Lap ED'!A17,"")</f>
        <v>12</v>
      </c>
      <c r="D26" t="str">
        <f>IF(AND('Lap ED'!G17='Peta Risiko'!$D$4,'Lap ED'!H17='Peta Risiko'!$F$9),'Lap ED'!A17,"")</f>
        <v/>
      </c>
      <c r="E26" t="str">
        <f>IF(AND('Lap ED'!G17='Peta Risiko'!$D$4,'Lap ED'!H17='Peta Risiko'!$G$9),'Lap ED'!A17,"")</f>
        <v/>
      </c>
      <c r="F26" t="str">
        <f>IF(AND('Lap ED'!G17='Peta Risiko'!$D$4,'Lap ED'!H17='Peta Risiko'!$H$9),'Lap ED'!A17,"")</f>
        <v/>
      </c>
      <c r="G26" t="str">
        <f>IF(AND('Lap ED'!G17='Peta Risiko'!$D$4,'Lap ED'!H17='Peta Risiko'!$I$9),'Lap ED'!A17,"")</f>
        <v/>
      </c>
      <c r="H26" t="str">
        <f>IF(AND('Lap ED'!G17='Peta Risiko'!$D$5,'Lap ED'!H17='Peta Risiko'!$E$9),'Lap ED'!A17,"")</f>
        <v/>
      </c>
      <c r="I26" t="str">
        <f>IF(AND('Lap ED'!G17='Peta Risiko'!$D$5,'Lap ED'!H17='Peta Risiko'!$F$9),'Lap ED'!A17,"")</f>
        <v/>
      </c>
      <c r="J26" t="str">
        <f>IF(AND('Lap ED'!G17='Peta Risiko'!$D$5,'Lap ED'!H17='Peta Risiko'!$G$9),'Lap ED'!A17,"")</f>
        <v/>
      </c>
      <c r="K26" t="str">
        <f>IF(AND('Lap ED'!G17='Peta Risiko'!$D$5,'Lap ED'!H17='Peta Risiko'!$H$9),'Lap ED'!A17,"")</f>
        <v/>
      </c>
      <c r="L26" t="str">
        <f>IF(AND('Lap ED'!G17='Peta Risiko'!$D$5,'Lap ED'!H17='Peta Risiko'!$I$9),'Lap ED'!A17,"")</f>
        <v/>
      </c>
      <c r="M26" t="str">
        <f>IF(AND('Lap ED'!G17='Peta Risiko'!$D$6,'Lap ED'!H17='Peta Risiko'!$E$9),'Lap ED'!A17,"")</f>
        <v/>
      </c>
      <c r="N26" t="str">
        <f>IF(AND('Lap ED'!G17='Peta Risiko'!$D$6,'Lap ED'!H17='Peta Risiko'!$F$9),'Lap ED'!A17,"")</f>
        <v/>
      </c>
      <c r="O26" t="str">
        <f>IF(AND('Lap ED'!G17='Peta Risiko'!$D$6,'Lap ED'!H17='Peta Risiko'!$G$9),'Lap ED'!A17,"")</f>
        <v/>
      </c>
      <c r="P26" t="str">
        <f>IF(AND('Lap ED'!G17='Peta Risiko'!$D$6,'Lap ED'!H17='Peta Risiko'!$H$9),'Lap ED'!A17,"")</f>
        <v/>
      </c>
      <c r="Q26" t="str">
        <f>IF(AND('Lap ED'!G17='Peta Risiko'!$D$6,'Lap ED'!H17='Peta Risiko'!$I$9),'Lap ED'!A17,"")</f>
        <v/>
      </c>
      <c r="R26" t="str">
        <f>IF(AND('Lap ED'!G17='Peta Risiko'!$D$7,'Lap ED'!H17='Peta Risiko'!$E$9),'Lap ED'!A17,"")</f>
        <v/>
      </c>
      <c r="S26" t="str">
        <f>IF(AND('Lap ED'!G17='Peta Risiko'!$D$7,'Lap ED'!H17='Peta Risiko'!$F$9),'Lap ED'!A17,"")</f>
        <v/>
      </c>
      <c r="T26" t="str">
        <f>IF(AND('Lap ED'!G17='Peta Risiko'!$D$7,'Lap ED'!H17='Peta Risiko'!$G$9),'Lap ED'!A17,"")</f>
        <v/>
      </c>
      <c r="U26" t="str">
        <f>IF(AND('Lap ED'!G17='Peta Risiko'!$D$7,'Lap ED'!H17='Peta Risiko'!$H$9),'Lap ED'!A17,"")</f>
        <v/>
      </c>
      <c r="V26" t="str">
        <f>IF(AND('Lap ED'!G17='Peta Risiko'!$D$7,'Lap ED'!H17='Peta Risiko'!$I$9),'Lap ED'!A17,"")</f>
        <v/>
      </c>
      <c r="W26" t="str">
        <f>IF(AND('Lap ED'!G17='Peta Risiko'!$D$8,'Lap ED'!H17='Peta Risiko'!$E$9),'Lap ED'!A17,"")</f>
        <v/>
      </c>
      <c r="X26" t="str">
        <f>IF(AND('Lap ED'!G17='Peta Risiko'!$D$8,'Lap ED'!H17='Peta Risiko'!$F$9),'Lap ED'!A17,"")</f>
        <v/>
      </c>
      <c r="Y26" t="str">
        <f>IF(AND('Lap ED'!G17='Peta Risiko'!$D$8,'Lap ED'!H17='Peta Risiko'!$G$9),'Lap ED'!A17,"")</f>
        <v/>
      </c>
      <c r="Z26" t="str">
        <f>IF(AND('Lap ED'!G17='Peta Risiko'!$D$8,'Lap ED'!H17='Peta Risiko'!$H$9),'Lap ED'!A17,"")</f>
        <v/>
      </c>
      <c r="AA26" t="str">
        <f>IF(AND('Lap ED'!G17='Peta Risiko'!$D$8,'Lap ED'!H17='Peta Risiko'!$I$9),'Lap ED'!A17,"")</f>
        <v/>
      </c>
    </row>
    <row r="27" spans="2:27" hidden="1" x14ac:dyDescent="0.25">
      <c r="B27">
        <v>13</v>
      </c>
      <c r="C27">
        <f>IF(AND('Lap ED'!G18='Peta Risiko'!$D$4,'Lap ED'!H18='Peta Risiko'!$E$9),'Lap ED'!A18,"")</f>
        <v>13</v>
      </c>
      <c r="D27" t="str">
        <f>IF(AND('Lap ED'!G18='Peta Risiko'!$D$4,'Lap ED'!H18='Peta Risiko'!$F$9),'Lap ED'!A18,"")</f>
        <v/>
      </c>
      <c r="E27" t="str">
        <f>IF(AND('Lap ED'!G18='Peta Risiko'!$D$4,'Lap ED'!H18='Peta Risiko'!$G$9),'Lap ED'!A18,"")</f>
        <v/>
      </c>
      <c r="F27" t="str">
        <f>IF(AND('Lap ED'!G18='Peta Risiko'!$D$4,'Lap ED'!H18='Peta Risiko'!$H$9),'Lap ED'!A18,"")</f>
        <v/>
      </c>
      <c r="G27" t="str">
        <f>IF(AND('Lap ED'!G18='Peta Risiko'!$D$4,'Lap ED'!H18='Peta Risiko'!$I$9),'Lap ED'!A18,"")</f>
        <v/>
      </c>
      <c r="H27" t="str">
        <f>IF(AND('Lap ED'!G18='Peta Risiko'!$D$5,'Lap ED'!H18='Peta Risiko'!$E$9),'Lap ED'!A18,"")</f>
        <v/>
      </c>
      <c r="I27" t="str">
        <f>IF(AND('Lap ED'!G18='Peta Risiko'!$D$5,'Lap ED'!H18='Peta Risiko'!$F$9),'Lap ED'!A18,"")</f>
        <v/>
      </c>
      <c r="J27" t="str">
        <f>IF(AND('Lap ED'!G18='Peta Risiko'!$D$5,'Lap ED'!H18='Peta Risiko'!$G$9),'Lap ED'!A18,"")</f>
        <v/>
      </c>
      <c r="K27" t="str">
        <f>IF(AND('Lap ED'!G18='Peta Risiko'!$D$5,'Lap ED'!H18='Peta Risiko'!$H$9),'Lap ED'!A18,"")</f>
        <v/>
      </c>
      <c r="L27" t="str">
        <f>IF(AND('Lap ED'!G18='Peta Risiko'!$D$5,'Lap ED'!H18='Peta Risiko'!$I$9),'Lap ED'!A18,"")</f>
        <v/>
      </c>
      <c r="M27" t="str">
        <f>IF(AND('Lap ED'!G18='Peta Risiko'!$D$6,'Lap ED'!H18='Peta Risiko'!$E$9),'Lap ED'!A18,"")</f>
        <v/>
      </c>
      <c r="N27" t="str">
        <f>IF(AND('Lap ED'!G18='Peta Risiko'!$D$6,'Lap ED'!H18='Peta Risiko'!$F$9),'Lap ED'!A18,"")</f>
        <v/>
      </c>
      <c r="O27" t="str">
        <f>IF(AND('Lap ED'!G18='Peta Risiko'!$D$6,'Lap ED'!H18='Peta Risiko'!$G$9),'Lap ED'!A18,"")</f>
        <v/>
      </c>
      <c r="P27" t="str">
        <f>IF(AND('Lap ED'!G18='Peta Risiko'!$D$6,'Lap ED'!H18='Peta Risiko'!$H$9),'Lap ED'!A18,"")</f>
        <v/>
      </c>
      <c r="Q27" t="str">
        <f>IF(AND('Lap ED'!G18='Peta Risiko'!$D$6,'Lap ED'!H18='Peta Risiko'!$I$9),'Lap ED'!A18,"")</f>
        <v/>
      </c>
      <c r="R27" t="str">
        <f>IF(AND('Lap ED'!G18='Peta Risiko'!$D$7,'Lap ED'!H18='Peta Risiko'!$E$9),'Lap ED'!A18,"")</f>
        <v/>
      </c>
      <c r="S27" t="str">
        <f>IF(AND('Lap ED'!G18='Peta Risiko'!$D$7,'Lap ED'!H18='Peta Risiko'!$F$9),'Lap ED'!A18,"")</f>
        <v/>
      </c>
      <c r="T27" t="str">
        <f>IF(AND('Lap ED'!G18='Peta Risiko'!$D$7,'Lap ED'!H18='Peta Risiko'!$G$9),'Lap ED'!A18,"")</f>
        <v/>
      </c>
      <c r="U27" t="str">
        <f>IF(AND('Lap ED'!G18='Peta Risiko'!$D$7,'Lap ED'!H18='Peta Risiko'!$H$9),'Lap ED'!A18,"")</f>
        <v/>
      </c>
      <c r="V27" t="str">
        <f>IF(AND('Lap ED'!G18='Peta Risiko'!$D$7,'Lap ED'!H18='Peta Risiko'!$I$9),'Lap ED'!A18,"")</f>
        <v/>
      </c>
      <c r="W27" t="str">
        <f>IF(AND('Lap ED'!G18='Peta Risiko'!$D$8,'Lap ED'!H18='Peta Risiko'!$E$9),'Lap ED'!A18,"")</f>
        <v/>
      </c>
      <c r="X27" t="str">
        <f>IF(AND('Lap ED'!G18='Peta Risiko'!$D$8,'Lap ED'!H18='Peta Risiko'!$F$9),'Lap ED'!A18,"")</f>
        <v/>
      </c>
      <c r="Y27" t="str">
        <f>IF(AND('Lap ED'!G18='Peta Risiko'!$D$8,'Lap ED'!H18='Peta Risiko'!$G$9),'Lap ED'!A18,"")</f>
        <v/>
      </c>
      <c r="Z27" t="str">
        <f>IF(AND('Lap ED'!G18='Peta Risiko'!$D$8,'Lap ED'!H18='Peta Risiko'!$H$9),'Lap ED'!A18,"")</f>
        <v/>
      </c>
      <c r="AA27" t="str">
        <f>IF(AND('Lap ED'!G18='Peta Risiko'!$D$8,'Lap ED'!H18='Peta Risiko'!$I$9),'Lap ED'!A18,"")</f>
        <v/>
      </c>
    </row>
    <row r="28" spans="2:27" hidden="1" x14ac:dyDescent="0.25">
      <c r="B28">
        <v>14</v>
      </c>
      <c r="C28">
        <f>IF(AND('Lap ED'!G19='Peta Risiko'!$D$4,'Lap ED'!H19='Peta Risiko'!$E$9),'Lap ED'!A19,"")</f>
        <v>14</v>
      </c>
      <c r="D28" t="str">
        <f>IF(AND('Lap ED'!G19='Peta Risiko'!$D$4,'Lap ED'!H19='Peta Risiko'!$F$9),'Lap ED'!A19,"")</f>
        <v/>
      </c>
      <c r="E28" t="str">
        <f>IF(AND('Lap ED'!G19='Peta Risiko'!$D$4,'Lap ED'!H19='Peta Risiko'!$G$9),'Lap ED'!A19,"")</f>
        <v/>
      </c>
      <c r="F28" t="str">
        <f>IF(AND('Lap ED'!G19='Peta Risiko'!$D$4,'Lap ED'!H19='Peta Risiko'!$H$9),'Lap ED'!A19,"")</f>
        <v/>
      </c>
      <c r="G28" t="str">
        <f>IF(AND('Lap ED'!G19='Peta Risiko'!$D$4,'Lap ED'!H19='Peta Risiko'!$I$9),'Lap ED'!A19,"")</f>
        <v/>
      </c>
      <c r="H28" t="str">
        <f>IF(AND('Lap ED'!G19='Peta Risiko'!$D$5,'Lap ED'!H19='Peta Risiko'!$E$9),'Lap ED'!A19,"")</f>
        <v/>
      </c>
      <c r="I28" t="str">
        <f>IF(AND('Lap ED'!G19='Peta Risiko'!$D$5,'Lap ED'!H19='Peta Risiko'!$F$9),'Lap ED'!A19,"")</f>
        <v/>
      </c>
      <c r="J28" t="str">
        <f>IF(AND('Lap ED'!G19='Peta Risiko'!$D$5,'Lap ED'!H19='Peta Risiko'!$G$9),'Lap ED'!A19,"")</f>
        <v/>
      </c>
      <c r="K28" t="str">
        <f>IF(AND('Lap ED'!G19='Peta Risiko'!$D$5,'Lap ED'!H19='Peta Risiko'!$H$9),'Lap ED'!A19,"")</f>
        <v/>
      </c>
      <c r="L28" t="str">
        <f>IF(AND('Lap ED'!G19='Peta Risiko'!$D$5,'Lap ED'!H19='Peta Risiko'!$I$9),'Lap ED'!A19,"")</f>
        <v/>
      </c>
      <c r="M28" t="str">
        <f>IF(AND('Lap ED'!G19='Peta Risiko'!$D$6,'Lap ED'!H19='Peta Risiko'!$E$9),'Lap ED'!A19,"")</f>
        <v/>
      </c>
      <c r="N28" t="str">
        <f>IF(AND('Lap ED'!G19='Peta Risiko'!$D$6,'Lap ED'!H19='Peta Risiko'!$F$9),'Lap ED'!A19,"")</f>
        <v/>
      </c>
      <c r="O28" t="str">
        <f>IF(AND('Lap ED'!G19='Peta Risiko'!$D$6,'Lap ED'!H19='Peta Risiko'!$G$9),'Lap ED'!A19,"")</f>
        <v/>
      </c>
      <c r="P28" t="str">
        <f>IF(AND('Lap ED'!G19='Peta Risiko'!$D$6,'Lap ED'!H19='Peta Risiko'!$H$9),'Lap ED'!A19,"")</f>
        <v/>
      </c>
      <c r="Q28" t="str">
        <f>IF(AND('Lap ED'!G19='Peta Risiko'!$D$6,'Lap ED'!H19='Peta Risiko'!$I$9),'Lap ED'!A19,"")</f>
        <v/>
      </c>
      <c r="R28" t="str">
        <f>IF(AND('Lap ED'!G19='Peta Risiko'!$D$7,'Lap ED'!H19='Peta Risiko'!$E$9),'Lap ED'!A19,"")</f>
        <v/>
      </c>
      <c r="S28" t="str">
        <f>IF(AND('Lap ED'!G19='Peta Risiko'!$D$7,'Lap ED'!H19='Peta Risiko'!$F$9),'Lap ED'!A19,"")</f>
        <v/>
      </c>
      <c r="T28" t="str">
        <f>IF(AND('Lap ED'!G19='Peta Risiko'!$D$7,'Lap ED'!H19='Peta Risiko'!$G$9),'Lap ED'!A19,"")</f>
        <v/>
      </c>
      <c r="U28" t="str">
        <f>IF(AND('Lap ED'!G19='Peta Risiko'!$D$7,'Lap ED'!H19='Peta Risiko'!$H$9),'Lap ED'!A19,"")</f>
        <v/>
      </c>
      <c r="V28" t="str">
        <f>IF(AND('Lap ED'!G19='Peta Risiko'!$D$7,'Lap ED'!H19='Peta Risiko'!$I$9),'Lap ED'!A19,"")</f>
        <v/>
      </c>
      <c r="W28" t="str">
        <f>IF(AND('Lap ED'!G19='Peta Risiko'!$D$8,'Lap ED'!H19='Peta Risiko'!$E$9),'Lap ED'!A19,"")</f>
        <v/>
      </c>
      <c r="X28" t="str">
        <f>IF(AND('Lap ED'!G19='Peta Risiko'!$D$8,'Lap ED'!H19='Peta Risiko'!$F$9),'Lap ED'!A19,"")</f>
        <v/>
      </c>
      <c r="Y28" t="str">
        <f>IF(AND('Lap ED'!G19='Peta Risiko'!$D$8,'Lap ED'!H19='Peta Risiko'!$G$9),'Lap ED'!A19,"")</f>
        <v/>
      </c>
      <c r="Z28" t="str">
        <f>IF(AND('Lap ED'!G19='Peta Risiko'!$D$8,'Lap ED'!H19='Peta Risiko'!$H$9),'Lap ED'!A19,"")</f>
        <v/>
      </c>
      <c r="AA28" t="str">
        <f>IF(AND('Lap ED'!G19='Peta Risiko'!$D$8,'Lap ED'!H19='Peta Risiko'!$I$9),'Lap ED'!A19,"")</f>
        <v/>
      </c>
    </row>
    <row r="29" spans="2:27" hidden="1" x14ac:dyDescent="0.25">
      <c r="B29">
        <v>15</v>
      </c>
      <c r="C29">
        <f>IF(AND('Lap ED'!G20='Peta Risiko'!$D$4,'Lap ED'!H20='Peta Risiko'!$E$9),'Lap ED'!A20,"")</f>
        <v>15</v>
      </c>
      <c r="D29" t="str">
        <f>IF(AND('Lap ED'!G20='Peta Risiko'!$D$4,'Lap ED'!H20='Peta Risiko'!$F$9),'Lap ED'!A20,"")</f>
        <v/>
      </c>
      <c r="E29" t="str">
        <f>IF(AND('Lap ED'!G20='Peta Risiko'!$D$4,'Lap ED'!H20='Peta Risiko'!$G$9),'Lap ED'!A20,"")</f>
        <v/>
      </c>
      <c r="F29" t="str">
        <f>IF(AND('Lap ED'!G20='Peta Risiko'!$D$4,'Lap ED'!H20='Peta Risiko'!$H$9),'Lap ED'!A20,"")</f>
        <v/>
      </c>
      <c r="G29" t="str">
        <f>IF(AND('Lap ED'!G20='Peta Risiko'!$D$4,'Lap ED'!H20='Peta Risiko'!$I$9),'Lap ED'!A20,"")</f>
        <v/>
      </c>
      <c r="H29" t="str">
        <f>IF(AND('Lap ED'!G20='Peta Risiko'!$D$5,'Lap ED'!H20='Peta Risiko'!$E$9),'Lap ED'!A20,"")</f>
        <v/>
      </c>
      <c r="I29" t="str">
        <f>IF(AND('Lap ED'!G20='Peta Risiko'!$D$5,'Lap ED'!H20='Peta Risiko'!$F$9),'Lap ED'!A20,"")</f>
        <v/>
      </c>
      <c r="J29" t="str">
        <f>IF(AND('Lap ED'!G20='Peta Risiko'!$D$5,'Lap ED'!H20='Peta Risiko'!$G$9),'Lap ED'!A20,"")</f>
        <v/>
      </c>
      <c r="K29" t="str">
        <f>IF(AND('Lap ED'!G20='Peta Risiko'!$D$5,'Lap ED'!H20='Peta Risiko'!$H$9),'Lap ED'!A20,"")</f>
        <v/>
      </c>
      <c r="L29" t="str">
        <f>IF(AND('Lap ED'!G20='Peta Risiko'!$D$5,'Lap ED'!H20='Peta Risiko'!$I$9),'Lap ED'!A20,"")</f>
        <v/>
      </c>
      <c r="M29" t="str">
        <f>IF(AND('Lap ED'!G20='Peta Risiko'!$D$6,'Lap ED'!H20='Peta Risiko'!$E$9),'Lap ED'!A20,"")</f>
        <v/>
      </c>
      <c r="N29" t="str">
        <f>IF(AND('Lap ED'!G20='Peta Risiko'!$D$6,'Lap ED'!H20='Peta Risiko'!$F$9),'Lap ED'!A20,"")</f>
        <v/>
      </c>
      <c r="O29" t="str">
        <f>IF(AND('Lap ED'!G20='Peta Risiko'!$D$6,'Lap ED'!H20='Peta Risiko'!$G$9),'Lap ED'!A20,"")</f>
        <v/>
      </c>
      <c r="P29" t="str">
        <f>IF(AND('Lap ED'!G20='Peta Risiko'!$D$6,'Lap ED'!H20='Peta Risiko'!$H$9),'Lap ED'!A20,"")</f>
        <v/>
      </c>
      <c r="Q29" t="str">
        <f>IF(AND('Lap ED'!G20='Peta Risiko'!$D$6,'Lap ED'!H20='Peta Risiko'!$I$9),'Lap ED'!A20,"")</f>
        <v/>
      </c>
      <c r="R29" t="str">
        <f>IF(AND('Lap ED'!G20='Peta Risiko'!$D$7,'Lap ED'!H20='Peta Risiko'!$E$9),'Lap ED'!A20,"")</f>
        <v/>
      </c>
      <c r="S29" t="str">
        <f>IF(AND('Lap ED'!G20='Peta Risiko'!$D$7,'Lap ED'!H20='Peta Risiko'!$F$9),'Lap ED'!A20,"")</f>
        <v/>
      </c>
      <c r="T29" t="str">
        <f>IF(AND('Lap ED'!G20='Peta Risiko'!$D$7,'Lap ED'!H20='Peta Risiko'!$G$9),'Lap ED'!A20,"")</f>
        <v/>
      </c>
      <c r="U29" t="str">
        <f>IF(AND('Lap ED'!G20='Peta Risiko'!$D$7,'Lap ED'!H20='Peta Risiko'!$H$9),'Lap ED'!A20,"")</f>
        <v/>
      </c>
      <c r="V29" t="str">
        <f>IF(AND('Lap ED'!G20='Peta Risiko'!$D$7,'Lap ED'!H20='Peta Risiko'!$I$9),'Lap ED'!A20,"")</f>
        <v/>
      </c>
      <c r="W29" t="str">
        <f>IF(AND('Lap ED'!G20='Peta Risiko'!$D$8,'Lap ED'!H20='Peta Risiko'!$E$9),'Lap ED'!A20,"")</f>
        <v/>
      </c>
      <c r="X29" t="str">
        <f>IF(AND('Lap ED'!G20='Peta Risiko'!$D$8,'Lap ED'!H20='Peta Risiko'!$F$9),'Lap ED'!A20,"")</f>
        <v/>
      </c>
      <c r="Y29" t="str">
        <f>IF(AND('Lap ED'!G20='Peta Risiko'!$D$8,'Lap ED'!H20='Peta Risiko'!$G$9),'Lap ED'!A20,"")</f>
        <v/>
      </c>
      <c r="Z29" t="str">
        <f>IF(AND('Lap ED'!G20='Peta Risiko'!$D$8,'Lap ED'!H20='Peta Risiko'!$H$9),'Lap ED'!A20,"")</f>
        <v/>
      </c>
      <c r="AA29" t="str">
        <f>IF(AND('Lap ED'!G20='Peta Risiko'!$D$8,'Lap ED'!H20='Peta Risiko'!$I$9),'Lap ED'!A20,"")</f>
        <v/>
      </c>
    </row>
    <row r="30" spans="2:27" hidden="1" x14ac:dyDescent="0.25">
      <c r="B30">
        <v>16</v>
      </c>
      <c r="C30">
        <f>IF(AND('Lap ED'!G21='Peta Risiko'!$D$4,'Lap ED'!H21='Peta Risiko'!$E$9),'Lap ED'!A21,"")</f>
        <v>16</v>
      </c>
      <c r="D30" t="str">
        <f>IF(AND('Lap ED'!G21='Peta Risiko'!$D$4,'Lap ED'!H21='Peta Risiko'!$F$9),'Lap ED'!A21,"")</f>
        <v/>
      </c>
      <c r="E30" t="str">
        <f>IF(AND('Lap ED'!G21='Peta Risiko'!$D$4,'Lap ED'!H21='Peta Risiko'!$G$9),'Lap ED'!A21,"")</f>
        <v/>
      </c>
      <c r="F30" t="str">
        <f>IF(AND('Lap ED'!G21='Peta Risiko'!$D$4,'Lap ED'!H21='Peta Risiko'!$H$9),'Lap ED'!A21,"")</f>
        <v/>
      </c>
      <c r="G30" t="str">
        <f>IF(AND('Lap ED'!G21='Peta Risiko'!$D$4,'Lap ED'!H21='Peta Risiko'!$I$9),'Lap ED'!A21,"")</f>
        <v/>
      </c>
      <c r="H30" t="str">
        <f>IF(AND('Lap ED'!G21='Peta Risiko'!$D$5,'Lap ED'!H21='Peta Risiko'!$E$9),'Lap ED'!A21,"")</f>
        <v/>
      </c>
      <c r="I30" t="str">
        <f>IF(AND('Lap ED'!G21='Peta Risiko'!$D$5,'Lap ED'!H21='Peta Risiko'!$F$9),'Lap ED'!A21,"")</f>
        <v/>
      </c>
      <c r="J30" t="str">
        <f>IF(AND('Lap ED'!G21='Peta Risiko'!$D$5,'Lap ED'!H21='Peta Risiko'!$G$9),'Lap ED'!A21,"")</f>
        <v/>
      </c>
      <c r="K30" t="str">
        <f>IF(AND('Lap ED'!G21='Peta Risiko'!$D$5,'Lap ED'!H21='Peta Risiko'!$H$9),'Lap ED'!A21,"")</f>
        <v/>
      </c>
      <c r="L30" t="str">
        <f>IF(AND('Lap ED'!G21='Peta Risiko'!$D$5,'Lap ED'!H21='Peta Risiko'!$I$9),'Lap ED'!A21,"")</f>
        <v/>
      </c>
      <c r="M30" t="str">
        <f>IF(AND('Lap ED'!G21='Peta Risiko'!$D$6,'Lap ED'!H21='Peta Risiko'!$E$9),'Lap ED'!A21,"")</f>
        <v/>
      </c>
      <c r="N30" t="str">
        <f>IF(AND('Lap ED'!G21='Peta Risiko'!$D$6,'Lap ED'!H21='Peta Risiko'!$F$9),'Lap ED'!A21,"")</f>
        <v/>
      </c>
      <c r="O30" t="str">
        <f>IF(AND('Lap ED'!G21='Peta Risiko'!$D$6,'Lap ED'!H21='Peta Risiko'!$G$9),'Lap ED'!A21,"")</f>
        <v/>
      </c>
      <c r="P30" t="str">
        <f>IF(AND('Lap ED'!G21='Peta Risiko'!$D$6,'Lap ED'!H21='Peta Risiko'!$H$9),'Lap ED'!A21,"")</f>
        <v/>
      </c>
      <c r="Q30" t="str">
        <f>IF(AND('Lap ED'!G21='Peta Risiko'!$D$6,'Lap ED'!H21='Peta Risiko'!$I$9),'Lap ED'!A21,"")</f>
        <v/>
      </c>
      <c r="R30" t="str">
        <f>IF(AND('Lap ED'!G21='Peta Risiko'!$D$7,'Lap ED'!H21='Peta Risiko'!$E$9),'Lap ED'!A21,"")</f>
        <v/>
      </c>
      <c r="S30" t="str">
        <f>IF(AND('Lap ED'!G21='Peta Risiko'!$D$7,'Lap ED'!H21='Peta Risiko'!$F$9),'Lap ED'!A21,"")</f>
        <v/>
      </c>
      <c r="T30" t="str">
        <f>IF(AND('Lap ED'!G21='Peta Risiko'!$D$7,'Lap ED'!H21='Peta Risiko'!$G$9),'Lap ED'!A21,"")</f>
        <v/>
      </c>
      <c r="U30" t="str">
        <f>IF(AND('Lap ED'!G21='Peta Risiko'!$D$7,'Lap ED'!H21='Peta Risiko'!$H$9),'Lap ED'!A21,"")</f>
        <v/>
      </c>
      <c r="V30" t="str">
        <f>IF(AND('Lap ED'!G21='Peta Risiko'!$D$7,'Lap ED'!H21='Peta Risiko'!$I$9),'Lap ED'!A21,"")</f>
        <v/>
      </c>
      <c r="W30" t="str">
        <f>IF(AND('Lap ED'!G21='Peta Risiko'!$D$8,'Lap ED'!H21='Peta Risiko'!$E$9),'Lap ED'!A21,"")</f>
        <v/>
      </c>
      <c r="X30" t="str">
        <f>IF(AND('Lap ED'!G21='Peta Risiko'!$D$8,'Lap ED'!H21='Peta Risiko'!$F$9),'Lap ED'!A21,"")</f>
        <v/>
      </c>
      <c r="Y30" t="str">
        <f>IF(AND('Lap ED'!G21='Peta Risiko'!$D$8,'Lap ED'!H21='Peta Risiko'!$G$9),'Lap ED'!A21,"")</f>
        <v/>
      </c>
      <c r="Z30" t="str">
        <f>IF(AND('Lap ED'!G21='Peta Risiko'!$D$8,'Lap ED'!H21='Peta Risiko'!$H$9),'Lap ED'!A21,"")</f>
        <v/>
      </c>
      <c r="AA30" t="str">
        <f>IF(AND('Lap ED'!G21='Peta Risiko'!$D$8,'Lap ED'!H21='Peta Risiko'!$I$9),'Lap ED'!A21,"")</f>
        <v/>
      </c>
    </row>
    <row r="31" spans="2:27" hidden="1" x14ac:dyDescent="0.25">
      <c r="B31">
        <v>17</v>
      </c>
      <c r="C31" t="str">
        <f>IF(AND('Lap ED'!G22='Peta Risiko'!$D$4,'Lap ED'!H22='Peta Risiko'!$E$9),'Lap ED'!A22,"")</f>
        <v/>
      </c>
      <c r="D31" t="str">
        <f>IF(AND('Lap ED'!G22='Peta Risiko'!$D$4,'Lap ED'!H22='Peta Risiko'!$F$9),'Lap ED'!A22,"")</f>
        <v/>
      </c>
      <c r="E31" t="str">
        <f>IF(AND('Lap ED'!G22='Peta Risiko'!$D$4,'Lap ED'!H22='Peta Risiko'!$G$9),'Lap ED'!A22,"")</f>
        <v/>
      </c>
      <c r="F31" t="str">
        <f>IF(AND('Lap ED'!G22='Peta Risiko'!$D$4,'Lap ED'!H22='Peta Risiko'!$H$9),'Lap ED'!A22,"")</f>
        <v/>
      </c>
      <c r="G31" t="str">
        <f>IF(AND('Lap ED'!G22='Peta Risiko'!$D$4,'Lap ED'!H22='Peta Risiko'!$I$9),'Lap ED'!A22,"")</f>
        <v/>
      </c>
      <c r="H31" t="str">
        <f>IF(AND('Lap ED'!G22='Peta Risiko'!$D$5,'Lap ED'!H22='Peta Risiko'!$E$9),'Lap ED'!A22,"")</f>
        <v/>
      </c>
      <c r="I31" t="str">
        <f>IF(AND('Lap ED'!G22='Peta Risiko'!$D$5,'Lap ED'!H22='Peta Risiko'!$F$9),'Lap ED'!A22,"")</f>
        <v/>
      </c>
      <c r="J31" t="str">
        <f>IF(AND('Lap ED'!G22='Peta Risiko'!$D$5,'Lap ED'!H22='Peta Risiko'!$G$9),'Lap ED'!A22,"")</f>
        <v/>
      </c>
      <c r="K31" t="str">
        <f>IF(AND('Lap ED'!G22='Peta Risiko'!$D$5,'Lap ED'!H22='Peta Risiko'!$H$9),'Lap ED'!A22,"")</f>
        <v/>
      </c>
      <c r="L31" t="str">
        <f>IF(AND('Lap ED'!G22='Peta Risiko'!$D$5,'Lap ED'!H22='Peta Risiko'!$I$9),'Lap ED'!A22,"")</f>
        <v/>
      </c>
      <c r="M31" t="str">
        <f>IF(AND('Lap ED'!G22='Peta Risiko'!$D$6,'Lap ED'!H22='Peta Risiko'!$E$9),'Lap ED'!A22,"")</f>
        <v/>
      </c>
      <c r="N31" t="str">
        <f>IF(AND('Lap ED'!G22='Peta Risiko'!$D$6,'Lap ED'!H22='Peta Risiko'!$F$9),'Lap ED'!A22,"")</f>
        <v/>
      </c>
      <c r="O31">
        <f>IF(AND('Lap ED'!G22='Peta Risiko'!$D$6,'Lap ED'!H22='Peta Risiko'!$G$9),'Lap ED'!A22,"")</f>
        <v>17</v>
      </c>
      <c r="P31" t="str">
        <f>IF(AND('Lap ED'!G22='Peta Risiko'!$D$6,'Lap ED'!H22='Peta Risiko'!$H$9),'Lap ED'!A22,"")</f>
        <v/>
      </c>
      <c r="Q31" t="str">
        <f>IF(AND('Lap ED'!G22='Peta Risiko'!$D$6,'Lap ED'!H22='Peta Risiko'!$I$9),'Lap ED'!A22,"")</f>
        <v/>
      </c>
      <c r="R31" t="str">
        <f>IF(AND('Lap ED'!G22='Peta Risiko'!$D$7,'Lap ED'!H22='Peta Risiko'!$E$9),'Lap ED'!A22,"")</f>
        <v/>
      </c>
      <c r="S31" t="str">
        <f>IF(AND('Lap ED'!G22='Peta Risiko'!$D$7,'Lap ED'!H22='Peta Risiko'!$F$9),'Lap ED'!A22,"")</f>
        <v/>
      </c>
      <c r="T31" t="str">
        <f>IF(AND('Lap ED'!G22='Peta Risiko'!$D$7,'Lap ED'!H22='Peta Risiko'!$G$9),'Lap ED'!A22,"")</f>
        <v/>
      </c>
      <c r="U31" t="str">
        <f>IF(AND('Lap ED'!G22='Peta Risiko'!$D$7,'Lap ED'!H22='Peta Risiko'!$H$9),'Lap ED'!A22,"")</f>
        <v/>
      </c>
      <c r="V31" t="str">
        <f>IF(AND('Lap ED'!G22='Peta Risiko'!$D$7,'Lap ED'!H22='Peta Risiko'!$I$9),'Lap ED'!A22,"")</f>
        <v/>
      </c>
      <c r="W31" t="str">
        <f>IF(AND('Lap ED'!G22='Peta Risiko'!$D$8,'Lap ED'!H22='Peta Risiko'!$E$9),'Lap ED'!A22,"")</f>
        <v/>
      </c>
      <c r="X31" t="str">
        <f>IF(AND('Lap ED'!G22='Peta Risiko'!$D$8,'Lap ED'!H22='Peta Risiko'!$F$9),'Lap ED'!A22,"")</f>
        <v/>
      </c>
      <c r="Y31" t="str">
        <f>IF(AND('Lap ED'!G22='Peta Risiko'!$D$8,'Lap ED'!H22='Peta Risiko'!$G$9),'Lap ED'!A22,"")</f>
        <v/>
      </c>
      <c r="Z31" t="str">
        <f>IF(AND('Lap ED'!G22='Peta Risiko'!$D$8,'Lap ED'!H22='Peta Risiko'!$H$9),'Lap ED'!A22,"")</f>
        <v/>
      </c>
      <c r="AA31" t="str">
        <f>IF(AND('Lap ED'!G22='Peta Risiko'!$D$8,'Lap ED'!H22='Peta Risiko'!$I$9),'Lap ED'!A22,"")</f>
        <v/>
      </c>
    </row>
    <row r="32" spans="2:27" hidden="1" x14ac:dyDescent="0.25">
      <c r="B32">
        <v>18</v>
      </c>
      <c r="C32" t="str">
        <f>IF(AND('Lap ED'!G23='Peta Risiko'!$D$4,'Lap ED'!H23='Peta Risiko'!$E$9),'Lap ED'!A23,"")</f>
        <v/>
      </c>
      <c r="D32" t="str">
        <f>IF(AND('Lap ED'!G23='Peta Risiko'!$D$4,'Lap ED'!H23='Peta Risiko'!$F$9),'Lap ED'!A23,"")</f>
        <v/>
      </c>
      <c r="E32" t="str">
        <f>IF(AND('Lap ED'!G23='Peta Risiko'!$D$4,'Lap ED'!H23='Peta Risiko'!$G$9),'Lap ED'!A23,"")</f>
        <v/>
      </c>
      <c r="F32" t="str">
        <f>IF(AND('Lap ED'!G23='Peta Risiko'!$D$4,'Lap ED'!H23='Peta Risiko'!$H$9),'Lap ED'!A23,"")</f>
        <v/>
      </c>
      <c r="G32" t="str">
        <f>IF(AND('Lap ED'!G23='Peta Risiko'!$D$4,'Lap ED'!H23='Peta Risiko'!$I$9),'Lap ED'!A23,"")</f>
        <v/>
      </c>
      <c r="H32" t="str">
        <f>IF(AND('Lap ED'!G23='Peta Risiko'!$D$5,'Lap ED'!H23='Peta Risiko'!$E$9),'Lap ED'!A23,"")</f>
        <v/>
      </c>
      <c r="I32" t="str">
        <f>IF(AND('Lap ED'!G23='Peta Risiko'!$D$5,'Lap ED'!H23='Peta Risiko'!$F$9),'Lap ED'!A23,"")</f>
        <v/>
      </c>
      <c r="J32" t="str">
        <f>IF(AND('Lap ED'!G23='Peta Risiko'!$D$5,'Lap ED'!H23='Peta Risiko'!$G$9),'Lap ED'!A23,"")</f>
        <v/>
      </c>
      <c r="K32" t="str">
        <f>IF(AND('Lap ED'!G23='Peta Risiko'!$D$5,'Lap ED'!H23='Peta Risiko'!$H$9),'Lap ED'!A23,"")</f>
        <v/>
      </c>
      <c r="L32" t="str">
        <f>IF(AND('Lap ED'!G23='Peta Risiko'!$D$5,'Lap ED'!H23='Peta Risiko'!$I$9),'Lap ED'!A23,"")</f>
        <v/>
      </c>
      <c r="M32" t="str">
        <f>IF(AND('Lap ED'!G23='Peta Risiko'!$D$6,'Lap ED'!H23='Peta Risiko'!$E$9),'Lap ED'!A23,"")</f>
        <v/>
      </c>
      <c r="N32" t="str">
        <f>IF(AND('Lap ED'!G23='Peta Risiko'!$D$6,'Lap ED'!H23='Peta Risiko'!$F$9),'Lap ED'!A23,"")</f>
        <v/>
      </c>
      <c r="O32" t="str">
        <f>IF(AND('Lap ED'!G23='Peta Risiko'!$D$6,'Lap ED'!H23='Peta Risiko'!$G$9),'Lap ED'!A23,"")</f>
        <v/>
      </c>
      <c r="P32" t="str">
        <f>IF(AND('Lap ED'!G23='Peta Risiko'!$D$6,'Lap ED'!H23='Peta Risiko'!$H$9),'Lap ED'!A23,"")</f>
        <v/>
      </c>
      <c r="Q32" t="str">
        <f>IF(AND('Lap ED'!G23='Peta Risiko'!$D$6,'Lap ED'!H23='Peta Risiko'!$I$9),'Lap ED'!A23,"")</f>
        <v/>
      </c>
      <c r="R32" t="str">
        <f>IF(AND('Lap ED'!G23='Peta Risiko'!$D$7,'Lap ED'!H23='Peta Risiko'!$E$9),'Lap ED'!A23,"")</f>
        <v/>
      </c>
      <c r="S32" t="str">
        <f>IF(AND('Lap ED'!G23='Peta Risiko'!$D$7,'Lap ED'!H23='Peta Risiko'!$F$9),'Lap ED'!A23,"")</f>
        <v/>
      </c>
      <c r="T32" t="str">
        <f>IF(AND('Lap ED'!G23='Peta Risiko'!$D$7,'Lap ED'!H23='Peta Risiko'!$G$9),'Lap ED'!A23,"")</f>
        <v/>
      </c>
      <c r="U32" t="str">
        <f>IF(AND('Lap ED'!G23='Peta Risiko'!$D$7,'Lap ED'!H23='Peta Risiko'!$H$9),'Lap ED'!A23,"")</f>
        <v/>
      </c>
      <c r="V32" t="str">
        <f>IF(AND('Lap ED'!G23='Peta Risiko'!$D$7,'Lap ED'!H23='Peta Risiko'!$I$9),'Lap ED'!A23,"")</f>
        <v/>
      </c>
      <c r="W32">
        <f>IF(AND('Lap ED'!G23='Peta Risiko'!$D$8,'Lap ED'!H23='Peta Risiko'!$E$9),'Lap ED'!A23,"")</f>
        <v>18</v>
      </c>
      <c r="X32" t="str">
        <f>IF(AND('Lap ED'!G23='Peta Risiko'!$D$8,'Lap ED'!H23='Peta Risiko'!$F$9),'Lap ED'!A23,"")</f>
        <v/>
      </c>
      <c r="Y32" t="str">
        <f>IF(AND('Lap ED'!G23='Peta Risiko'!$D$8,'Lap ED'!H23='Peta Risiko'!$G$9),'Lap ED'!A23,"")</f>
        <v/>
      </c>
      <c r="Z32" t="str">
        <f>IF(AND('Lap ED'!G23='Peta Risiko'!$D$8,'Lap ED'!H23='Peta Risiko'!$H$9),'Lap ED'!A23,"")</f>
        <v/>
      </c>
      <c r="AA32" t="str">
        <f>IF(AND('Lap ED'!G23='Peta Risiko'!$D$8,'Lap ED'!H23='Peta Risiko'!$I$9),'Lap ED'!A23,"")</f>
        <v/>
      </c>
    </row>
    <row r="33" spans="2:27" hidden="1" x14ac:dyDescent="0.25">
      <c r="B33">
        <v>19</v>
      </c>
      <c r="C33" t="str">
        <f>IF(AND('Lap ED'!G25='Peta Risiko'!$D$4,'Lap ED'!H25='Peta Risiko'!$E$9),'Lap ED'!A25,"")</f>
        <v/>
      </c>
      <c r="D33" t="str">
        <f>IF(AND('Lap ED'!G25='Peta Risiko'!$D$4,'Lap ED'!H25='Peta Risiko'!$F$9),'Lap ED'!A25,"")</f>
        <v/>
      </c>
      <c r="E33" t="str">
        <f>IF(AND('Lap ED'!G25='Peta Risiko'!$D$4,'Lap ED'!H25='Peta Risiko'!$G$9),'Lap ED'!A25,"")</f>
        <v/>
      </c>
      <c r="F33" t="str">
        <f>IF(AND('Lap ED'!G25='Peta Risiko'!$D$4,'Lap ED'!H25='Peta Risiko'!$H$9),'Lap ED'!A25,"")</f>
        <v/>
      </c>
      <c r="G33" t="str">
        <f>IF(AND('Lap ED'!G25='Peta Risiko'!$D$4,'Lap ED'!H25='Peta Risiko'!$I$9),'Lap ED'!A25,"")</f>
        <v/>
      </c>
      <c r="H33" t="str">
        <f>IF(AND('Lap ED'!G25='Peta Risiko'!$D$5,'Lap ED'!H25='Peta Risiko'!$E$9),'Lap ED'!A25,"")</f>
        <v/>
      </c>
      <c r="I33" t="str">
        <f>IF(AND('Lap ED'!G25='Peta Risiko'!$D$5,'Lap ED'!H25='Peta Risiko'!$F$9),'Lap ED'!A25,"")</f>
        <v/>
      </c>
      <c r="J33" t="str">
        <f>IF(AND('Lap ED'!G25='Peta Risiko'!$D$5,'Lap ED'!H25='Peta Risiko'!$G$9),'Lap ED'!A25,"")</f>
        <v/>
      </c>
      <c r="K33" t="str">
        <f>IF(AND('Lap ED'!G25='Peta Risiko'!$D$5,'Lap ED'!H25='Peta Risiko'!$H$9),'Lap ED'!A25,"")</f>
        <v/>
      </c>
      <c r="L33" t="str">
        <f>IF(AND('Lap ED'!G25='Peta Risiko'!$D$5,'Lap ED'!H25='Peta Risiko'!$I$9),'Lap ED'!A25,"")</f>
        <v/>
      </c>
      <c r="M33" t="str">
        <f>IF(AND('Lap ED'!G25='Peta Risiko'!$D$6,'Lap ED'!H25='Peta Risiko'!$E$9),'Lap ED'!A25,"")</f>
        <v/>
      </c>
      <c r="N33" t="str">
        <f>IF(AND('Lap ED'!G25='Peta Risiko'!$D$6,'Lap ED'!H25='Peta Risiko'!$F$9),'Lap ED'!A25,"")</f>
        <v/>
      </c>
      <c r="O33" t="str">
        <f>IF(AND('Lap ED'!G25='Peta Risiko'!$D$6,'Lap ED'!H25='Peta Risiko'!$G$9),'Lap ED'!A25,"")</f>
        <v/>
      </c>
      <c r="P33" t="str">
        <f>IF(AND('Lap ED'!G25='Peta Risiko'!$D$6,'Lap ED'!H25='Peta Risiko'!$H$9),'Lap ED'!A25,"")</f>
        <v/>
      </c>
      <c r="Q33" t="str">
        <f>IF(AND('Lap ED'!G25='Peta Risiko'!$D$6,'Lap ED'!H25='Peta Risiko'!$I$9),'Lap ED'!A25,"")</f>
        <v/>
      </c>
      <c r="R33" t="str">
        <f>IF(AND('Lap ED'!G25='Peta Risiko'!$D$7,'Lap ED'!H25='Peta Risiko'!$E$9),'Lap ED'!A25,"")</f>
        <v/>
      </c>
      <c r="S33" t="str">
        <f>IF(AND('Lap ED'!G25='Peta Risiko'!$D$7,'Lap ED'!H25='Peta Risiko'!$F$9),'Lap ED'!A25,"")</f>
        <v/>
      </c>
      <c r="T33" t="str">
        <f>IF(AND('Lap ED'!G25='Peta Risiko'!$D$7,'Lap ED'!H25='Peta Risiko'!$G$9),'Lap ED'!A25,"")</f>
        <v/>
      </c>
      <c r="U33" t="str">
        <f>IF(AND('Lap ED'!G25='Peta Risiko'!$D$7,'Lap ED'!H25='Peta Risiko'!$H$9),'Lap ED'!A25,"")</f>
        <v/>
      </c>
      <c r="V33" t="str">
        <f>IF(AND('Lap ED'!G25='Peta Risiko'!$D$7,'Lap ED'!H25='Peta Risiko'!$I$9),'Lap ED'!A25,"")</f>
        <v/>
      </c>
      <c r="W33">
        <f>IF(AND('Lap ED'!G25='Peta Risiko'!$D$8,'Lap ED'!H25='Peta Risiko'!$E$9),'Lap ED'!A25,"")</f>
        <v>19</v>
      </c>
      <c r="X33" t="str">
        <f>IF(AND('Lap ED'!G25='Peta Risiko'!$D$8,'Lap ED'!H25='Peta Risiko'!$F$9),'Lap ED'!A25,"")</f>
        <v/>
      </c>
      <c r="Y33" t="str">
        <f>IF(AND('Lap ED'!G25='Peta Risiko'!$D$8,'Lap ED'!H25='Peta Risiko'!$G$9),'Lap ED'!A25,"")</f>
        <v/>
      </c>
      <c r="Z33" t="str">
        <f>IF(AND('Lap ED'!G25='Peta Risiko'!$D$8,'Lap ED'!H25='Peta Risiko'!$H$9),'Lap ED'!A25,"")</f>
        <v/>
      </c>
      <c r="AA33" t="str">
        <f>IF(AND('Lap ED'!G25='Peta Risiko'!$D$8,'Lap ED'!H25='Peta Risiko'!$I$9),'Lap ED'!A25,"")</f>
        <v/>
      </c>
    </row>
    <row r="34" spans="2:27" hidden="1" x14ac:dyDescent="0.25">
      <c r="B34">
        <v>20</v>
      </c>
      <c r="C34" t="str">
        <f>IF(AND('Lap ED'!G26='Peta Risiko'!$D$4,'Lap ED'!H26='Peta Risiko'!$E$9),'Lap ED'!A26,"")</f>
        <v/>
      </c>
      <c r="D34" t="str">
        <f>IF(AND('Lap ED'!G26='Peta Risiko'!$D$4,'Lap ED'!H26='Peta Risiko'!$F$9),'Lap ED'!A26,"")</f>
        <v/>
      </c>
      <c r="E34" t="str">
        <f>IF(AND('Lap ED'!G26='Peta Risiko'!$D$4,'Lap ED'!H26='Peta Risiko'!$G$9),'Lap ED'!A26,"")</f>
        <v/>
      </c>
      <c r="F34" t="str">
        <f>IF(AND('Lap ED'!G26='Peta Risiko'!$D$4,'Lap ED'!H26='Peta Risiko'!$H$9),'Lap ED'!A26,"")</f>
        <v/>
      </c>
      <c r="G34" t="str">
        <f>IF(AND('Lap ED'!G26='Peta Risiko'!$D$4,'Lap ED'!H26='Peta Risiko'!$I$9),'Lap ED'!A26,"")</f>
        <v/>
      </c>
      <c r="H34" t="str">
        <f>IF(AND('Lap ED'!G26='Peta Risiko'!$D$5,'Lap ED'!H26='Peta Risiko'!$E$9),'Lap ED'!A26,"")</f>
        <v/>
      </c>
      <c r="I34" t="str">
        <f>IF(AND('Lap ED'!G26='Peta Risiko'!$D$5,'Lap ED'!H26='Peta Risiko'!$F$9),'Lap ED'!A26,"")</f>
        <v/>
      </c>
      <c r="J34" t="str">
        <f>IF(AND('Lap ED'!G26='Peta Risiko'!$D$5,'Lap ED'!H26='Peta Risiko'!$G$9),'Lap ED'!A26,"")</f>
        <v/>
      </c>
      <c r="K34" t="str">
        <f>IF(AND('Lap ED'!G26='Peta Risiko'!$D$5,'Lap ED'!H26='Peta Risiko'!$H$9),'Lap ED'!A26,"")</f>
        <v/>
      </c>
      <c r="L34" t="str">
        <f>IF(AND('Lap ED'!G26='Peta Risiko'!$D$5,'Lap ED'!H26='Peta Risiko'!$I$9),'Lap ED'!A26,"")</f>
        <v/>
      </c>
      <c r="M34" t="str">
        <f>IF(AND('Lap ED'!G26='Peta Risiko'!$D$6,'Lap ED'!H26='Peta Risiko'!$E$9),'Lap ED'!A26,"")</f>
        <v/>
      </c>
      <c r="N34" t="str">
        <f>IF(AND('Lap ED'!G26='Peta Risiko'!$D$6,'Lap ED'!H26='Peta Risiko'!$F$9),'Lap ED'!A26,"")</f>
        <v/>
      </c>
      <c r="O34" t="str">
        <f>IF(AND('Lap ED'!G26='Peta Risiko'!$D$6,'Lap ED'!H26='Peta Risiko'!$G$9),'Lap ED'!A26,"")</f>
        <v/>
      </c>
      <c r="P34" t="str">
        <f>IF(AND('Lap ED'!G26='Peta Risiko'!$D$6,'Lap ED'!H26='Peta Risiko'!$H$9),'Lap ED'!A26,"")</f>
        <v/>
      </c>
      <c r="Q34" t="str">
        <f>IF(AND('Lap ED'!G26='Peta Risiko'!$D$6,'Lap ED'!H26='Peta Risiko'!$I$9),'Lap ED'!A26,"")</f>
        <v/>
      </c>
      <c r="R34" t="str">
        <f>IF(AND('Lap ED'!G26='Peta Risiko'!$D$7,'Lap ED'!H26='Peta Risiko'!$E$9),'Lap ED'!A26,"")</f>
        <v/>
      </c>
      <c r="S34" t="str">
        <f>IF(AND('Lap ED'!G26='Peta Risiko'!$D$7,'Lap ED'!H26='Peta Risiko'!$F$9),'Lap ED'!A26,"")</f>
        <v/>
      </c>
      <c r="T34" t="str">
        <f>IF(AND('Lap ED'!G26='Peta Risiko'!$D$7,'Lap ED'!H26='Peta Risiko'!$G$9),'Lap ED'!A26,"")</f>
        <v/>
      </c>
      <c r="U34" t="str">
        <f>IF(AND('Lap ED'!G26='Peta Risiko'!$D$7,'Lap ED'!H26='Peta Risiko'!$H$9),'Lap ED'!A26,"")</f>
        <v/>
      </c>
      <c r="V34" t="str">
        <f>IF(AND('Lap ED'!G26='Peta Risiko'!$D$7,'Lap ED'!H26='Peta Risiko'!$I$9),'Lap ED'!A26,"")</f>
        <v/>
      </c>
      <c r="W34">
        <f>IF(AND('Lap ED'!G26='Peta Risiko'!$D$8,'Lap ED'!H26='Peta Risiko'!$E$9),'Lap ED'!A26,"")</f>
        <v>20</v>
      </c>
      <c r="X34" t="str">
        <f>IF(AND('Lap ED'!G26='Peta Risiko'!$D$8,'Lap ED'!H26='Peta Risiko'!$F$9),'Lap ED'!A26,"")</f>
        <v/>
      </c>
      <c r="Y34" t="str">
        <f>IF(AND('Lap ED'!G26='Peta Risiko'!$D$8,'Lap ED'!H26='Peta Risiko'!$G$9),'Lap ED'!A26,"")</f>
        <v/>
      </c>
      <c r="Z34" t="str">
        <f>IF(AND('Lap ED'!G26='Peta Risiko'!$D$8,'Lap ED'!H26='Peta Risiko'!$H$9),'Lap ED'!A26,"")</f>
        <v/>
      </c>
      <c r="AA34" t="str">
        <f>IF(AND('Lap ED'!G26='Peta Risiko'!$D$8,'Lap ED'!H26='Peta Risiko'!$I$9),'Lap ED'!A26,"")</f>
        <v/>
      </c>
    </row>
    <row r="35" spans="2:27" hidden="1" x14ac:dyDescent="0.25">
      <c r="B35">
        <v>21</v>
      </c>
      <c r="C35" t="str">
        <f>IF(AND('Lap ED'!G27='Peta Risiko'!$D$4,'Lap ED'!H27='Peta Risiko'!$E$9),'Lap ED'!A27,"")</f>
        <v/>
      </c>
      <c r="D35" t="str">
        <f>IF(AND('Lap ED'!G27='Peta Risiko'!$D$4,'Lap ED'!H27='Peta Risiko'!$F$9),'Lap ED'!A27,"")</f>
        <v/>
      </c>
      <c r="E35" t="str">
        <f>IF(AND('Lap ED'!G27='Peta Risiko'!$D$4,'Lap ED'!H27='Peta Risiko'!$G$9),'Lap ED'!A27,"")</f>
        <v/>
      </c>
      <c r="F35" t="str">
        <f>IF(AND('Lap ED'!G27='Peta Risiko'!$D$4,'Lap ED'!H27='Peta Risiko'!$H$9),'Lap ED'!A27,"")</f>
        <v/>
      </c>
      <c r="G35" t="str">
        <f>IF(AND('Lap ED'!G27='Peta Risiko'!$D$4,'Lap ED'!H27='Peta Risiko'!$I$9),'Lap ED'!A27,"")</f>
        <v/>
      </c>
      <c r="H35" t="str">
        <f>IF(AND('Lap ED'!G27='Peta Risiko'!$D$5,'Lap ED'!H27='Peta Risiko'!$E$9),'Lap ED'!A27,"")</f>
        <v/>
      </c>
      <c r="I35" t="str">
        <f>IF(AND('Lap ED'!G27='Peta Risiko'!$D$5,'Lap ED'!H27='Peta Risiko'!$F$9),'Lap ED'!A27,"")</f>
        <v/>
      </c>
      <c r="J35" t="str">
        <f>IF(AND('Lap ED'!G27='Peta Risiko'!$D$5,'Lap ED'!H27='Peta Risiko'!$G$9),'Lap ED'!A27,"")</f>
        <v/>
      </c>
      <c r="K35" t="str">
        <f>IF(AND('Lap ED'!G27='Peta Risiko'!$D$5,'Lap ED'!H27='Peta Risiko'!$H$9),'Lap ED'!A27,"")</f>
        <v/>
      </c>
      <c r="L35" t="str">
        <f>IF(AND('Lap ED'!G27='Peta Risiko'!$D$5,'Lap ED'!H27='Peta Risiko'!$I$9),'Lap ED'!A27,"")</f>
        <v/>
      </c>
      <c r="M35" t="str">
        <f>IF(AND('Lap ED'!G27='Peta Risiko'!$D$6,'Lap ED'!H27='Peta Risiko'!$E$9),'Lap ED'!A27,"")</f>
        <v/>
      </c>
      <c r="N35" t="str">
        <f>IF(AND('Lap ED'!G27='Peta Risiko'!$D$6,'Lap ED'!H27='Peta Risiko'!$F$9),'Lap ED'!A27,"")</f>
        <v/>
      </c>
      <c r="O35" t="str">
        <f>IF(AND('Lap ED'!G27='Peta Risiko'!$D$6,'Lap ED'!H27='Peta Risiko'!$G$9),'Lap ED'!A27,"")</f>
        <v/>
      </c>
      <c r="P35" t="str">
        <f>IF(AND('Lap ED'!G27='Peta Risiko'!$D$6,'Lap ED'!H27='Peta Risiko'!$H$9),'Lap ED'!A27,"")</f>
        <v/>
      </c>
      <c r="Q35" t="str">
        <f>IF(AND('Lap ED'!G27='Peta Risiko'!$D$6,'Lap ED'!H27='Peta Risiko'!$I$9),'Lap ED'!A27,"")</f>
        <v/>
      </c>
      <c r="R35" t="str">
        <f>IF(AND('Lap ED'!G27='Peta Risiko'!$D$7,'Lap ED'!H27='Peta Risiko'!$E$9),'Lap ED'!A27,"")</f>
        <v/>
      </c>
      <c r="S35" t="str">
        <f>IF(AND('Lap ED'!G27='Peta Risiko'!$D$7,'Lap ED'!H27='Peta Risiko'!$F$9),'Lap ED'!A27,"")</f>
        <v/>
      </c>
      <c r="T35" t="str">
        <f>IF(AND('Lap ED'!G27='Peta Risiko'!$D$7,'Lap ED'!H27='Peta Risiko'!$G$9),'Lap ED'!A27,"")</f>
        <v/>
      </c>
      <c r="U35" t="str">
        <f>IF(AND('Lap ED'!G27='Peta Risiko'!$D$7,'Lap ED'!H27='Peta Risiko'!$H$9),'Lap ED'!A27,"")</f>
        <v/>
      </c>
      <c r="V35" t="str">
        <f>IF(AND('Lap ED'!G27='Peta Risiko'!$D$7,'Lap ED'!H27='Peta Risiko'!$I$9),'Lap ED'!A27,"")</f>
        <v/>
      </c>
      <c r="W35">
        <f>IF(AND('Lap ED'!G27='Peta Risiko'!$D$8,'Lap ED'!H27='Peta Risiko'!$E$9),'Lap ED'!A27,"")</f>
        <v>21</v>
      </c>
      <c r="X35" t="str">
        <f>IF(AND('Lap ED'!G27='Peta Risiko'!$D$8,'Lap ED'!H27='Peta Risiko'!$F$9),'Lap ED'!A27,"")</f>
        <v/>
      </c>
      <c r="Y35" t="str">
        <f>IF(AND('Lap ED'!G27='Peta Risiko'!$D$8,'Lap ED'!H27='Peta Risiko'!$G$9),'Lap ED'!A27,"")</f>
        <v/>
      </c>
      <c r="Z35" t="str">
        <f>IF(AND('Lap ED'!G27='Peta Risiko'!$D$8,'Lap ED'!H27='Peta Risiko'!$H$9),'Lap ED'!A27,"")</f>
        <v/>
      </c>
      <c r="AA35" t="str">
        <f>IF(AND('Lap ED'!G27='Peta Risiko'!$D$8,'Lap ED'!H27='Peta Risiko'!$I$9),'Lap ED'!A27,"")</f>
        <v/>
      </c>
    </row>
    <row r="36" spans="2:27" hidden="1" x14ac:dyDescent="0.25">
      <c r="B36">
        <v>22</v>
      </c>
      <c r="C36" t="str">
        <f>IF(AND('Lap ED'!G28='Peta Risiko'!$D$4,'Lap ED'!H28='Peta Risiko'!$E$9),'Lap ED'!A28,"")</f>
        <v/>
      </c>
      <c r="D36" t="str">
        <f>IF(AND('Lap ED'!G28='Peta Risiko'!$D$4,'Lap ED'!H28='Peta Risiko'!$F$9),'Lap ED'!A28,"")</f>
        <v/>
      </c>
      <c r="E36" t="str">
        <f>IF(AND('Lap ED'!G28='Peta Risiko'!$D$4,'Lap ED'!H28='Peta Risiko'!$G$9),'Lap ED'!A28,"")</f>
        <v/>
      </c>
      <c r="F36" t="str">
        <f>IF(AND('Lap ED'!G28='Peta Risiko'!$D$4,'Lap ED'!H28='Peta Risiko'!$H$9),'Lap ED'!A28,"")</f>
        <v/>
      </c>
      <c r="G36" t="str">
        <f>IF(AND('Lap ED'!G28='Peta Risiko'!$D$4,'Lap ED'!H28='Peta Risiko'!$I$9),'Lap ED'!A28,"")</f>
        <v/>
      </c>
      <c r="H36" t="str">
        <f>IF(AND('Lap ED'!G28='Peta Risiko'!$D$5,'Lap ED'!H28='Peta Risiko'!$E$9),'Lap ED'!A28,"")</f>
        <v/>
      </c>
      <c r="I36" t="str">
        <f>IF(AND('Lap ED'!G28='Peta Risiko'!$D$5,'Lap ED'!H28='Peta Risiko'!$F$9),'Lap ED'!A28,"")</f>
        <v/>
      </c>
      <c r="J36" t="str">
        <f>IF(AND('Lap ED'!G28='Peta Risiko'!$D$5,'Lap ED'!H28='Peta Risiko'!$G$9),'Lap ED'!A28,"")</f>
        <v/>
      </c>
      <c r="K36" t="str">
        <f>IF(AND('Lap ED'!G28='Peta Risiko'!$D$5,'Lap ED'!H28='Peta Risiko'!$H$9),'Lap ED'!A28,"")</f>
        <v/>
      </c>
      <c r="L36" t="str">
        <f>IF(AND('Lap ED'!G28='Peta Risiko'!$D$5,'Lap ED'!H28='Peta Risiko'!$I$9),'Lap ED'!A28,"")</f>
        <v/>
      </c>
      <c r="M36" t="str">
        <f>IF(AND('Lap ED'!G28='Peta Risiko'!$D$6,'Lap ED'!H28='Peta Risiko'!$E$9),'Lap ED'!A28,"")</f>
        <v/>
      </c>
      <c r="N36" t="str">
        <f>IF(AND('Lap ED'!G28='Peta Risiko'!$D$6,'Lap ED'!H28='Peta Risiko'!$F$9),'Lap ED'!A28,"")</f>
        <v/>
      </c>
      <c r="O36" t="str">
        <f>IF(AND('Lap ED'!G28='Peta Risiko'!$D$6,'Lap ED'!H28='Peta Risiko'!$G$9),'Lap ED'!A28,"")</f>
        <v/>
      </c>
      <c r="P36" t="str">
        <f>IF(AND('Lap ED'!G28='Peta Risiko'!$D$6,'Lap ED'!H28='Peta Risiko'!$H$9),'Lap ED'!A28,"")</f>
        <v/>
      </c>
      <c r="Q36" t="str">
        <f>IF(AND('Lap ED'!G28='Peta Risiko'!$D$6,'Lap ED'!H28='Peta Risiko'!$I$9),'Lap ED'!A28,"")</f>
        <v/>
      </c>
      <c r="R36" t="str">
        <f>IF(AND('Lap ED'!G28='Peta Risiko'!$D$7,'Lap ED'!H28='Peta Risiko'!$E$9),'Lap ED'!A28,"")</f>
        <v/>
      </c>
      <c r="S36" t="str">
        <f>IF(AND('Lap ED'!G28='Peta Risiko'!$D$7,'Lap ED'!H28='Peta Risiko'!$F$9),'Lap ED'!A28,"")</f>
        <v/>
      </c>
      <c r="T36" t="str">
        <f>IF(AND('Lap ED'!G28='Peta Risiko'!$D$7,'Lap ED'!H28='Peta Risiko'!$G$9),'Lap ED'!A28,"")</f>
        <v/>
      </c>
      <c r="U36" t="str">
        <f>IF(AND('Lap ED'!G28='Peta Risiko'!$D$7,'Lap ED'!H28='Peta Risiko'!$H$9),'Lap ED'!A28,"")</f>
        <v/>
      </c>
      <c r="V36" t="str">
        <f>IF(AND('Lap ED'!G28='Peta Risiko'!$D$7,'Lap ED'!H28='Peta Risiko'!$I$9),'Lap ED'!A28,"")</f>
        <v/>
      </c>
      <c r="W36">
        <f>IF(AND('Lap ED'!G28='Peta Risiko'!$D$8,'Lap ED'!H28='Peta Risiko'!$E$9),'Lap ED'!A28,"")</f>
        <v>22</v>
      </c>
      <c r="X36" t="str">
        <f>IF(AND('Lap ED'!G28='Peta Risiko'!$D$8,'Lap ED'!H28='Peta Risiko'!$F$9),'Lap ED'!A28,"")</f>
        <v/>
      </c>
      <c r="Y36" t="str">
        <f>IF(AND('Lap ED'!G28='Peta Risiko'!$D$8,'Lap ED'!H28='Peta Risiko'!$G$9),'Lap ED'!A28,"")</f>
        <v/>
      </c>
      <c r="Z36" t="str">
        <f>IF(AND('Lap ED'!G28='Peta Risiko'!$D$8,'Lap ED'!H28='Peta Risiko'!$H$9),'Lap ED'!A28,"")</f>
        <v/>
      </c>
      <c r="AA36" t="str">
        <f>IF(AND('Lap ED'!G28='Peta Risiko'!$D$8,'Lap ED'!H28='Peta Risiko'!$I$9),'Lap ED'!A28,"")</f>
        <v/>
      </c>
    </row>
    <row r="37" spans="2:27" hidden="1" x14ac:dyDescent="0.25">
      <c r="B37">
        <v>23</v>
      </c>
      <c r="C37" t="str">
        <f>IF(AND('Lap ED'!G29='Peta Risiko'!$D$4,'Lap ED'!H29='Peta Risiko'!$E$9),'Lap ED'!A29,"")</f>
        <v/>
      </c>
      <c r="D37" t="str">
        <f>IF(AND('Lap ED'!G29='Peta Risiko'!$D$4,'Lap ED'!H29='Peta Risiko'!$F$9),'Lap ED'!A29,"")</f>
        <v/>
      </c>
      <c r="E37" t="str">
        <f>IF(AND('Lap ED'!G29='Peta Risiko'!$D$4,'Lap ED'!H29='Peta Risiko'!$G$9),'Lap ED'!A29,"")</f>
        <v/>
      </c>
      <c r="F37" t="str">
        <f>IF(AND('Lap ED'!G29='Peta Risiko'!$D$4,'Lap ED'!H29='Peta Risiko'!$H$9),'Lap ED'!A29,"")</f>
        <v/>
      </c>
      <c r="G37" t="str">
        <f>IF(AND('Lap ED'!G29='Peta Risiko'!$D$4,'Lap ED'!H29='Peta Risiko'!$I$9),'Lap ED'!A29,"")</f>
        <v/>
      </c>
      <c r="H37" t="str">
        <f>IF(AND('Lap ED'!G29='Peta Risiko'!$D$5,'Lap ED'!H29='Peta Risiko'!$E$9),'Lap ED'!A29,"")</f>
        <v/>
      </c>
      <c r="I37" t="str">
        <f>IF(AND('Lap ED'!G29='Peta Risiko'!$D$5,'Lap ED'!H29='Peta Risiko'!$F$9),'Lap ED'!A29,"")</f>
        <v/>
      </c>
      <c r="J37" t="str">
        <f>IF(AND('Lap ED'!G29='Peta Risiko'!$D$5,'Lap ED'!H29='Peta Risiko'!$G$9),'Lap ED'!A29,"")</f>
        <v/>
      </c>
      <c r="K37" t="str">
        <f>IF(AND('Lap ED'!G29='Peta Risiko'!$D$5,'Lap ED'!H29='Peta Risiko'!$H$9),'Lap ED'!A29,"")</f>
        <v/>
      </c>
      <c r="L37" t="str">
        <f>IF(AND('Lap ED'!G29='Peta Risiko'!$D$5,'Lap ED'!H29='Peta Risiko'!$I$9),'Lap ED'!A29,"")</f>
        <v/>
      </c>
      <c r="M37">
        <f>IF(AND('Lap ED'!G29='Peta Risiko'!$D$6,'Lap ED'!H29='Peta Risiko'!$E$9),'Lap ED'!A29,"")</f>
        <v>23</v>
      </c>
      <c r="N37" t="str">
        <f>IF(AND('Lap ED'!G29='Peta Risiko'!$D$6,'Lap ED'!H29='Peta Risiko'!$F$9),'Lap ED'!A29,"")</f>
        <v/>
      </c>
      <c r="O37" t="str">
        <f>IF(AND('Lap ED'!G29='Peta Risiko'!$D$6,'Lap ED'!H29='Peta Risiko'!$G$9),'Lap ED'!A29,"")</f>
        <v/>
      </c>
      <c r="P37" t="str">
        <f>IF(AND('Lap ED'!G29='Peta Risiko'!$D$6,'Lap ED'!H29='Peta Risiko'!$H$9),'Lap ED'!A29,"")</f>
        <v/>
      </c>
      <c r="Q37" t="str">
        <f>IF(AND('Lap ED'!G29='Peta Risiko'!$D$6,'Lap ED'!H29='Peta Risiko'!$I$9),'Lap ED'!A29,"")</f>
        <v/>
      </c>
      <c r="R37" t="str">
        <f>IF(AND('Lap ED'!G29='Peta Risiko'!$D$7,'Lap ED'!H29='Peta Risiko'!$E$9),'Lap ED'!A29,"")</f>
        <v/>
      </c>
      <c r="S37" t="str">
        <f>IF(AND('Lap ED'!G29='Peta Risiko'!$D$7,'Lap ED'!H29='Peta Risiko'!$F$9),'Lap ED'!A29,"")</f>
        <v/>
      </c>
      <c r="T37" t="str">
        <f>IF(AND('Lap ED'!G29='Peta Risiko'!$D$7,'Lap ED'!H29='Peta Risiko'!$G$9),'Lap ED'!A29,"")</f>
        <v/>
      </c>
      <c r="U37" t="str">
        <f>IF(AND('Lap ED'!G29='Peta Risiko'!$D$7,'Lap ED'!H29='Peta Risiko'!$H$9),'Lap ED'!A29,"")</f>
        <v/>
      </c>
      <c r="V37" t="str">
        <f>IF(AND('Lap ED'!G29='Peta Risiko'!$D$7,'Lap ED'!H29='Peta Risiko'!$I$9),'Lap ED'!A29,"")</f>
        <v/>
      </c>
      <c r="W37" t="str">
        <f>IF(AND('Lap ED'!G29='Peta Risiko'!$D$8,'Lap ED'!H29='Peta Risiko'!$E$9),'Lap ED'!A29,"")</f>
        <v/>
      </c>
      <c r="X37" t="str">
        <f>IF(AND('Lap ED'!G29='Peta Risiko'!$D$8,'Lap ED'!H29='Peta Risiko'!$F$9),'Lap ED'!A29,"")</f>
        <v/>
      </c>
      <c r="Y37" t="str">
        <f>IF(AND('Lap ED'!G29='Peta Risiko'!$D$8,'Lap ED'!H29='Peta Risiko'!$G$9),'Lap ED'!A29,"")</f>
        <v/>
      </c>
      <c r="Z37" t="str">
        <f>IF(AND('Lap ED'!G29='Peta Risiko'!$D$8,'Lap ED'!H29='Peta Risiko'!$H$9),'Lap ED'!A29,"")</f>
        <v/>
      </c>
      <c r="AA37" t="str">
        <f>IF(AND('Lap ED'!G29='Peta Risiko'!$D$8,'Lap ED'!H29='Peta Risiko'!$I$9),'Lap ED'!A29,"")</f>
        <v/>
      </c>
    </row>
    <row r="38" spans="2:27" hidden="1" x14ac:dyDescent="0.25">
      <c r="B38">
        <v>24</v>
      </c>
      <c r="C38" t="str">
        <f>IF(AND('Lap ED'!G31='Peta Risiko'!$D$4,'Lap ED'!H31='Peta Risiko'!$E$9),'Lap ED'!A31,"")</f>
        <v/>
      </c>
      <c r="D38" t="str">
        <f>IF(AND('Lap ED'!G31='Peta Risiko'!$D$4,'Lap ED'!H31='Peta Risiko'!$F$9),'Lap ED'!A31,"")</f>
        <v/>
      </c>
      <c r="E38" t="str">
        <f>IF(AND('Lap ED'!G31='Peta Risiko'!$D$4,'Lap ED'!H31='Peta Risiko'!$G$9),'Lap ED'!A31,"")</f>
        <v/>
      </c>
      <c r="F38" t="str">
        <f>IF(AND('Lap ED'!G31='Peta Risiko'!$D$4,'Lap ED'!H31='Peta Risiko'!$H$9),'Lap ED'!A31,"")</f>
        <v/>
      </c>
      <c r="G38" t="str">
        <f>IF(AND('Lap ED'!G31='Peta Risiko'!$D$4,'Lap ED'!H31='Peta Risiko'!$I$9),'Lap ED'!A31,"")</f>
        <v/>
      </c>
      <c r="H38" t="str">
        <f>IF(AND('Lap ED'!G31='Peta Risiko'!$D$5,'Lap ED'!H31='Peta Risiko'!$E$9),'Lap ED'!A31,"")</f>
        <v/>
      </c>
      <c r="I38" t="str">
        <f>IF(AND('Lap ED'!G31='Peta Risiko'!$D$5,'Lap ED'!H31='Peta Risiko'!$F$9),'Lap ED'!A31,"")</f>
        <v/>
      </c>
      <c r="J38" t="str">
        <f>IF(AND('Lap ED'!G31='Peta Risiko'!$D$5,'Lap ED'!H31='Peta Risiko'!$G$9),'Lap ED'!A31,"")</f>
        <v/>
      </c>
      <c r="K38" t="str">
        <f>IF(AND('Lap ED'!G31='Peta Risiko'!$D$5,'Lap ED'!H31='Peta Risiko'!$H$9),'Lap ED'!A31,"")</f>
        <v/>
      </c>
      <c r="L38" t="str">
        <f>IF(AND('Lap ED'!G31='Peta Risiko'!$D$5,'Lap ED'!H31='Peta Risiko'!$I$9),'Lap ED'!A31,"")</f>
        <v/>
      </c>
      <c r="M38">
        <f>IF(AND('Lap ED'!G31='Peta Risiko'!$D$6,'Lap ED'!H31='Peta Risiko'!$E$9),'Lap ED'!A31,"")</f>
        <v>24</v>
      </c>
      <c r="N38" t="str">
        <f>IF(AND('Lap ED'!G31='Peta Risiko'!$D$6,'Lap ED'!H31='Peta Risiko'!$F$9),'Lap ED'!A31,"")</f>
        <v/>
      </c>
      <c r="O38" t="str">
        <f>IF(AND('Lap ED'!G31='Peta Risiko'!$D$6,'Lap ED'!H31='Peta Risiko'!$G$9),'Lap ED'!A31,"")</f>
        <v/>
      </c>
      <c r="P38" t="str">
        <f>IF(AND('Lap ED'!G31='Peta Risiko'!$D$6,'Lap ED'!H31='Peta Risiko'!$H$9),'Lap ED'!A31,"")</f>
        <v/>
      </c>
      <c r="Q38" t="str">
        <f>IF(AND('Lap ED'!G31='Peta Risiko'!$D$6,'Lap ED'!H31='Peta Risiko'!$I$9),'Lap ED'!A31,"")</f>
        <v/>
      </c>
      <c r="R38" t="str">
        <f>IF(AND('Lap ED'!G31='Peta Risiko'!$D$7,'Lap ED'!H31='Peta Risiko'!$E$9),'Lap ED'!A31,"")</f>
        <v/>
      </c>
      <c r="S38" t="str">
        <f>IF(AND('Lap ED'!G31='Peta Risiko'!$D$7,'Lap ED'!H31='Peta Risiko'!$F$9),'Lap ED'!A31,"")</f>
        <v/>
      </c>
      <c r="T38" t="str">
        <f>IF(AND('Lap ED'!G31='Peta Risiko'!$D$7,'Lap ED'!H31='Peta Risiko'!$G$9),'Lap ED'!A31,"")</f>
        <v/>
      </c>
      <c r="U38" t="str">
        <f>IF(AND('Lap ED'!G31='Peta Risiko'!$D$7,'Lap ED'!H31='Peta Risiko'!$H$9),'Lap ED'!A31,"")</f>
        <v/>
      </c>
      <c r="V38" t="str">
        <f>IF(AND('Lap ED'!G31='Peta Risiko'!$D$7,'Lap ED'!H31='Peta Risiko'!$I$9),'Lap ED'!A31,"")</f>
        <v/>
      </c>
      <c r="W38" t="str">
        <f>IF(AND('Lap ED'!G31='Peta Risiko'!$D$8,'Lap ED'!H31='Peta Risiko'!$E$9),'Lap ED'!A31,"")</f>
        <v/>
      </c>
      <c r="X38" t="str">
        <f>IF(AND('Lap ED'!G31='Peta Risiko'!$D$8,'Lap ED'!H31='Peta Risiko'!$F$9),'Lap ED'!A31,"")</f>
        <v/>
      </c>
      <c r="Y38" t="str">
        <f>IF(AND('Lap ED'!G31='Peta Risiko'!$D$8,'Lap ED'!H31='Peta Risiko'!$G$9),'Lap ED'!A31,"")</f>
        <v/>
      </c>
      <c r="Z38" t="str">
        <f>IF(AND('Lap ED'!G31='Peta Risiko'!$D$8,'Lap ED'!H31='Peta Risiko'!$H$9),'Lap ED'!A31,"")</f>
        <v/>
      </c>
      <c r="AA38" t="str">
        <f>IF(AND('Lap ED'!G31='Peta Risiko'!$D$8,'Lap ED'!H31='Peta Risiko'!$I$9),'Lap ED'!A31,"")</f>
        <v/>
      </c>
    </row>
    <row r="39" spans="2:27" hidden="1" x14ac:dyDescent="0.25">
      <c r="B39">
        <v>25</v>
      </c>
      <c r="C39" t="str">
        <f>IF(AND('Lap ED'!G32='Peta Risiko'!$D$4,'Lap ED'!H32='Peta Risiko'!$E$9),'Lap ED'!A32,"")</f>
        <v/>
      </c>
      <c r="D39" t="str">
        <f>IF(AND('Lap ED'!G32='Peta Risiko'!$D$4,'Lap ED'!H32='Peta Risiko'!$F$9),'Lap ED'!A32,"")</f>
        <v/>
      </c>
      <c r="E39" t="str">
        <f>IF(AND('Lap ED'!G32='Peta Risiko'!$D$4,'Lap ED'!H32='Peta Risiko'!$G$9),'Lap ED'!A32,"")</f>
        <v/>
      </c>
      <c r="F39" t="str">
        <f>IF(AND('Lap ED'!G32='Peta Risiko'!$D$4,'Lap ED'!H32='Peta Risiko'!$H$9),'Lap ED'!A32,"")</f>
        <v/>
      </c>
      <c r="G39" t="str">
        <f>IF(AND('Lap ED'!G32='Peta Risiko'!$D$4,'Lap ED'!H32='Peta Risiko'!$I$9),'Lap ED'!A32,"")</f>
        <v/>
      </c>
      <c r="H39" t="str">
        <f>IF(AND('Lap ED'!G32='Peta Risiko'!$D$5,'Lap ED'!H32='Peta Risiko'!$E$9),'Lap ED'!A32,"")</f>
        <v/>
      </c>
      <c r="I39" t="str">
        <f>IF(AND('Lap ED'!G32='Peta Risiko'!$D$5,'Lap ED'!H32='Peta Risiko'!$F$9),'Lap ED'!A32,"")</f>
        <v/>
      </c>
      <c r="J39" t="str">
        <f>IF(AND('Lap ED'!G32='Peta Risiko'!$D$5,'Lap ED'!H32='Peta Risiko'!$G$9),'Lap ED'!A32,"")</f>
        <v/>
      </c>
      <c r="K39" t="str">
        <f>IF(AND('Lap ED'!G32='Peta Risiko'!$D$5,'Lap ED'!H32='Peta Risiko'!$H$9),'Lap ED'!A32,"")</f>
        <v/>
      </c>
      <c r="L39" t="str">
        <f>IF(AND('Lap ED'!G32='Peta Risiko'!$D$5,'Lap ED'!H32='Peta Risiko'!$I$9),'Lap ED'!A32,"")</f>
        <v/>
      </c>
      <c r="M39">
        <f>IF(AND('Lap ED'!G32='Peta Risiko'!$D$6,'Lap ED'!H32='Peta Risiko'!$E$9),'Lap ED'!A32,"")</f>
        <v>25</v>
      </c>
      <c r="N39" t="str">
        <f>IF(AND('Lap ED'!G32='Peta Risiko'!$D$6,'Lap ED'!H32='Peta Risiko'!$F$9),'Lap ED'!A32,"")</f>
        <v/>
      </c>
      <c r="O39" t="str">
        <f>IF(AND('Lap ED'!G32='Peta Risiko'!$D$6,'Lap ED'!H32='Peta Risiko'!$G$9),'Lap ED'!A32,"")</f>
        <v/>
      </c>
      <c r="P39" t="str">
        <f>IF(AND('Lap ED'!G32='Peta Risiko'!$D$6,'Lap ED'!H32='Peta Risiko'!$H$9),'Lap ED'!A32,"")</f>
        <v/>
      </c>
      <c r="Q39" t="str">
        <f>IF(AND('Lap ED'!G32='Peta Risiko'!$D$6,'Lap ED'!H32='Peta Risiko'!$I$9),'Lap ED'!A32,"")</f>
        <v/>
      </c>
      <c r="R39" t="str">
        <f>IF(AND('Lap ED'!G32='Peta Risiko'!$D$7,'Lap ED'!H32='Peta Risiko'!$E$9),'Lap ED'!A32,"")</f>
        <v/>
      </c>
      <c r="S39" t="str">
        <f>IF(AND('Lap ED'!G32='Peta Risiko'!$D$7,'Lap ED'!H32='Peta Risiko'!$F$9),'Lap ED'!A32,"")</f>
        <v/>
      </c>
      <c r="T39" t="str">
        <f>IF(AND('Lap ED'!G32='Peta Risiko'!$D$7,'Lap ED'!H32='Peta Risiko'!$G$9),'Lap ED'!A32,"")</f>
        <v/>
      </c>
      <c r="U39" t="str">
        <f>IF(AND('Lap ED'!G32='Peta Risiko'!$D$7,'Lap ED'!H32='Peta Risiko'!$H$9),'Lap ED'!A32,"")</f>
        <v/>
      </c>
      <c r="V39" t="str">
        <f>IF(AND('Lap ED'!G32='Peta Risiko'!$D$7,'Lap ED'!H32='Peta Risiko'!$I$9),'Lap ED'!A32,"")</f>
        <v/>
      </c>
      <c r="W39" t="str">
        <f>IF(AND('Lap ED'!G32='Peta Risiko'!$D$8,'Lap ED'!H32='Peta Risiko'!$E$9),'Lap ED'!A32,"")</f>
        <v/>
      </c>
      <c r="X39" t="str">
        <f>IF(AND('Lap ED'!G32='Peta Risiko'!$D$8,'Lap ED'!H32='Peta Risiko'!$F$9),'Lap ED'!A32,"")</f>
        <v/>
      </c>
      <c r="Y39" t="str">
        <f>IF(AND('Lap ED'!G32='Peta Risiko'!$D$8,'Lap ED'!H32='Peta Risiko'!$G$9),'Lap ED'!A32,"")</f>
        <v/>
      </c>
      <c r="Z39" t="str">
        <f>IF(AND('Lap ED'!G32='Peta Risiko'!$D$8,'Lap ED'!H32='Peta Risiko'!$H$9),'Lap ED'!A32,"")</f>
        <v/>
      </c>
      <c r="AA39" t="str">
        <f>IF(AND('Lap ED'!G32='Peta Risiko'!$D$8,'Lap ED'!H32='Peta Risiko'!$I$9),'Lap ED'!A32,"")</f>
        <v/>
      </c>
    </row>
    <row r="40" spans="2:27" hidden="1" x14ac:dyDescent="0.25">
      <c r="B40">
        <v>26</v>
      </c>
      <c r="C40" t="str">
        <f>IF(AND('Lap ED'!G33='Peta Risiko'!$D$4,'Lap ED'!H33='Peta Risiko'!$E$9),'Lap ED'!A33,"")</f>
        <v/>
      </c>
      <c r="D40" t="str">
        <f>IF(AND('Lap ED'!G33='Peta Risiko'!$D$4,'Lap ED'!H33='Peta Risiko'!$F$9),'Lap ED'!A33,"")</f>
        <v/>
      </c>
      <c r="E40" t="str">
        <f>IF(AND('Lap ED'!G33='Peta Risiko'!$D$4,'Lap ED'!H33='Peta Risiko'!$G$9),'Lap ED'!A33,"")</f>
        <v/>
      </c>
      <c r="F40" t="str">
        <f>IF(AND('Lap ED'!G33='Peta Risiko'!$D$4,'Lap ED'!H33='Peta Risiko'!$H$9),'Lap ED'!A33,"")</f>
        <v/>
      </c>
      <c r="G40" t="str">
        <f>IF(AND('Lap ED'!G33='Peta Risiko'!$D$4,'Lap ED'!H33='Peta Risiko'!$I$9),'Lap ED'!A33,"")</f>
        <v/>
      </c>
      <c r="H40" t="str">
        <f>IF(AND('Lap ED'!G33='Peta Risiko'!$D$5,'Lap ED'!H33='Peta Risiko'!$E$9),'Lap ED'!A33,"")</f>
        <v/>
      </c>
      <c r="I40" t="str">
        <f>IF(AND('Lap ED'!G33='Peta Risiko'!$D$5,'Lap ED'!H33='Peta Risiko'!$F$9),'Lap ED'!A33,"")</f>
        <v/>
      </c>
      <c r="J40" t="str">
        <f>IF(AND('Lap ED'!G33='Peta Risiko'!$D$5,'Lap ED'!H33='Peta Risiko'!$G$9),'Lap ED'!A33,"")</f>
        <v/>
      </c>
      <c r="K40" t="str">
        <f>IF(AND('Lap ED'!G33='Peta Risiko'!$D$5,'Lap ED'!H33='Peta Risiko'!$H$9),'Lap ED'!A33,"")</f>
        <v/>
      </c>
      <c r="L40" t="str">
        <f>IF(AND('Lap ED'!G33='Peta Risiko'!$D$5,'Lap ED'!H33='Peta Risiko'!$I$9),'Lap ED'!A33,"")</f>
        <v/>
      </c>
      <c r="M40">
        <f>IF(AND('Lap ED'!G33='Peta Risiko'!$D$6,'Lap ED'!H33='Peta Risiko'!$E$9),'Lap ED'!A33,"")</f>
        <v>26</v>
      </c>
      <c r="N40" t="str">
        <f>IF(AND('Lap ED'!G33='Peta Risiko'!$D$6,'Lap ED'!H33='Peta Risiko'!$F$9),'Lap ED'!A33,"")</f>
        <v/>
      </c>
      <c r="O40" t="str">
        <f>IF(AND('Lap ED'!G33='Peta Risiko'!$D$6,'Lap ED'!H33='Peta Risiko'!$G$9),'Lap ED'!A33,"")</f>
        <v/>
      </c>
      <c r="P40" t="str">
        <f>IF(AND('Lap ED'!G33='Peta Risiko'!$D$6,'Lap ED'!H33='Peta Risiko'!$H$9),'Lap ED'!A33,"")</f>
        <v/>
      </c>
      <c r="Q40" t="str">
        <f>IF(AND('Lap ED'!G33='Peta Risiko'!$D$6,'Lap ED'!H33='Peta Risiko'!$I$9),'Lap ED'!A33,"")</f>
        <v/>
      </c>
      <c r="R40" t="str">
        <f>IF(AND('Lap ED'!G33='Peta Risiko'!$D$7,'Lap ED'!H33='Peta Risiko'!$E$9),'Lap ED'!A33,"")</f>
        <v/>
      </c>
      <c r="S40" t="str">
        <f>IF(AND('Lap ED'!G33='Peta Risiko'!$D$7,'Lap ED'!H33='Peta Risiko'!$F$9),'Lap ED'!A33,"")</f>
        <v/>
      </c>
      <c r="T40" t="str">
        <f>IF(AND('Lap ED'!G33='Peta Risiko'!$D$7,'Lap ED'!H33='Peta Risiko'!$G$9),'Lap ED'!A33,"")</f>
        <v/>
      </c>
      <c r="U40" t="str">
        <f>IF(AND('Lap ED'!G33='Peta Risiko'!$D$7,'Lap ED'!H33='Peta Risiko'!$H$9),'Lap ED'!A33,"")</f>
        <v/>
      </c>
      <c r="V40" t="str">
        <f>IF(AND('Lap ED'!G33='Peta Risiko'!$D$7,'Lap ED'!H33='Peta Risiko'!$I$9),'Lap ED'!A33,"")</f>
        <v/>
      </c>
      <c r="W40" t="str">
        <f>IF(AND('Lap ED'!G33='Peta Risiko'!$D$8,'Lap ED'!H33='Peta Risiko'!$E$9),'Lap ED'!A33,"")</f>
        <v/>
      </c>
      <c r="X40" t="str">
        <f>IF(AND('Lap ED'!G33='Peta Risiko'!$D$8,'Lap ED'!H33='Peta Risiko'!$F$9),'Lap ED'!A33,"")</f>
        <v/>
      </c>
      <c r="Y40" t="str">
        <f>IF(AND('Lap ED'!G33='Peta Risiko'!$D$8,'Lap ED'!H33='Peta Risiko'!$G$9),'Lap ED'!A33,"")</f>
        <v/>
      </c>
      <c r="Z40" t="str">
        <f>IF(AND('Lap ED'!G33='Peta Risiko'!$D$8,'Lap ED'!H33='Peta Risiko'!$H$9),'Lap ED'!A33,"")</f>
        <v/>
      </c>
      <c r="AA40" t="str">
        <f>IF(AND('Lap ED'!G33='Peta Risiko'!$D$8,'Lap ED'!H33='Peta Risiko'!$I$9),'Lap ED'!A33,"")</f>
        <v/>
      </c>
    </row>
    <row r="41" spans="2:27" hidden="1" x14ac:dyDescent="0.25">
      <c r="B41">
        <v>27</v>
      </c>
      <c r="C41" t="str">
        <f>IF(AND('Lap ED'!G34='Peta Risiko'!$D$4,'Lap ED'!H34='Peta Risiko'!$E$9),'Lap ED'!A34,"")</f>
        <v/>
      </c>
      <c r="D41" t="str">
        <f>IF(AND('Lap ED'!G34='Peta Risiko'!$D$4,'Lap ED'!H34='Peta Risiko'!$F$9),'Lap ED'!A34,"")</f>
        <v/>
      </c>
      <c r="E41" t="str">
        <f>IF(AND('Lap ED'!G34='Peta Risiko'!$D$4,'Lap ED'!H34='Peta Risiko'!$G$9),'Lap ED'!A34,"")</f>
        <v/>
      </c>
      <c r="F41" t="str">
        <f>IF(AND('Lap ED'!G34='Peta Risiko'!$D$4,'Lap ED'!H34='Peta Risiko'!$H$9),'Lap ED'!A34,"")</f>
        <v/>
      </c>
      <c r="G41" t="str">
        <f>IF(AND('Lap ED'!G34='Peta Risiko'!$D$4,'Lap ED'!H34='Peta Risiko'!$I$9),'Lap ED'!A34,"")</f>
        <v/>
      </c>
      <c r="H41" t="str">
        <f>IF(AND('Lap ED'!G34='Peta Risiko'!$D$5,'Lap ED'!H34='Peta Risiko'!$E$9),'Lap ED'!A34,"")</f>
        <v/>
      </c>
      <c r="I41" t="str">
        <f>IF(AND('Lap ED'!G34='Peta Risiko'!$D$5,'Lap ED'!H34='Peta Risiko'!$F$9),'Lap ED'!A34,"")</f>
        <v/>
      </c>
      <c r="J41" t="str">
        <f>IF(AND('Lap ED'!G34='Peta Risiko'!$D$5,'Lap ED'!H34='Peta Risiko'!$G$9),'Lap ED'!A34,"")</f>
        <v/>
      </c>
      <c r="K41" t="str">
        <f>IF(AND('Lap ED'!G34='Peta Risiko'!$D$5,'Lap ED'!H34='Peta Risiko'!$H$9),'Lap ED'!A34,"")</f>
        <v/>
      </c>
      <c r="L41" t="str">
        <f>IF(AND('Lap ED'!G34='Peta Risiko'!$D$5,'Lap ED'!H34='Peta Risiko'!$I$9),'Lap ED'!A34,"")</f>
        <v/>
      </c>
      <c r="M41">
        <f>IF(AND('Lap ED'!G34='Peta Risiko'!$D$6,'Lap ED'!H34='Peta Risiko'!$E$9),'Lap ED'!A34,"")</f>
        <v>27</v>
      </c>
      <c r="N41" t="str">
        <f>IF(AND('Lap ED'!G34='Peta Risiko'!$D$6,'Lap ED'!H34='Peta Risiko'!$F$9),'Lap ED'!A34,"")</f>
        <v/>
      </c>
      <c r="O41" t="str">
        <f>IF(AND('Lap ED'!G34='Peta Risiko'!$D$6,'Lap ED'!H34='Peta Risiko'!$G$9),'Lap ED'!A34,"")</f>
        <v/>
      </c>
      <c r="P41" t="str">
        <f>IF(AND('Lap ED'!G34='Peta Risiko'!$D$6,'Lap ED'!H34='Peta Risiko'!$H$9),'Lap ED'!A34,"")</f>
        <v/>
      </c>
      <c r="Q41" t="str">
        <f>IF(AND('Lap ED'!G34='Peta Risiko'!$D$6,'Lap ED'!H34='Peta Risiko'!$I$9),'Lap ED'!A34,"")</f>
        <v/>
      </c>
      <c r="R41" t="str">
        <f>IF(AND('Lap ED'!G34='Peta Risiko'!$D$7,'Lap ED'!H34='Peta Risiko'!$E$9),'Lap ED'!A34,"")</f>
        <v/>
      </c>
      <c r="S41" t="str">
        <f>IF(AND('Lap ED'!G34='Peta Risiko'!$D$7,'Lap ED'!H34='Peta Risiko'!$F$9),'Lap ED'!A34,"")</f>
        <v/>
      </c>
      <c r="T41" t="str">
        <f>IF(AND('Lap ED'!G34='Peta Risiko'!$D$7,'Lap ED'!H34='Peta Risiko'!$G$9),'Lap ED'!A34,"")</f>
        <v/>
      </c>
      <c r="U41" t="str">
        <f>IF(AND('Lap ED'!G34='Peta Risiko'!$D$7,'Lap ED'!H34='Peta Risiko'!$H$9),'Lap ED'!A34,"")</f>
        <v/>
      </c>
      <c r="V41" t="str">
        <f>IF(AND('Lap ED'!G34='Peta Risiko'!$D$7,'Lap ED'!H34='Peta Risiko'!$I$9),'Lap ED'!A34,"")</f>
        <v/>
      </c>
      <c r="W41" t="str">
        <f>IF(AND('Lap ED'!G34='Peta Risiko'!$D$8,'Lap ED'!H34='Peta Risiko'!$E$9),'Lap ED'!A34,"")</f>
        <v/>
      </c>
      <c r="X41" t="str">
        <f>IF(AND('Lap ED'!G34='Peta Risiko'!$D$8,'Lap ED'!H34='Peta Risiko'!$F$9),'Lap ED'!A34,"")</f>
        <v/>
      </c>
      <c r="Y41" t="str">
        <f>IF(AND('Lap ED'!G34='Peta Risiko'!$D$8,'Lap ED'!H34='Peta Risiko'!$G$9),'Lap ED'!A34,"")</f>
        <v/>
      </c>
      <c r="Z41" t="str">
        <f>IF(AND('Lap ED'!G34='Peta Risiko'!$D$8,'Lap ED'!H34='Peta Risiko'!$H$9),'Lap ED'!A34,"")</f>
        <v/>
      </c>
      <c r="AA41" t="str">
        <f>IF(AND('Lap ED'!G34='Peta Risiko'!$D$8,'Lap ED'!H34='Peta Risiko'!$I$9),'Lap ED'!A34,"")</f>
        <v/>
      </c>
    </row>
    <row r="42" spans="2:27" hidden="1" x14ac:dyDescent="0.25">
      <c r="B42">
        <v>28</v>
      </c>
      <c r="C42" t="str">
        <f>IF(AND('Lap ED'!G35='Peta Risiko'!$D$4,'Lap ED'!H35='Peta Risiko'!$E$9),'Lap ED'!A35,"")</f>
        <v/>
      </c>
      <c r="D42" t="str">
        <f>IF(AND('Lap ED'!G35='Peta Risiko'!$D$4,'Lap ED'!H35='Peta Risiko'!$F$9),'Lap ED'!A35,"")</f>
        <v/>
      </c>
      <c r="E42" t="str">
        <f>IF(AND('Lap ED'!G35='Peta Risiko'!$D$4,'Lap ED'!H35='Peta Risiko'!$G$9),'Lap ED'!A35,"")</f>
        <v/>
      </c>
      <c r="F42" t="str">
        <f>IF(AND('Lap ED'!G35='Peta Risiko'!$D$4,'Lap ED'!H35='Peta Risiko'!$H$9),'Lap ED'!A35,"")</f>
        <v/>
      </c>
      <c r="G42" t="str">
        <f>IF(AND('Lap ED'!G35='Peta Risiko'!$D$4,'Lap ED'!H35='Peta Risiko'!$I$9),'Lap ED'!A35,"")</f>
        <v/>
      </c>
      <c r="H42" t="str">
        <f>IF(AND('Lap ED'!G35='Peta Risiko'!$D$5,'Lap ED'!H35='Peta Risiko'!$E$9),'Lap ED'!A35,"")</f>
        <v/>
      </c>
      <c r="I42" t="str">
        <f>IF(AND('Lap ED'!G35='Peta Risiko'!$D$5,'Lap ED'!H35='Peta Risiko'!$F$9),'Lap ED'!A35,"")</f>
        <v/>
      </c>
      <c r="J42" t="str">
        <f>IF(AND('Lap ED'!G35='Peta Risiko'!$D$5,'Lap ED'!H35='Peta Risiko'!$G$9),'Lap ED'!A35,"")</f>
        <v/>
      </c>
      <c r="K42" t="str">
        <f>IF(AND('Lap ED'!G35='Peta Risiko'!$D$5,'Lap ED'!H35='Peta Risiko'!$H$9),'Lap ED'!A35,"")</f>
        <v/>
      </c>
      <c r="L42" t="str">
        <f>IF(AND('Lap ED'!G35='Peta Risiko'!$D$5,'Lap ED'!H35='Peta Risiko'!$I$9),'Lap ED'!A35,"")</f>
        <v/>
      </c>
      <c r="M42">
        <f>IF(AND('Lap ED'!G35='Peta Risiko'!$D$6,'Lap ED'!H35='Peta Risiko'!$E$9),'Lap ED'!A35,"")</f>
        <v>28</v>
      </c>
      <c r="N42" t="str">
        <f>IF(AND('Lap ED'!G35='Peta Risiko'!$D$6,'Lap ED'!H35='Peta Risiko'!$F$9),'Lap ED'!A35,"")</f>
        <v/>
      </c>
      <c r="O42" t="str">
        <f>IF(AND('Lap ED'!G35='Peta Risiko'!$D$6,'Lap ED'!H35='Peta Risiko'!$G$9),'Lap ED'!A35,"")</f>
        <v/>
      </c>
      <c r="P42" t="str">
        <f>IF(AND('Lap ED'!G35='Peta Risiko'!$D$6,'Lap ED'!H35='Peta Risiko'!$H$9),'Lap ED'!A35,"")</f>
        <v/>
      </c>
      <c r="Q42" t="str">
        <f>IF(AND('Lap ED'!G35='Peta Risiko'!$D$6,'Lap ED'!H35='Peta Risiko'!$I$9),'Lap ED'!A35,"")</f>
        <v/>
      </c>
      <c r="R42" t="str">
        <f>IF(AND('Lap ED'!G35='Peta Risiko'!$D$7,'Lap ED'!H35='Peta Risiko'!$E$9),'Lap ED'!A35,"")</f>
        <v/>
      </c>
      <c r="S42" t="str">
        <f>IF(AND('Lap ED'!G35='Peta Risiko'!$D$7,'Lap ED'!H35='Peta Risiko'!$F$9),'Lap ED'!A35,"")</f>
        <v/>
      </c>
      <c r="T42" t="str">
        <f>IF(AND('Lap ED'!G35='Peta Risiko'!$D$7,'Lap ED'!H35='Peta Risiko'!$G$9),'Lap ED'!A35,"")</f>
        <v/>
      </c>
      <c r="U42" t="str">
        <f>IF(AND('Lap ED'!G35='Peta Risiko'!$D$7,'Lap ED'!H35='Peta Risiko'!$H$9),'Lap ED'!A35,"")</f>
        <v/>
      </c>
      <c r="V42" t="str">
        <f>IF(AND('Lap ED'!G35='Peta Risiko'!$D$7,'Lap ED'!H35='Peta Risiko'!$I$9),'Lap ED'!A35,"")</f>
        <v/>
      </c>
      <c r="W42" t="str">
        <f>IF(AND('Lap ED'!G35='Peta Risiko'!$D$8,'Lap ED'!H35='Peta Risiko'!$E$9),'Lap ED'!A35,"")</f>
        <v/>
      </c>
      <c r="X42" t="str">
        <f>IF(AND('Lap ED'!G35='Peta Risiko'!$D$8,'Lap ED'!H35='Peta Risiko'!$F$9),'Lap ED'!A35,"")</f>
        <v/>
      </c>
      <c r="Y42" t="str">
        <f>IF(AND('Lap ED'!G35='Peta Risiko'!$D$8,'Lap ED'!H35='Peta Risiko'!$G$9),'Lap ED'!A35,"")</f>
        <v/>
      </c>
      <c r="Z42" t="str">
        <f>IF(AND('Lap ED'!G35='Peta Risiko'!$D$8,'Lap ED'!H35='Peta Risiko'!$H$9),'Lap ED'!A35,"")</f>
        <v/>
      </c>
      <c r="AA42" t="str">
        <f>IF(AND('Lap ED'!G35='Peta Risiko'!$D$8,'Lap ED'!H35='Peta Risiko'!$I$9),'Lap ED'!A35,"")</f>
        <v/>
      </c>
    </row>
    <row r="43" spans="2:27" hidden="1" x14ac:dyDescent="0.25">
      <c r="B43">
        <v>29</v>
      </c>
      <c r="C43" t="str">
        <f>IF(AND('Lap ED'!G37='Peta Risiko'!$D$4,'Lap ED'!H37='Peta Risiko'!$E$9),'Lap ED'!A37,"")</f>
        <v/>
      </c>
      <c r="D43" t="str">
        <f>IF(AND('Lap ED'!G37='Peta Risiko'!$D$4,'Lap ED'!H37='Peta Risiko'!$F$9),'Lap ED'!A37,"")</f>
        <v/>
      </c>
      <c r="E43" t="str">
        <f>IF(AND('Lap ED'!G37='Peta Risiko'!$D$4,'Lap ED'!H37='Peta Risiko'!$G$9),'Lap ED'!A37,"")</f>
        <v/>
      </c>
      <c r="F43" t="str">
        <f>IF(AND('Lap ED'!G37='Peta Risiko'!$D$4,'Lap ED'!H37='Peta Risiko'!$H$9),'Lap ED'!A37,"")</f>
        <v/>
      </c>
      <c r="G43" t="str">
        <f>IF(AND('Lap ED'!G37='Peta Risiko'!$D$4,'Lap ED'!H37='Peta Risiko'!$I$9),'Lap ED'!A37,"")</f>
        <v/>
      </c>
      <c r="H43" t="str">
        <f>IF(AND('Lap ED'!G37='Peta Risiko'!$D$5,'Lap ED'!H37='Peta Risiko'!$E$9),'Lap ED'!A37,"")</f>
        <v/>
      </c>
      <c r="I43" t="str">
        <f>IF(AND('Lap ED'!G37='Peta Risiko'!$D$5,'Lap ED'!H37='Peta Risiko'!$F$9),'Lap ED'!A37,"")</f>
        <v/>
      </c>
      <c r="J43" t="str">
        <f>IF(AND('Lap ED'!G37='Peta Risiko'!$D$5,'Lap ED'!H37='Peta Risiko'!$G$9),'Lap ED'!A37,"")</f>
        <v/>
      </c>
      <c r="K43" t="str">
        <f>IF(AND('Lap ED'!G37='Peta Risiko'!$D$5,'Lap ED'!H37='Peta Risiko'!$H$9),'Lap ED'!A37,"")</f>
        <v/>
      </c>
      <c r="L43" t="str">
        <f>IF(AND('Lap ED'!G37='Peta Risiko'!$D$5,'Lap ED'!H37='Peta Risiko'!$I$9),'Lap ED'!A37,"")</f>
        <v/>
      </c>
      <c r="M43">
        <f>IF(AND('Lap ED'!G37='Peta Risiko'!$D$6,'Lap ED'!H37='Peta Risiko'!$E$9),'Lap ED'!A37,"")</f>
        <v>29</v>
      </c>
      <c r="N43" t="str">
        <f>IF(AND('Lap ED'!G37='Peta Risiko'!$D$6,'Lap ED'!H37='Peta Risiko'!$F$9),'Lap ED'!A37,"")</f>
        <v/>
      </c>
      <c r="O43" t="str">
        <f>IF(AND('Lap ED'!G37='Peta Risiko'!$D$6,'Lap ED'!H37='Peta Risiko'!$G$9),'Lap ED'!A37,"")</f>
        <v/>
      </c>
      <c r="P43" t="str">
        <f>IF(AND('Lap ED'!G37='Peta Risiko'!$D$6,'Lap ED'!H37='Peta Risiko'!$H$9),'Lap ED'!A37,"")</f>
        <v/>
      </c>
      <c r="Q43" t="str">
        <f>IF(AND('Lap ED'!G37='Peta Risiko'!$D$6,'Lap ED'!H37='Peta Risiko'!$I$9),'Lap ED'!A37,"")</f>
        <v/>
      </c>
      <c r="R43" t="str">
        <f>IF(AND('Lap ED'!G37='Peta Risiko'!$D$7,'Lap ED'!H37='Peta Risiko'!$E$9),'Lap ED'!A37,"")</f>
        <v/>
      </c>
      <c r="S43" t="str">
        <f>IF(AND('Lap ED'!G37='Peta Risiko'!$D$7,'Lap ED'!H37='Peta Risiko'!$F$9),'Lap ED'!A37,"")</f>
        <v/>
      </c>
      <c r="T43" t="str">
        <f>IF(AND('Lap ED'!G37='Peta Risiko'!$D$7,'Lap ED'!H37='Peta Risiko'!$G$9),'Lap ED'!A37,"")</f>
        <v/>
      </c>
      <c r="U43" t="str">
        <f>IF(AND('Lap ED'!G37='Peta Risiko'!$D$7,'Lap ED'!H37='Peta Risiko'!$H$9),'Lap ED'!A37,"")</f>
        <v/>
      </c>
      <c r="V43" t="str">
        <f>IF(AND('Lap ED'!G37='Peta Risiko'!$D$7,'Lap ED'!H37='Peta Risiko'!$I$9),'Lap ED'!A37,"")</f>
        <v/>
      </c>
      <c r="W43" t="str">
        <f>IF(AND('Lap ED'!G37='Peta Risiko'!$D$8,'Lap ED'!H37='Peta Risiko'!$E$9),'Lap ED'!A37,"")</f>
        <v/>
      </c>
      <c r="X43" t="str">
        <f>IF(AND('Lap ED'!G37='Peta Risiko'!$D$8,'Lap ED'!H37='Peta Risiko'!$F$9),'Lap ED'!A37,"")</f>
        <v/>
      </c>
      <c r="Y43" t="str">
        <f>IF(AND('Lap ED'!G37='Peta Risiko'!$D$8,'Lap ED'!H37='Peta Risiko'!$G$9),'Lap ED'!A37,"")</f>
        <v/>
      </c>
      <c r="Z43" t="str">
        <f>IF(AND('Lap ED'!G37='Peta Risiko'!$D$8,'Lap ED'!H37='Peta Risiko'!$H$9),'Lap ED'!A37,"")</f>
        <v/>
      </c>
      <c r="AA43" t="str">
        <f>IF(AND('Lap ED'!G37='Peta Risiko'!$D$8,'Lap ED'!H37='Peta Risiko'!$I$9),'Lap ED'!A37,"")</f>
        <v/>
      </c>
    </row>
    <row r="44" spans="2:27" hidden="1" x14ac:dyDescent="0.25">
      <c r="B44">
        <v>30</v>
      </c>
      <c r="C44" t="str">
        <f>IF(AND('Lap ED'!G38='Peta Risiko'!$D$4,'Lap ED'!H38='Peta Risiko'!$E$9),'Lap ED'!A38,"")</f>
        <v/>
      </c>
      <c r="D44" t="str">
        <f>IF(AND('Lap ED'!G38='Peta Risiko'!$D$4,'Lap ED'!H38='Peta Risiko'!$F$9),'Lap ED'!A38,"")</f>
        <v/>
      </c>
      <c r="E44" t="str">
        <f>IF(AND('Lap ED'!G38='Peta Risiko'!$D$4,'Lap ED'!H38='Peta Risiko'!$G$9),'Lap ED'!A38,"")</f>
        <v/>
      </c>
      <c r="F44" t="str">
        <f>IF(AND('Lap ED'!G38='Peta Risiko'!$D$4,'Lap ED'!H38='Peta Risiko'!$H$9),'Lap ED'!A38,"")</f>
        <v/>
      </c>
      <c r="G44" t="str">
        <f>IF(AND('Lap ED'!G38='Peta Risiko'!$D$4,'Lap ED'!H38='Peta Risiko'!$I$9),'Lap ED'!A38,"")</f>
        <v/>
      </c>
      <c r="H44" t="str">
        <f>IF(AND('Lap ED'!G38='Peta Risiko'!$D$5,'Lap ED'!H38='Peta Risiko'!$E$9),'Lap ED'!A38,"")</f>
        <v/>
      </c>
      <c r="I44" t="str">
        <f>IF(AND('Lap ED'!G38='Peta Risiko'!$D$5,'Lap ED'!H38='Peta Risiko'!$F$9),'Lap ED'!A38,"")</f>
        <v/>
      </c>
      <c r="J44" t="str">
        <f>IF(AND('Lap ED'!G38='Peta Risiko'!$D$5,'Lap ED'!H38='Peta Risiko'!$G$9),'Lap ED'!A38,"")</f>
        <v/>
      </c>
      <c r="K44" t="str">
        <f>IF(AND('Lap ED'!G38='Peta Risiko'!$D$5,'Lap ED'!H38='Peta Risiko'!$H$9),'Lap ED'!A38,"")</f>
        <v/>
      </c>
      <c r="L44" t="str">
        <f>IF(AND('Lap ED'!G38='Peta Risiko'!$D$5,'Lap ED'!H38='Peta Risiko'!$I$9),'Lap ED'!A38,"")</f>
        <v/>
      </c>
      <c r="M44">
        <f>IF(AND('Lap ED'!G38='Peta Risiko'!$D$6,'Lap ED'!H38='Peta Risiko'!$E$9),'Lap ED'!A38,"")</f>
        <v>30</v>
      </c>
      <c r="N44" t="str">
        <f>IF(AND('Lap ED'!G38='Peta Risiko'!$D$6,'Lap ED'!H38='Peta Risiko'!$F$9),'Lap ED'!A38,"")</f>
        <v/>
      </c>
      <c r="O44" t="str">
        <f>IF(AND('Lap ED'!G38='Peta Risiko'!$D$6,'Lap ED'!H38='Peta Risiko'!$G$9),'Lap ED'!A38,"")</f>
        <v/>
      </c>
      <c r="P44" t="str">
        <f>IF(AND('Lap ED'!G38='Peta Risiko'!$D$6,'Lap ED'!H38='Peta Risiko'!$H$9),'Lap ED'!A38,"")</f>
        <v/>
      </c>
      <c r="Q44" t="str">
        <f>IF(AND('Lap ED'!G38='Peta Risiko'!$D$6,'Lap ED'!H38='Peta Risiko'!$I$9),'Lap ED'!A38,"")</f>
        <v/>
      </c>
      <c r="R44" t="str">
        <f>IF(AND('Lap ED'!G38='Peta Risiko'!$D$7,'Lap ED'!H38='Peta Risiko'!$E$9),'Lap ED'!A38,"")</f>
        <v/>
      </c>
      <c r="S44" t="str">
        <f>IF(AND('Lap ED'!G38='Peta Risiko'!$D$7,'Lap ED'!H38='Peta Risiko'!$F$9),'Lap ED'!A38,"")</f>
        <v/>
      </c>
      <c r="T44" t="str">
        <f>IF(AND('Lap ED'!G38='Peta Risiko'!$D$7,'Lap ED'!H38='Peta Risiko'!$G$9),'Lap ED'!A38,"")</f>
        <v/>
      </c>
      <c r="U44" t="str">
        <f>IF(AND('Lap ED'!G38='Peta Risiko'!$D$7,'Lap ED'!H38='Peta Risiko'!$H$9),'Lap ED'!A38,"")</f>
        <v/>
      </c>
      <c r="V44" t="str">
        <f>IF(AND('Lap ED'!G38='Peta Risiko'!$D$7,'Lap ED'!H38='Peta Risiko'!$I$9),'Lap ED'!A38,"")</f>
        <v/>
      </c>
      <c r="W44" t="str">
        <f>IF(AND('Lap ED'!G38='Peta Risiko'!$D$8,'Lap ED'!H38='Peta Risiko'!$E$9),'Lap ED'!A38,"")</f>
        <v/>
      </c>
      <c r="X44" t="str">
        <f>IF(AND('Lap ED'!G38='Peta Risiko'!$D$8,'Lap ED'!H38='Peta Risiko'!$F$9),'Lap ED'!A38,"")</f>
        <v/>
      </c>
      <c r="Y44" t="str">
        <f>IF(AND('Lap ED'!G38='Peta Risiko'!$D$8,'Lap ED'!H38='Peta Risiko'!$G$9),'Lap ED'!A38,"")</f>
        <v/>
      </c>
      <c r="Z44" t="str">
        <f>IF(AND('Lap ED'!G38='Peta Risiko'!$D$8,'Lap ED'!H38='Peta Risiko'!$H$9),'Lap ED'!A38,"")</f>
        <v/>
      </c>
      <c r="AA44" t="str">
        <f>IF(AND('Lap ED'!G38='Peta Risiko'!$D$8,'Lap ED'!H38='Peta Risiko'!$I$9),'Lap ED'!A38,"")</f>
        <v/>
      </c>
    </row>
    <row r="45" spans="2:27" hidden="1" x14ac:dyDescent="0.25">
      <c r="B45">
        <v>31</v>
      </c>
      <c r="C45" t="str">
        <f>IF(AND('Lap ED'!G39='Peta Risiko'!$D$4,'Lap ED'!H39='Peta Risiko'!$E$9),'Lap ED'!A39,"")</f>
        <v/>
      </c>
      <c r="D45" t="str">
        <f>IF(AND('Lap ED'!G39='Peta Risiko'!$D$4,'Lap ED'!H39='Peta Risiko'!$F$9),'Lap ED'!A39,"")</f>
        <v/>
      </c>
      <c r="E45" t="str">
        <f>IF(AND('Lap ED'!G39='Peta Risiko'!$D$4,'Lap ED'!H39='Peta Risiko'!$G$9),'Lap ED'!A39,"")</f>
        <v/>
      </c>
      <c r="F45" t="str">
        <f>IF(AND('Lap ED'!G39='Peta Risiko'!$D$4,'Lap ED'!H39='Peta Risiko'!$H$9),'Lap ED'!A39,"")</f>
        <v/>
      </c>
      <c r="G45" t="str">
        <f>IF(AND('Lap ED'!G39='Peta Risiko'!$D$4,'Lap ED'!H39='Peta Risiko'!$I$9),'Lap ED'!A39,"")</f>
        <v/>
      </c>
      <c r="H45" t="str">
        <f>IF(AND('Lap ED'!G39='Peta Risiko'!$D$5,'Lap ED'!H39='Peta Risiko'!$E$9),'Lap ED'!A39,"")</f>
        <v/>
      </c>
      <c r="I45" t="str">
        <f>IF(AND('Lap ED'!G39='Peta Risiko'!$D$5,'Lap ED'!H39='Peta Risiko'!$F$9),'Lap ED'!A39,"")</f>
        <v/>
      </c>
      <c r="J45" t="str">
        <f>IF(AND('Lap ED'!G39='Peta Risiko'!$D$5,'Lap ED'!H39='Peta Risiko'!$G$9),'Lap ED'!A39,"")</f>
        <v/>
      </c>
      <c r="K45" t="str">
        <f>IF(AND('Lap ED'!G39='Peta Risiko'!$D$5,'Lap ED'!H39='Peta Risiko'!$H$9),'Lap ED'!A39,"")</f>
        <v/>
      </c>
      <c r="L45" t="str">
        <f>IF(AND('Lap ED'!G39='Peta Risiko'!$D$5,'Lap ED'!H39='Peta Risiko'!$I$9),'Lap ED'!A39,"")</f>
        <v/>
      </c>
      <c r="M45">
        <f>IF(AND('Lap ED'!G39='Peta Risiko'!$D$6,'Lap ED'!H39='Peta Risiko'!$E$9),'Lap ED'!A39,"")</f>
        <v>31</v>
      </c>
      <c r="N45" t="str">
        <f>IF(AND('Lap ED'!G39='Peta Risiko'!$D$6,'Lap ED'!H39='Peta Risiko'!$F$9),'Lap ED'!A39,"")</f>
        <v/>
      </c>
      <c r="O45" t="str">
        <f>IF(AND('Lap ED'!G39='Peta Risiko'!$D$6,'Lap ED'!H39='Peta Risiko'!$G$9),'Lap ED'!A39,"")</f>
        <v/>
      </c>
      <c r="P45" t="str">
        <f>IF(AND('Lap ED'!G39='Peta Risiko'!$D$6,'Lap ED'!H39='Peta Risiko'!$H$9),'Lap ED'!A39,"")</f>
        <v/>
      </c>
      <c r="Q45" t="str">
        <f>IF(AND('Lap ED'!G39='Peta Risiko'!$D$6,'Lap ED'!H39='Peta Risiko'!$I$9),'Lap ED'!A39,"")</f>
        <v/>
      </c>
      <c r="R45" t="str">
        <f>IF(AND('Lap ED'!G39='Peta Risiko'!$D$7,'Lap ED'!H39='Peta Risiko'!$E$9),'Lap ED'!A39,"")</f>
        <v/>
      </c>
      <c r="S45" t="str">
        <f>IF(AND('Lap ED'!G39='Peta Risiko'!$D$7,'Lap ED'!H39='Peta Risiko'!$F$9),'Lap ED'!A39,"")</f>
        <v/>
      </c>
      <c r="T45" t="str">
        <f>IF(AND('Lap ED'!G39='Peta Risiko'!$D$7,'Lap ED'!H39='Peta Risiko'!$G$9),'Lap ED'!A39,"")</f>
        <v/>
      </c>
      <c r="U45" t="str">
        <f>IF(AND('Lap ED'!G39='Peta Risiko'!$D$7,'Lap ED'!H39='Peta Risiko'!$H$9),'Lap ED'!A39,"")</f>
        <v/>
      </c>
      <c r="V45" t="str">
        <f>IF(AND('Lap ED'!G39='Peta Risiko'!$D$7,'Lap ED'!H39='Peta Risiko'!$I$9),'Lap ED'!A39,"")</f>
        <v/>
      </c>
      <c r="W45" t="str">
        <f>IF(AND('Lap ED'!G39='Peta Risiko'!$D$8,'Lap ED'!H39='Peta Risiko'!$E$9),'Lap ED'!A39,"")</f>
        <v/>
      </c>
      <c r="X45" t="str">
        <f>IF(AND('Lap ED'!G39='Peta Risiko'!$D$8,'Lap ED'!H39='Peta Risiko'!$F$9),'Lap ED'!A39,"")</f>
        <v/>
      </c>
      <c r="Y45" t="str">
        <f>IF(AND('Lap ED'!G39='Peta Risiko'!$D$8,'Lap ED'!H39='Peta Risiko'!$G$9),'Lap ED'!A39,"")</f>
        <v/>
      </c>
      <c r="Z45" t="str">
        <f>IF(AND('Lap ED'!G39='Peta Risiko'!$D$8,'Lap ED'!H39='Peta Risiko'!$H$9),'Lap ED'!A39,"")</f>
        <v/>
      </c>
      <c r="AA45" t="str">
        <f>IF(AND('Lap ED'!G39='Peta Risiko'!$D$8,'Lap ED'!H39='Peta Risiko'!$I$9),'Lap ED'!A39,"")</f>
        <v/>
      </c>
    </row>
    <row r="46" spans="2:27" hidden="1" x14ac:dyDescent="0.25">
      <c r="B46">
        <v>32</v>
      </c>
      <c r="C46" t="str">
        <f>IF(AND('Lap ED'!G40='Peta Risiko'!$D$4,'Lap ED'!H40='Peta Risiko'!$E$9),'Lap ED'!A40,"")</f>
        <v/>
      </c>
      <c r="D46" t="str">
        <f>IF(AND('Lap ED'!G40='Peta Risiko'!$D$4,'Lap ED'!H40='Peta Risiko'!$F$9),'Lap ED'!A40,"")</f>
        <v/>
      </c>
      <c r="E46" t="str">
        <f>IF(AND('Lap ED'!G40='Peta Risiko'!$D$4,'Lap ED'!H40='Peta Risiko'!$G$9),'Lap ED'!A40,"")</f>
        <v/>
      </c>
      <c r="F46" t="str">
        <f>IF(AND('Lap ED'!G40='Peta Risiko'!$D$4,'Lap ED'!H40='Peta Risiko'!$H$9),'Lap ED'!A40,"")</f>
        <v/>
      </c>
      <c r="G46" t="str">
        <f>IF(AND('Lap ED'!G40='Peta Risiko'!$D$4,'Lap ED'!H40='Peta Risiko'!$I$9),'Lap ED'!A40,"")</f>
        <v/>
      </c>
      <c r="H46" t="str">
        <f>IF(AND('Lap ED'!G40='Peta Risiko'!$D$5,'Lap ED'!H40='Peta Risiko'!$E$9),'Lap ED'!A40,"")</f>
        <v/>
      </c>
      <c r="I46" t="str">
        <f>IF(AND('Lap ED'!G40='Peta Risiko'!$D$5,'Lap ED'!H40='Peta Risiko'!$F$9),'Lap ED'!A40,"")</f>
        <v/>
      </c>
      <c r="J46" t="str">
        <f>IF(AND('Lap ED'!G40='Peta Risiko'!$D$5,'Lap ED'!H40='Peta Risiko'!$G$9),'Lap ED'!A40,"")</f>
        <v/>
      </c>
      <c r="K46" t="str">
        <f>IF(AND('Lap ED'!G40='Peta Risiko'!$D$5,'Lap ED'!H40='Peta Risiko'!$H$9),'Lap ED'!A40,"")</f>
        <v/>
      </c>
      <c r="L46" t="str">
        <f>IF(AND('Lap ED'!G40='Peta Risiko'!$D$5,'Lap ED'!H40='Peta Risiko'!$I$9),'Lap ED'!A40,"")</f>
        <v/>
      </c>
      <c r="M46">
        <f>IF(AND('Lap ED'!G40='Peta Risiko'!$D$6,'Lap ED'!H40='Peta Risiko'!$E$9),'Lap ED'!A40,"")</f>
        <v>32</v>
      </c>
      <c r="N46" t="str">
        <f>IF(AND('Lap ED'!G40='Peta Risiko'!$D$6,'Lap ED'!H40='Peta Risiko'!$F$9),'Lap ED'!A40,"")</f>
        <v/>
      </c>
      <c r="O46" t="str">
        <f>IF(AND('Lap ED'!G40='Peta Risiko'!$D$6,'Lap ED'!H40='Peta Risiko'!$G$9),'Lap ED'!A40,"")</f>
        <v/>
      </c>
      <c r="P46" t="str">
        <f>IF(AND('Lap ED'!G40='Peta Risiko'!$D$6,'Lap ED'!H40='Peta Risiko'!$H$9),'Lap ED'!A40,"")</f>
        <v/>
      </c>
      <c r="Q46" t="str">
        <f>IF(AND('Lap ED'!G40='Peta Risiko'!$D$6,'Lap ED'!H40='Peta Risiko'!$I$9),'Lap ED'!A40,"")</f>
        <v/>
      </c>
      <c r="R46" t="str">
        <f>IF(AND('Lap ED'!G40='Peta Risiko'!$D$7,'Lap ED'!H40='Peta Risiko'!$E$9),'Lap ED'!A40,"")</f>
        <v/>
      </c>
      <c r="S46" t="str">
        <f>IF(AND('Lap ED'!G40='Peta Risiko'!$D$7,'Lap ED'!H40='Peta Risiko'!$F$9),'Lap ED'!A40,"")</f>
        <v/>
      </c>
      <c r="T46" t="str">
        <f>IF(AND('Lap ED'!G40='Peta Risiko'!$D$7,'Lap ED'!H40='Peta Risiko'!$G$9),'Lap ED'!A40,"")</f>
        <v/>
      </c>
      <c r="U46" t="str">
        <f>IF(AND('Lap ED'!G40='Peta Risiko'!$D$7,'Lap ED'!H40='Peta Risiko'!$H$9),'Lap ED'!A40,"")</f>
        <v/>
      </c>
      <c r="V46" t="str">
        <f>IF(AND('Lap ED'!G40='Peta Risiko'!$D$7,'Lap ED'!H40='Peta Risiko'!$I$9),'Lap ED'!A40,"")</f>
        <v/>
      </c>
      <c r="W46" t="str">
        <f>IF(AND('Lap ED'!G40='Peta Risiko'!$D$8,'Lap ED'!H40='Peta Risiko'!$E$9),'Lap ED'!A40,"")</f>
        <v/>
      </c>
      <c r="X46" t="str">
        <f>IF(AND('Lap ED'!G40='Peta Risiko'!$D$8,'Lap ED'!H40='Peta Risiko'!$F$9),'Lap ED'!A40,"")</f>
        <v/>
      </c>
      <c r="Y46" t="str">
        <f>IF(AND('Lap ED'!G40='Peta Risiko'!$D$8,'Lap ED'!H40='Peta Risiko'!$G$9),'Lap ED'!A40,"")</f>
        <v/>
      </c>
      <c r="Z46" t="str">
        <f>IF(AND('Lap ED'!G40='Peta Risiko'!$D$8,'Lap ED'!H40='Peta Risiko'!$H$9),'Lap ED'!A40,"")</f>
        <v/>
      </c>
      <c r="AA46" t="str">
        <f>IF(AND('Lap ED'!G40='Peta Risiko'!$D$8,'Lap ED'!H40='Peta Risiko'!$I$9),'Lap ED'!A40,"")</f>
        <v/>
      </c>
    </row>
    <row r="47" spans="2:27" hidden="1" x14ac:dyDescent="0.25">
      <c r="B47">
        <v>33</v>
      </c>
      <c r="C47" t="str">
        <f>IF(AND('Lap ED'!G41='Peta Risiko'!$D$4,'Lap ED'!H41='Peta Risiko'!$E$9),'Lap ED'!A41,"")</f>
        <v/>
      </c>
      <c r="D47" t="str">
        <f>IF(AND('Lap ED'!G41='Peta Risiko'!$D$4,'Lap ED'!H41='Peta Risiko'!$F$9),'Lap ED'!A41,"")</f>
        <v/>
      </c>
      <c r="E47" t="str">
        <f>IF(AND('Lap ED'!G41='Peta Risiko'!$D$4,'Lap ED'!H41='Peta Risiko'!$G$9),'Lap ED'!A41,"")</f>
        <v/>
      </c>
      <c r="F47" t="str">
        <f>IF(AND('Lap ED'!G41='Peta Risiko'!$D$4,'Lap ED'!H41='Peta Risiko'!$H$9),'Lap ED'!A41,"")</f>
        <v/>
      </c>
      <c r="G47" t="str">
        <f>IF(AND('Lap ED'!G41='Peta Risiko'!$D$4,'Lap ED'!H41='Peta Risiko'!$I$9),'Lap ED'!A41,"")</f>
        <v/>
      </c>
      <c r="H47" t="str">
        <f>IF(AND('Lap ED'!G41='Peta Risiko'!$D$5,'Lap ED'!H41='Peta Risiko'!$E$9),'Lap ED'!A41,"")</f>
        <v/>
      </c>
      <c r="I47" t="str">
        <f>IF(AND('Lap ED'!G41='Peta Risiko'!$D$5,'Lap ED'!H41='Peta Risiko'!$F$9),'Lap ED'!A41,"")</f>
        <v/>
      </c>
      <c r="J47" t="str">
        <f>IF(AND('Lap ED'!G41='Peta Risiko'!$D$5,'Lap ED'!H41='Peta Risiko'!$G$9),'Lap ED'!A41,"")</f>
        <v/>
      </c>
      <c r="K47" t="str">
        <f>IF(AND('Lap ED'!G41='Peta Risiko'!$D$5,'Lap ED'!H41='Peta Risiko'!$H$9),'Lap ED'!A41,"")</f>
        <v/>
      </c>
      <c r="L47" t="str">
        <f>IF(AND('Lap ED'!G41='Peta Risiko'!$D$5,'Lap ED'!H41='Peta Risiko'!$I$9),'Lap ED'!A41,"")</f>
        <v/>
      </c>
      <c r="M47">
        <f>IF(AND('Lap ED'!G41='Peta Risiko'!$D$6,'Lap ED'!H41='Peta Risiko'!$E$9),'Lap ED'!A41,"")</f>
        <v>33</v>
      </c>
      <c r="N47" t="str">
        <f>IF(AND('Lap ED'!G41='Peta Risiko'!$D$6,'Lap ED'!H41='Peta Risiko'!$F$9),'Lap ED'!A41,"")</f>
        <v/>
      </c>
      <c r="O47" t="str">
        <f>IF(AND('Lap ED'!G41='Peta Risiko'!$D$6,'Lap ED'!H41='Peta Risiko'!$G$9),'Lap ED'!A41,"")</f>
        <v/>
      </c>
      <c r="P47" t="str">
        <f>IF(AND('Lap ED'!G41='Peta Risiko'!$D$6,'Lap ED'!H41='Peta Risiko'!$H$9),'Lap ED'!A41,"")</f>
        <v/>
      </c>
      <c r="Q47" t="str">
        <f>IF(AND('Lap ED'!G41='Peta Risiko'!$D$6,'Lap ED'!H41='Peta Risiko'!$I$9),'Lap ED'!A41,"")</f>
        <v/>
      </c>
      <c r="R47" t="str">
        <f>IF(AND('Lap ED'!G41='Peta Risiko'!$D$7,'Lap ED'!H41='Peta Risiko'!$E$9),'Lap ED'!A41,"")</f>
        <v/>
      </c>
      <c r="S47" t="str">
        <f>IF(AND('Lap ED'!G41='Peta Risiko'!$D$7,'Lap ED'!H41='Peta Risiko'!$F$9),'Lap ED'!A41,"")</f>
        <v/>
      </c>
      <c r="T47" t="str">
        <f>IF(AND('Lap ED'!G41='Peta Risiko'!$D$7,'Lap ED'!H41='Peta Risiko'!$G$9),'Lap ED'!A41,"")</f>
        <v/>
      </c>
      <c r="U47" t="str">
        <f>IF(AND('Lap ED'!G41='Peta Risiko'!$D$7,'Lap ED'!H41='Peta Risiko'!$H$9),'Lap ED'!A41,"")</f>
        <v/>
      </c>
      <c r="V47" t="str">
        <f>IF(AND('Lap ED'!G41='Peta Risiko'!$D$7,'Lap ED'!H41='Peta Risiko'!$I$9),'Lap ED'!A41,"")</f>
        <v/>
      </c>
      <c r="W47" t="str">
        <f>IF(AND('Lap ED'!G41='Peta Risiko'!$D$8,'Lap ED'!H41='Peta Risiko'!$E$9),'Lap ED'!A41,"")</f>
        <v/>
      </c>
      <c r="X47" t="str">
        <f>IF(AND('Lap ED'!G41='Peta Risiko'!$D$8,'Lap ED'!H41='Peta Risiko'!$F$9),'Lap ED'!A41,"")</f>
        <v/>
      </c>
      <c r="Y47" t="str">
        <f>IF(AND('Lap ED'!G41='Peta Risiko'!$D$8,'Lap ED'!H41='Peta Risiko'!$G$9),'Lap ED'!A41,"")</f>
        <v/>
      </c>
      <c r="Z47" t="str">
        <f>IF(AND('Lap ED'!G41='Peta Risiko'!$D$8,'Lap ED'!H41='Peta Risiko'!$H$9),'Lap ED'!A41,"")</f>
        <v/>
      </c>
      <c r="AA47" t="str">
        <f>IF(AND('Lap ED'!G41='Peta Risiko'!$D$8,'Lap ED'!H41='Peta Risiko'!$I$9),'Lap ED'!A41,"")</f>
        <v/>
      </c>
    </row>
    <row r="48" spans="2:27" hidden="1" x14ac:dyDescent="0.25">
      <c r="B48">
        <v>34</v>
      </c>
      <c r="C48" t="str">
        <f>IF(AND('Lap ED'!G42='Peta Risiko'!$D$4,'Lap ED'!H42='Peta Risiko'!$E$9),'Lap ED'!A42,"")</f>
        <v/>
      </c>
      <c r="D48" t="str">
        <f>IF(AND('Lap ED'!G42='Peta Risiko'!$D$4,'Lap ED'!H42='Peta Risiko'!$F$9),'Lap ED'!A42,"")</f>
        <v/>
      </c>
      <c r="E48" t="str">
        <f>IF(AND('Lap ED'!G42='Peta Risiko'!$D$4,'Lap ED'!H42='Peta Risiko'!$G$9),'Lap ED'!A42,"")</f>
        <v/>
      </c>
      <c r="F48" t="str">
        <f>IF(AND('Lap ED'!G42='Peta Risiko'!$D$4,'Lap ED'!H42='Peta Risiko'!$H$9),'Lap ED'!A42,"")</f>
        <v/>
      </c>
      <c r="G48" t="str">
        <f>IF(AND('Lap ED'!G42='Peta Risiko'!$D$4,'Lap ED'!H42='Peta Risiko'!$I$9),'Lap ED'!A42,"")</f>
        <v/>
      </c>
      <c r="H48" t="str">
        <f>IF(AND('Lap ED'!G42='Peta Risiko'!$D$5,'Lap ED'!H42='Peta Risiko'!$E$9),'Lap ED'!A42,"")</f>
        <v/>
      </c>
      <c r="I48" t="str">
        <f>IF(AND('Lap ED'!G42='Peta Risiko'!$D$5,'Lap ED'!H42='Peta Risiko'!$F$9),'Lap ED'!A42,"")</f>
        <v/>
      </c>
      <c r="J48" t="str">
        <f>IF(AND('Lap ED'!G42='Peta Risiko'!$D$5,'Lap ED'!H42='Peta Risiko'!$G$9),'Lap ED'!A42,"")</f>
        <v/>
      </c>
      <c r="K48" t="str">
        <f>IF(AND('Lap ED'!G42='Peta Risiko'!$D$5,'Lap ED'!H42='Peta Risiko'!$H$9),'Lap ED'!A42,"")</f>
        <v/>
      </c>
      <c r="L48" t="str">
        <f>IF(AND('Lap ED'!G42='Peta Risiko'!$D$5,'Lap ED'!H42='Peta Risiko'!$I$9),'Lap ED'!A42,"")</f>
        <v/>
      </c>
      <c r="M48">
        <f>IF(AND('Lap ED'!G42='Peta Risiko'!$D$6,'Lap ED'!H42='Peta Risiko'!$E$9),'Lap ED'!A42,"")</f>
        <v>34</v>
      </c>
      <c r="N48" t="str">
        <f>IF(AND('Lap ED'!G42='Peta Risiko'!$D$6,'Lap ED'!H42='Peta Risiko'!$F$9),'Lap ED'!A42,"")</f>
        <v/>
      </c>
      <c r="O48" t="str">
        <f>IF(AND('Lap ED'!G42='Peta Risiko'!$D$6,'Lap ED'!H42='Peta Risiko'!$G$9),'Lap ED'!A42,"")</f>
        <v/>
      </c>
      <c r="P48" t="str">
        <f>IF(AND('Lap ED'!G42='Peta Risiko'!$D$6,'Lap ED'!H42='Peta Risiko'!$H$9),'Lap ED'!A42,"")</f>
        <v/>
      </c>
      <c r="Q48" t="str">
        <f>IF(AND('Lap ED'!G42='Peta Risiko'!$D$6,'Lap ED'!H42='Peta Risiko'!$I$9),'Lap ED'!A42,"")</f>
        <v/>
      </c>
      <c r="R48" t="str">
        <f>IF(AND('Lap ED'!G42='Peta Risiko'!$D$7,'Lap ED'!H42='Peta Risiko'!$E$9),'Lap ED'!A42,"")</f>
        <v/>
      </c>
      <c r="S48" t="str">
        <f>IF(AND('Lap ED'!G42='Peta Risiko'!$D$7,'Lap ED'!H42='Peta Risiko'!$F$9),'Lap ED'!A42,"")</f>
        <v/>
      </c>
      <c r="T48" t="str">
        <f>IF(AND('Lap ED'!G42='Peta Risiko'!$D$7,'Lap ED'!H42='Peta Risiko'!$G$9),'Lap ED'!A42,"")</f>
        <v/>
      </c>
      <c r="U48" t="str">
        <f>IF(AND('Lap ED'!G42='Peta Risiko'!$D$7,'Lap ED'!H42='Peta Risiko'!$H$9),'Lap ED'!A42,"")</f>
        <v/>
      </c>
      <c r="V48" t="str">
        <f>IF(AND('Lap ED'!G42='Peta Risiko'!$D$7,'Lap ED'!H42='Peta Risiko'!$I$9),'Lap ED'!A42,"")</f>
        <v/>
      </c>
      <c r="W48" t="str">
        <f>IF(AND('Lap ED'!G42='Peta Risiko'!$D$8,'Lap ED'!H42='Peta Risiko'!$E$9),'Lap ED'!A42,"")</f>
        <v/>
      </c>
      <c r="X48" t="str">
        <f>IF(AND('Lap ED'!G42='Peta Risiko'!$D$8,'Lap ED'!H42='Peta Risiko'!$F$9),'Lap ED'!A42,"")</f>
        <v/>
      </c>
      <c r="Y48" t="str">
        <f>IF(AND('Lap ED'!G42='Peta Risiko'!$D$8,'Lap ED'!H42='Peta Risiko'!$G$9),'Lap ED'!A42,"")</f>
        <v/>
      </c>
      <c r="Z48" t="str">
        <f>IF(AND('Lap ED'!G42='Peta Risiko'!$D$8,'Lap ED'!H42='Peta Risiko'!$H$9),'Lap ED'!A42,"")</f>
        <v/>
      </c>
      <c r="AA48" t="str">
        <f>IF(AND('Lap ED'!G42='Peta Risiko'!$D$8,'Lap ED'!H42='Peta Risiko'!$I$9),'Lap ED'!A42,"")</f>
        <v/>
      </c>
    </row>
    <row r="49" spans="2:27" hidden="1" x14ac:dyDescent="0.25">
      <c r="B49">
        <v>35</v>
      </c>
      <c r="C49" t="str">
        <f>IF(AND('Lap ED'!G43='Peta Risiko'!$D$4,'Lap ED'!H43='Peta Risiko'!$E$9),'Lap ED'!A43,"")</f>
        <v/>
      </c>
      <c r="D49" t="str">
        <f>IF(AND('Lap ED'!G43='Peta Risiko'!$D$4,'Lap ED'!H43='Peta Risiko'!$F$9),'Lap ED'!A43,"")</f>
        <v/>
      </c>
      <c r="E49" t="str">
        <f>IF(AND('Lap ED'!G43='Peta Risiko'!$D$4,'Lap ED'!H43='Peta Risiko'!$G$9),'Lap ED'!A43,"")</f>
        <v/>
      </c>
      <c r="F49" t="str">
        <f>IF(AND('Lap ED'!G43='Peta Risiko'!$D$4,'Lap ED'!H43='Peta Risiko'!$H$9),'Lap ED'!A43,"")</f>
        <v/>
      </c>
      <c r="G49" t="str">
        <f>IF(AND('Lap ED'!G43='Peta Risiko'!$D$4,'Lap ED'!H43='Peta Risiko'!$I$9),'Lap ED'!A43,"")</f>
        <v/>
      </c>
      <c r="H49" t="str">
        <f>IF(AND('Lap ED'!G43='Peta Risiko'!$D$5,'Lap ED'!H43='Peta Risiko'!$E$9),'Lap ED'!A43,"")</f>
        <v/>
      </c>
      <c r="I49" t="str">
        <f>IF(AND('Lap ED'!G43='Peta Risiko'!$D$5,'Lap ED'!H43='Peta Risiko'!$F$9),'Lap ED'!A43,"")</f>
        <v/>
      </c>
      <c r="J49" t="str">
        <f>IF(AND('Lap ED'!G43='Peta Risiko'!$D$5,'Lap ED'!H43='Peta Risiko'!$G$9),'Lap ED'!A43,"")</f>
        <v/>
      </c>
      <c r="K49" t="str">
        <f>IF(AND('Lap ED'!G43='Peta Risiko'!$D$5,'Lap ED'!H43='Peta Risiko'!$H$9),'Lap ED'!A43,"")</f>
        <v/>
      </c>
      <c r="L49" t="str">
        <f>IF(AND('Lap ED'!G43='Peta Risiko'!$D$5,'Lap ED'!H43='Peta Risiko'!$I$9),'Lap ED'!A43,"")</f>
        <v/>
      </c>
      <c r="M49">
        <f>IF(AND('Lap ED'!G43='Peta Risiko'!$D$6,'Lap ED'!H43='Peta Risiko'!$E$9),'Lap ED'!A43,"")</f>
        <v>35</v>
      </c>
      <c r="N49" t="str">
        <f>IF(AND('Lap ED'!G43='Peta Risiko'!$D$6,'Lap ED'!H43='Peta Risiko'!$F$9),'Lap ED'!A43,"")</f>
        <v/>
      </c>
      <c r="O49" t="str">
        <f>IF(AND('Lap ED'!G43='Peta Risiko'!$D$6,'Lap ED'!H43='Peta Risiko'!$G$9),'Lap ED'!A43,"")</f>
        <v/>
      </c>
      <c r="P49" t="str">
        <f>IF(AND('Lap ED'!G43='Peta Risiko'!$D$6,'Lap ED'!H43='Peta Risiko'!$H$9),'Lap ED'!A43,"")</f>
        <v/>
      </c>
      <c r="Q49" t="str">
        <f>IF(AND('Lap ED'!G43='Peta Risiko'!$D$6,'Lap ED'!H43='Peta Risiko'!$I$9),'Lap ED'!A43,"")</f>
        <v/>
      </c>
      <c r="R49" t="str">
        <f>IF(AND('Lap ED'!G43='Peta Risiko'!$D$7,'Lap ED'!H43='Peta Risiko'!$E$9),'Lap ED'!A43,"")</f>
        <v/>
      </c>
      <c r="S49" t="str">
        <f>IF(AND('Lap ED'!G43='Peta Risiko'!$D$7,'Lap ED'!H43='Peta Risiko'!$F$9),'Lap ED'!A43,"")</f>
        <v/>
      </c>
      <c r="T49" t="str">
        <f>IF(AND('Lap ED'!G43='Peta Risiko'!$D$7,'Lap ED'!H43='Peta Risiko'!$G$9),'Lap ED'!A43,"")</f>
        <v/>
      </c>
      <c r="U49" t="str">
        <f>IF(AND('Lap ED'!G43='Peta Risiko'!$D$7,'Lap ED'!H43='Peta Risiko'!$H$9),'Lap ED'!A43,"")</f>
        <v/>
      </c>
      <c r="V49" t="str">
        <f>IF(AND('Lap ED'!G43='Peta Risiko'!$D$7,'Lap ED'!H43='Peta Risiko'!$I$9),'Lap ED'!A43,"")</f>
        <v/>
      </c>
      <c r="W49" t="str">
        <f>IF(AND('Lap ED'!G43='Peta Risiko'!$D$8,'Lap ED'!H43='Peta Risiko'!$E$9),'Lap ED'!A43,"")</f>
        <v/>
      </c>
      <c r="X49" t="str">
        <f>IF(AND('Lap ED'!G43='Peta Risiko'!$D$8,'Lap ED'!H43='Peta Risiko'!$F$9),'Lap ED'!A43,"")</f>
        <v/>
      </c>
      <c r="Y49" t="str">
        <f>IF(AND('Lap ED'!G43='Peta Risiko'!$D$8,'Lap ED'!H43='Peta Risiko'!$G$9),'Lap ED'!A43,"")</f>
        <v/>
      </c>
      <c r="Z49" t="str">
        <f>IF(AND('Lap ED'!G43='Peta Risiko'!$D$8,'Lap ED'!H43='Peta Risiko'!$H$9),'Lap ED'!A43,"")</f>
        <v/>
      </c>
      <c r="AA49" t="str">
        <f>IF(AND('Lap ED'!G43='Peta Risiko'!$D$8,'Lap ED'!H43='Peta Risiko'!$I$9),'Lap ED'!A43,"")</f>
        <v/>
      </c>
    </row>
    <row r="50" spans="2:27" hidden="1" x14ac:dyDescent="0.25">
      <c r="B50">
        <v>36</v>
      </c>
      <c r="C50" t="str">
        <f>IF(AND('Lap ED'!G44='Peta Risiko'!$D$4,'Lap ED'!H44='Peta Risiko'!$E$9),'Lap ED'!A44,"")</f>
        <v/>
      </c>
      <c r="D50" t="str">
        <f>IF(AND('Lap ED'!G44='Peta Risiko'!$D$4,'Lap ED'!H44='Peta Risiko'!$F$9),'Lap ED'!A44,"")</f>
        <v/>
      </c>
      <c r="E50" t="str">
        <f>IF(AND('Lap ED'!G44='Peta Risiko'!$D$4,'Lap ED'!H44='Peta Risiko'!$G$9),'Lap ED'!A44,"")</f>
        <v/>
      </c>
      <c r="F50" t="str">
        <f>IF(AND('Lap ED'!G44='Peta Risiko'!$D$4,'Lap ED'!H44='Peta Risiko'!$H$9),'Lap ED'!A44,"")</f>
        <v/>
      </c>
      <c r="G50" t="str">
        <f>IF(AND('Lap ED'!G44='Peta Risiko'!$D$4,'Lap ED'!H44='Peta Risiko'!$I$9),'Lap ED'!A44,"")</f>
        <v/>
      </c>
      <c r="H50" t="str">
        <f>IF(AND('Lap ED'!G44='Peta Risiko'!$D$5,'Lap ED'!H44='Peta Risiko'!$E$9),'Lap ED'!A44,"")</f>
        <v/>
      </c>
      <c r="I50" t="str">
        <f>IF(AND('Lap ED'!G44='Peta Risiko'!$D$5,'Lap ED'!H44='Peta Risiko'!$F$9),'Lap ED'!A44,"")</f>
        <v/>
      </c>
      <c r="J50" t="str">
        <f>IF(AND('Lap ED'!G44='Peta Risiko'!$D$5,'Lap ED'!H44='Peta Risiko'!$G$9),'Lap ED'!A44,"")</f>
        <v/>
      </c>
      <c r="K50" t="str">
        <f>IF(AND('Lap ED'!G44='Peta Risiko'!$D$5,'Lap ED'!H44='Peta Risiko'!$H$9),'Lap ED'!A44,"")</f>
        <v/>
      </c>
      <c r="L50" t="str">
        <f>IF(AND('Lap ED'!G44='Peta Risiko'!$D$5,'Lap ED'!H44='Peta Risiko'!$I$9),'Lap ED'!A44,"")</f>
        <v/>
      </c>
      <c r="M50">
        <f>IF(AND('Lap ED'!G44='Peta Risiko'!$D$6,'Lap ED'!H44='Peta Risiko'!$E$9),'Lap ED'!A44,"")</f>
        <v>36</v>
      </c>
      <c r="N50" t="str">
        <f>IF(AND('Lap ED'!G44='Peta Risiko'!$D$6,'Lap ED'!H44='Peta Risiko'!$F$9),'Lap ED'!A44,"")</f>
        <v/>
      </c>
      <c r="O50" t="str">
        <f>IF(AND('Lap ED'!G44='Peta Risiko'!$D$6,'Lap ED'!H44='Peta Risiko'!$G$9),'Lap ED'!A44,"")</f>
        <v/>
      </c>
      <c r="P50" t="str">
        <f>IF(AND('Lap ED'!G44='Peta Risiko'!$D$6,'Lap ED'!H44='Peta Risiko'!$H$9),'Lap ED'!A44,"")</f>
        <v/>
      </c>
      <c r="Q50" t="str">
        <f>IF(AND('Lap ED'!G44='Peta Risiko'!$D$6,'Lap ED'!H44='Peta Risiko'!$I$9),'Lap ED'!A44,"")</f>
        <v/>
      </c>
      <c r="R50" t="str">
        <f>IF(AND('Lap ED'!G44='Peta Risiko'!$D$7,'Lap ED'!H44='Peta Risiko'!$E$9),'Lap ED'!A44,"")</f>
        <v/>
      </c>
      <c r="S50" t="str">
        <f>IF(AND('Lap ED'!G44='Peta Risiko'!$D$7,'Lap ED'!H44='Peta Risiko'!$F$9),'Lap ED'!A44,"")</f>
        <v/>
      </c>
      <c r="T50" t="str">
        <f>IF(AND('Lap ED'!G44='Peta Risiko'!$D$7,'Lap ED'!H44='Peta Risiko'!$G$9),'Lap ED'!A44,"")</f>
        <v/>
      </c>
      <c r="U50" t="str">
        <f>IF(AND('Lap ED'!G44='Peta Risiko'!$D$7,'Lap ED'!H44='Peta Risiko'!$H$9),'Lap ED'!A44,"")</f>
        <v/>
      </c>
      <c r="V50" t="str">
        <f>IF(AND('Lap ED'!G44='Peta Risiko'!$D$7,'Lap ED'!H44='Peta Risiko'!$I$9),'Lap ED'!A44,"")</f>
        <v/>
      </c>
      <c r="W50" t="str">
        <f>IF(AND('Lap ED'!G44='Peta Risiko'!$D$8,'Lap ED'!H44='Peta Risiko'!$E$9),'Lap ED'!A44,"")</f>
        <v/>
      </c>
      <c r="X50" t="str">
        <f>IF(AND('Lap ED'!G44='Peta Risiko'!$D$8,'Lap ED'!H44='Peta Risiko'!$F$9),'Lap ED'!A44,"")</f>
        <v/>
      </c>
      <c r="Y50" t="str">
        <f>IF(AND('Lap ED'!G44='Peta Risiko'!$D$8,'Lap ED'!H44='Peta Risiko'!$G$9),'Lap ED'!A44,"")</f>
        <v/>
      </c>
      <c r="Z50" t="str">
        <f>IF(AND('Lap ED'!G44='Peta Risiko'!$D$8,'Lap ED'!H44='Peta Risiko'!$H$9),'Lap ED'!A44,"")</f>
        <v/>
      </c>
      <c r="AA50" t="str">
        <f>IF(AND('Lap ED'!G44='Peta Risiko'!$D$8,'Lap ED'!H44='Peta Risiko'!$I$9),'Lap ED'!A44,"")</f>
        <v/>
      </c>
    </row>
    <row r="51" spans="2:27" hidden="1" x14ac:dyDescent="0.25">
      <c r="B51">
        <v>37</v>
      </c>
      <c r="C51" t="str">
        <f>IF(AND('Lap ED'!G45='Peta Risiko'!$D$4,'Lap ED'!H45='Peta Risiko'!$E$9),'Lap ED'!A45,"")</f>
        <v/>
      </c>
      <c r="D51" t="str">
        <f>IF(AND('Lap ED'!G45='Peta Risiko'!$D$4,'Lap ED'!H45='Peta Risiko'!$F$9),'Lap ED'!A45,"")</f>
        <v/>
      </c>
      <c r="E51" t="str">
        <f>IF(AND('Lap ED'!G45='Peta Risiko'!$D$4,'Lap ED'!H45='Peta Risiko'!$G$9),'Lap ED'!A45,"")</f>
        <v/>
      </c>
      <c r="F51" t="str">
        <f>IF(AND('Lap ED'!G45='Peta Risiko'!$D$4,'Lap ED'!H45='Peta Risiko'!$H$9),'Lap ED'!A45,"")</f>
        <v/>
      </c>
      <c r="G51" t="str">
        <f>IF(AND('Lap ED'!G45='Peta Risiko'!$D$4,'Lap ED'!H45='Peta Risiko'!$I$9),'Lap ED'!A45,"")</f>
        <v/>
      </c>
      <c r="H51" t="str">
        <f>IF(AND('Lap ED'!G45='Peta Risiko'!$D$5,'Lap ED'!H45='Peta Risiko'!$E$9),'Lap ED'!A45,"")</f>
        <v/>
      </c>
      <c r="I51" t="str">
        <f>IF(AND('Lap ED'!G45='Peta Risiko'!$D$5,'Lap ED'!H45='Peta Risiko'!$F$9),'Lap ED'!A45,"")</f>
        <v/>
      </c>
      <c r="J51" t="str">
        <f>IF(AND('Lap ED'!G45='Peta Risiko'!$D$5,'Lap ED'!H45='Peta Risiko'!$G$9),'Lap ED'!A45,"")</f>
        <v/>
      </c>
      <c r="K51" t="str">
        <f>IF(AND('Lap ED'!G45='Peta Risiko'!$D$5,'Lap ED'!H45='Peta Risiko'!$H$9),'Lap ED'!A45,"")</f>
        <v/>
      </c>
      <c r="L51" t="str">
        <f>IF(AND('Lap ED'!G45='Peta Risiko'!$D$5,'Lap ED'!H45='Peta Risiko'!$I$9),'Lap ED'!A45,"")</f>
        <v/>
      </c>
      <c r="M51">
        <f>IF(AND('Lap ED'!G45='Peta Risiko'!$D$6,'Lap ED'!H45='Peta Risiko'!$E$9),'Lap ED'!A45,"")</f>
        <v>37</v>
      </c>
      <c r="N51" t="str">
        <f>IF(AND('Lap ED'!G45='Peta Risiko'!$D$6,'Lap ED'!H45='Peta Risiko'!$F$9),'Lap ED'!A45,"")</f>
        <v/>
      </c>
      <c r="O51" t="str">
        <f>IF(AND('Lap ED'!G45='Peta Risiko'!$D$6,'Lap ED'!H45='Peta Risiko'!$G$9),'Lap ED'!A45,"")</f>
        <v/>
      </c>
      <c r="P51" t="str">
        <f>IF(AND('Lap ED'!G45='Peta Risiko'!$D$6,'Lap ED'!H45='Peta Risiko'!$H$9),'Lap ED'!A45,"")</f>
        <v/>
      </c>
      <c r="Q51" t="str">
        <f>IF(AND('Lap ED'!G45='Peta Risiko'!$D$6,'Lap ED'!H45='Peta Risiko'!$I$9),'Lap ED'!A45,"")</f>
        <v/>
      </c>
      <c r="R51" t="str">
        <f>IF(AND('Lap ED'!G45='Peta Risiko'!$D$7,'Lap ED'!H45='Peta Risiko'!$E$9),'Lap ED'!A45,"")</f>
        <v/>
      </c>
      <c r="S51" t="str">
        <f>IF(AND('Lap ED'!G45='Peta Risiko'!$D$7,'Lap ED'!H45='Peta Risiko'!$F$9),'Lap ED'!A45,"")</f>
        <v/>
      </c>
      <c r="T51" t="str">
        <f>IF(AND('Lap ED'!G45='Peta Risiko'!$D$7,'Lap ED'!H45='Peta Risiko'!$G$9),'Lap ED'!A45,"")</f>
        <v/>
      </c>
      <c r="U51" t="str">
        <f>IF(AND('Lap ED'!G45='Peta Risiko'!$D$7,'Lap ED'!H45='Peta Risiko'!$H$9),'Lap ED'!A45,"")</f>
        <v/>
      </c>
      <c r="V51" t="str">
        <f>IF(AND('Lap ED'!G45='Peta Risiko'!$D$7,'Lap ED'!H45='Peta Risiko'!$I$9),'Lap ED'!A45,"")</f>
        <v/>
      </c>
      <c r="W51" t="str">
        <f>IF(AND('Lap ED'!G45='Peta Risiko'!$D$8,'Lap ED'!H45='Peta Risiko'!$E$9),'Lap ED'!A45,"")</f>
        <v/>
      </c>
      <c r="X51" t="str">
        <f>IF(AND('Lap ED'!G45='Peta Risiko'!$D$8,'Lap ED'!H45='Peta Risiko'!$F$9),'Lap ED'!A45,"")</f>
        <v/>
      </c>
      <c r="Y51" t="str">
        <f>IF(AND('Lap ED'!G45='Peta Risiko'!$D$8,'Lap ED'!H45='Peta Risiko'!$G$9),'Lap ED'!A45,"")</f>
        <v/>
      </c>
      <c r="Z51" t="str">
        <f>IF(AND('Lap ED'!G45='Peta Risiko'!$D$8,'Lap ED'!H45='Peta Risiko'!$H$9),'Lap ED'!A45,"")</f>
        <v/>
      </c>
      <c r="AA51" t="str">
        <f>IF(AND('Lap ED'!G45='Peta Risiko'!$D$8,'Lap ED'!H45='Peta Risiko'!$I$9),'Lap ED'!A45,"")</f>
        <v/>
      </c>
    </row>
    <row r="52" spans="2:27" hidden="1" x14ac:dyDescent="0.25">
      <c r="B52">
        <v>38</v>
      </c>
      <c r="C52" t="str">
        <f>IF(AND('Lap ED'!G46='Peta Risiko'!$D$4,'Lap ED'!H46='Peta Risiko'!$E$9),'Lap ED'!A46,"")</f>
        <v/>
      </c>
      <c r="D52" t="str">
        <f>IF(AND('Lap ED'!G46='Peta Risiko'!$D$4,'Lap ED'!H46='Peta Risiko'!$F$9),'Lap ED'!A46,"")</f>
        <v/>
      </c>
      <c r="E52" t="str">
        <f>IF(AND('Lap ED'!G46='Peta Risiko'!$D$4,'Lap ED'!H46='Peta Risiko'!$G$9),'Lap ED'!A46,"")</f>
        <v/>
      </c>
      <c r="F52" t="str">
        <f>IF(AND('Lap ED'!G46='Peta Risiko'!$D$4,'Lap ED'!H46='Peta Risiko'!$H$9),'Lap ED'!A46,"")</f>
        <v/>
      </c>
      <c r="G52" t="str">
        <f>IF(AND('Lap ED'!G46='Peta Risiko'!$D$4,'Lap ED'!H46='Peta Risiko'!$I$9),'Lap ED'!A46,"")</f>
        <v/>
      </c>
      <c r="H52" t="str">
        <f>IF(AND('Lap ED'!G46='Peta Risiko'!$D$5,'Lap ED'!H46='Peta Risiko'!$E$9),'Lap ED'!A46,"")</f>
        <v/>
      </c>
      <c r="I52" t="str">
        <f>IF(AND('Lap ED'!G46='Peta Risiko'!$D$5,'Lap ED'!H46='Peta Risiko'!$F$9),'Lap ED'!A46,"")</f>
        <v/>
      </c>
      <c r="J52" t="str">
        <f>IF(AND('Lap ED'!G46='Peta Risiko'!$D$5,'Lap ED'!H46='Peta Risiko'!$G$9),'Lap ED'!A46,"")</f>
        <v/>
      </c>
      <c r="K52" t="str">
        <f>IF(AND('Lap ED'!G46='Peta Risiko'!$D$5,'Lap ED'!H46='Peta Risiko'!$H$9),'Lap ED'!A46,"")</f>
        <v/>
      </c>
      <c r="L52" t="str">
        <f>IF(AND('Lap ED'!G46='Peta Risiko'!$D$5,'Lap ED'!H46='Peta Risiko'!$I$9),'Lap ED'!A46,"")</f>
        <v/>
      </c>
      <c r="M52">
        <f>IF(AND('Lap ED'!G46='Peta Risiko'!$D$6,'Lap ED'!H46='Peta Risiko'!$E$9),'Lap ED'!A46,"")</f>
        <v>38</v>
      </c>
      <c r="N52" t="str">
        <f>IF(AND('Lap ED'!G46='Peta Risiko'!$D$6,'Lap ED'!H46='Peta Risiko'!$F$9),'Lap ED'!A46,"")</f>
        <v/>
      </c>
      <c r="O52" t="str">
        <f>IF(AND('Lap ED'!G46='Peta Risiko'!$D$6,'Lap ED'!H46='Peta Risiko'!$G$9),'Lap ED'!A46,"")</f>
        <v/>
      </c>
      <c r="P52" t="str">
        <f>IF(AND('Lap ED'!G46='Peta Risiko'!$D$6,'Lap ED'!H46='Peta Risiko'!$H$9),'Lap ED'!A46,"")</f>
        <v/>
      </c>
      <c r="Q52" t="str">
        <f>IF(AND('Lap ED'!G46='Peta Risiko'!$D$6,'Lap ED'!H46='Peta Risiko'!$I$9),'Lap ED'!A46,"")</f>
        <v/>
      </c>
      <c r="R52" t="str">
        <f>IF(AND('Lap ED'!G46='Peta Risiko'!$D$7,'Lap ED'!H46='Peta Risiko'!$E$9),'Lap ED'!A46,"")</f>
        <v/>
      </c>
      <c r="S52" t="str">
        <f>IF(AND('Lap ED'!G46='Peta Risiko'!$D$7,'Lap ED'!H46='Peta Risiko'!$F$9),'Lap ED'!A46,"")</f>
        <v/>
      </c>
      <c r="T52" t="str">
        <f>IF(AND('Lap ED'!G46='Peta Risiko'!$D$7,'Lap ED'!H46='Peta Risiko'!$G$9),'Lap ED'!A46,"")</f>
        <v/>
      </c>
      <c r="U52" t="str">
        <f>IF(AND('Lap ED'!G46='Peta Risiko'!$D$7,'Lap ED'!H46='Peta Risiko'!$H$9),'Lap ED'!A46,"")</f>
        <v/>
      </c>
      <c r="V52" t="str">
        <f>IF(AND('Lap ED'!G46='Peta Risiko'!$D$7,'Lap ED'!H46='Peta Risiko'!$I$9),'Lap ED'!A46,"")</f>
        <v/>
      </c>
      <c r="W52" t="str">
        <f>IF(AND('Lap ED'!G46='Peta Risiko'!$D$8,'Lap ED'!H46='Peta Risiko'!$E$9),'Lap ED'!A46,"")</f>
        <v/>
      </c>
      <c r="X52" t="str">
        <f>IF(AND('Lap ED'!G46='Peta Risiko'!$D$8,'Lap ED'!H46='Peta Risiko'!$F$9),'Lap ED'!A46,"")</f>
        <v/>
      </c>
      <c r="Y52" t="str">
        <f>IF(AND('Lap ED'!G46='Peta Risiko'!$D$8,'Lap ED'!H46='Peta Risiko'!$G$9),'Lap ED'!A46,"")</f>
        <v/>
      </c>
      <c r="Z52" t="str">
        <f>IF(AND('Lap ED'!G46='Peta Risiko'!$D$8,'Lap ED'!H46='Peta Risiko'!$H$9),'Lap ED'!A46,"")</f>
        <v/>
      </c>
      <c r="AA52" t="str">
        <f>IF(AND('Lap ED'!G46='Peta Risiko'!$D$8,'Lap ED'!H46='Peta Risiko'!$I$9),'Lap ED'!A46,"")</f>
        <v/>
      </c>
    </row>
    <row r="53" spans="2:27" hidden="1" x14ac:dyDescent="0.25">
      <c r="B53">
        <v>39</v>
      </c>
      <c r="C53" t="str">
        <f>IF(AND('Lap ED'!G47='Peta Risiko'!$D$4,'Lap ED'!H47='Peta Risiko'!$E$9),'Lap ED'!A47,"")</f>
        <v/>
      </c>
      <c r="D53" t="str">
        <f>IF(AND('Lap ED'!G47='Peta Risiko'!$D$4,'Lap ED'!H47='Peta Risiko'!$F$9),'Lap ED'!A47,"")</f>
        <v/>
      </c>
      <c r="E53" t="str">
        <f>IF(AND('Lap ED'!G47='Peta Risiko'!$D$4,'Lap ED'!H47='Peta Risiko'!$G$9),'Lap ED'!A47,"")</f>
        <v/>
      </c>
      <c r="F53" t="str">
        <f>IF(AND('Lap ED'!G47='Peta Risiko'!$D$4,'Lap ED'!H47='Peta Risiko'!$H$9),'Lap ED'!A47,"")</f>
        <v/>
      </c>
      <c r="G53" t="str">
        <f>IF(AND('Lap ED'!G47='Peta Risiko'!$D$4,'Lap ED'!H47='Peta Risiko'!$I$9),'Lap ED'!A47,"")</f>
        <v/>
      </c>
      <c r="H53" t="str">
        <f>IF(AND('Lap ED'!G47='Peta Risiko'!$D$5,'Lap ED'!H47='Peta Risiko'!$E$9),'Lap ED'!A47,"")</f>
        <v/>
      </c>
      <c r="I53" t="str">
        <f>IF(AND('Lap ED'!G47='Peta Risiko'!$D$5,'Lap ED'!H47='Peta Risiko'!$F$9),'Lap ED'!A47,"")</f>
        <v/>
      </c>
      <c r="J53" t="str">
        <f>IF(AND('Lap ED'!G47='Peta Risiko'!$D$5,'Lap ED'!H47='Peta Risiko'!$G$9),'Lap ED'!A47,"")</f>
        <v/>
      </c>
      <c r="K53" t="str">
        <f>IF(AND('Lap ED'!G47='Peta Risiko'!$D$5,'Lap ED'!H47='Peta Risiko'!$H$9),'Lap ED'!A47,"")</f>
        <v/>
      </c>
      <c r="L53" t="str">
        <f>IF(AND('Lap ED'!G47='Peta Risiko'!$D$5,'Lap ED'!H47='Peta Risiko'!$I$9),'Lap ED'!A47,"")</f>
        <v/>
      </c>
      <c r="M53">
        <f>IF(AND('Lap ED'!G47='Peta Risiko'!$D$6,'Lap ED'!H47='Peta Risiko'!$E$9),'Lap ED'!A47,"")</f>
        <v>39</v>
      </c>
      <c r="N53" t="str">
        <f>IF(AND('Lap ED'!G47='Peta Risiko'!$D$6,'Lap ED'!H47='Peta Risiko'!$F$9),'Lap ED'!A47,"")</f>
        <v/>
      </c>
      <c r="O53" t="str">
        <f>IF(AND('Lap ED'!G47='Peta Risiko'!$D$6,'Lap ED'!H47='Peta Risiko'!$G$9),'Lap ED'!A47,"")</f>
        <v/>
      </c>
      <c r="P53" t="str">
        <f>IF(AND('Lap ED'!G47='Peta Risiko'!$D$6,'Lap ED'!H47='Peta Risiko'!$H$9),'Lap ED'!A47,"")</f>
        <v/>
      </c>
      <c r="Q53" t="str">
        <f>IF(AND('Lap ED'!G47='Peta Risiko'!$D$6,'Lap ED'!H47='Peta Risiko'!$I$9),'Lap ED'!A47,"")</f>
        <v/>
      </c>
      <c r="R53" t="str">
        <f>IF(AND('Lap ED'!G47='Peta Risiko'!$D$7,'Lap ED'!H47='Peta Risiko'!$E$9),'Lap ED'!A47,"")</f>
        <v/>
      </c>
      <c r="S53" t="str">
        <f>IF(AND('Lap ED'!G47='Peta Risiko'!$D$7,'Lap ED'!H47='Peta Risiko'!$F$9),'Lap ED'!A47,"")</f>
        <v/>
      </c>
      <c r="T53" t="str">
        <f>IF(AND('Lap ED'!G47='Peta Risiko'!$D$7,'Lap ED'!H47='Peta Risiko'!$G$9),'Lap ED'!A47,"")</f>
        <v/>
      </c>
      <c r="U53" t="str">
        <f>IF(AND('Lap ED'!G47='Peta Risiko'!$D$7,'Lap ED'!H47='Peta Risiko'!$H$9),'Lap ED'!A47,"")</f>
        <v/>
      </c>
      <c r="V53" t="str">
        <f>IF(AND('Lap ED'!G47='Peta Risiko'!$D$7,'Lap ED'!H47='Peta Risiko'!$I$9),'Lap ED'!A47,"")</f>
        <v/>
      </c>
      <c r="W53" t="str">
        <f>IF(AND('Lap ED'!G47='Peta Risiko'!$D$8,'Lap ED'!H47='Peta Risiko'!$E$9),'Lap ED'!A47,"")</f>
        <v/>
      </c>
      <c r="X53" t="str">
        <f>IF(AND('Lap ED'!G47='Peta Risiko'!$D$8,'Lap ED'!H47='Peta Risiko'!$F$9),'Lap ED'!A47,"")</f>
        <v/>
      </c>
      <c r="Y53" t="str">
        <f>IF(AND('Lap ED'!G47='Peta Risiko'!$D$8,'Lap ED'!H47='Peta Risiko'!$G$9),'Lap ED'!A47,"")</f>
        <v/>
      </c>
      <c r="Z53" t="str">
        <f>IF(AND('Lap ED'!G47='Peta Risiko'!$D$8,'Lap ED'!H47='Peta Risiko'!$H$9),'Lap ED'!A47,"")</f>
        <v/>
      </c>
      <c r="AA53" t="str">
        <f>IF(AND('Lap ED'!G47='Peta Risiko'!$D$8,'Lap ED'!H47='Peta Risiko'!$I$9),'Lap ED'!A47,"")</f>
        <v/>
      </c>
    </row>
    <row r="54" spans="2:27" hidden="1" x14ac:dyDescent="0.25">
      <c r="B54">
        <v>40</v>
      </c>
      <c r="C54" t="str">
        <f>IF(AND('Lap ED'!G48='Peta Risiko'!$D$4,'Lap ED'!H48='Peta Risiko'!$E$9),'Lap ED'!A48,"")</f>
        <v/>
      </c>
      <c r="D54" t="str">
        <f>IF(AND('Lap ED'!G48='Peta Risiko'!$D$4,'Lap ED'!H48='Peta Risiko'!$F$9),'Lap ED'!A48,"")</f>
        <v/>
      </c>
      <c r="E54" t="str">
        <f>IF(AND('Lap ED'!G48='Peta Risiko'!$D$4,'Lap ED'!H48='Peta Risiko'!$G$9),'Lap ED'!A48,"")</f>
        <v/>
      </c>
      <c r="F54" t="str">
        <f>IF(AND('Lap ED'!G48='Peta Risiko'!$D$4,'Lap ED'!H48='Peta Risiko'!$H$9),'Lap ED'!A48,"")</f>
        <v/>
      </c>
      <c r="G54" t="str">
        <f>IF(AND('Lap ED'!G48='Peta Risiko'!$D$4,'Lap ED'!H48='Peta Risiko'!$I$9),'Lap ED'!A48,"")</f>
        <v/>
      </c>
      <c r="H54" t="str">
        <f>IF(AND('Lap ED'!G48='Peta Risiko'!$D$5,'Lap ED'!H48='Peta Risiko'!$E$9),'Lap ED'!A48,"")</f>
        <v/>
      </c>
      <c r="I54" t="str">
        <f>IF(AND('Lap ED'!G48='Peta Risiko'!$D$5,'Lap ED'!H48='Peta Risiko'!$F$9),'Lap ED'!A48,"")</f>
        <v/>
      </c>
      <c r="J54" t="str">
        <f>IF(AND('Lap ED'!G48='Peta Risiko'!$D$5,'Lap ED'!H48='Peta Risiko'!$G$9),'Lap ED'!A48,"")</f>
        <v/>
      </c>
      <c r="K54" t="str">
        <f>IF(AND('Lap ED'!G48='Peta Risiko'!$D$5,'Lap ED'!H48='Peta Risiko'!$H$9),'Lap ED'!A48,"")</f>
        <v/>
      </c>
      <c r="L54" t="str">
        <f>IF(AND('Lap ED'!G48='Peta Risiko'!$D$5,'Lap ED'!H48='Peta Risiko'!$I$9),'Lap ED'!A48,"")</f>
        <v/>
      </c>
      <c r="M54">
        <f>IF(AND('Lap ED'!G48='Peta Risiko'!$D$6,'Lap ED'!H48='Peta Risiko'!$E$9),'Lap ED'!A48,"")</f>
        <v>40</v>
      </c>
      <c r="N54" t="str">
        <f>IF(AND('Lap ED'!G48='Peta Risiko'!$D$6,'Lap ED'!H48='Peta Risiko'!$F$9),'Lap ED'!A48,"")</f>
        <v/>
      </c>
      <c r="O54" t="str">
        <f>IF(AND('Lap ED'!G48='Peta Risiko'!$D$6,'Lap ED'!H48='Peta Risiko'!$G$9),'Lap ED'!A48,"")</f>
        <v/>
      </c>
      <c r="P54" t="str">
        <f>IF(AND('Lap ED'!G48='Peta Risiko'!$D$6,'Lap ED'!H48='Peta Risiko'!$H$9),'Lap ED'!A48,"")</f>
        <v/>
      </c>
      <c r="Q54" t="str">
        <f>IF(AND('Lap ED'!G48='Peta Risiko'!$D$6,'Lap ED'!H48='Peta Risiko'!$I$9),'Lap ED'!A48,"")</f>
        <v/>
      </c>
      <c r="R54" t="str">
        <f>IF(AND('Lap ED'!G48='Peta Risiko'!$D$7,'Lap ED'!H48='Peta Risiko'!$E$9),'Lap ED'!A48,"")</f>
        <v/>
      </c>
      <c r="S54" t="str">
        <f>IF(AND('Lap ED'!G48='Peta Risiko'!$D$7,'Lap ED'!H48='Peta Risiko'!$F$9),'Lap ED'!A48,"")</f>
        <v/>
      </c>
      <c r="T54" t="str">
        <f>IF(AND('Lap ED'!G48='Peta Risiko'!$D$7,'Lap ED'!H48='Peta Risiko'!$G$9),'Lap ED'!A48,"")</f>
        <v/>
      </c>
      <c r="U54" t="str">
        <f>IF(AND('Lap ED'!G48='Peta Risiko'!$D$7,'Lap ED'!H48='Peta Risiko'!$H$9),'Lap ED'!A48,"")</f>
        <v/>
      </c>
      <c r="V54" t="str">
        <f>IF(AND('Lap ED'!G48='Peta Risiko'!$D$7,'Lap ED'!H48='Peta Risiko'!$I$9),'Lap ED'!A48,"")</f>
        <v/>
      </c>
      <c r="W54" t="str">
        <f>IF(AND('Lap ED'!G48='Peta Risiko'!$D$8,'Lap ED'!H48='Peta Risiko'!$E$9),'Lap ED'!A48,"")</f>
        <v/>
      </c>
      <c r="X54" t="str">
        <f>IF(AND('Lap ED'!G48='Peta Risiko'!$D$8,'Lap ED'!H48='Peta Risiko'!$F$9),'Lap ED'!A48,"")</f>
        <v/>
      </c>
      <c r="Y54" t="str">
        <f>IF(AND('Lap ED'!G48='Peta Risiko'!$D$8,'Lap ED'!H48='Peta Risiko'!$G$9),'Lap ED'!A48,"")</f>
        <v/>
      </c>
      <c r="Z54" t="str">
        <f>IF(AND('Lap ED'!G48='Peta Risiko'!$D$8,'Lap ED'!H48='Peta Risiko'!$H$9),'Lap ED'!A48,"")</f>
        <v/>
      </c>
      <c r="AA54" t="str">
        <f>IF(AND('Lap ED'!G48='Peta Risiko'!$D$8,'Lap ED'!H48='Peta Risiko'!$I$9),'Lap ED'!A48,"")</f>
        <v/>
      </c>
    </row>
    <row r="55" spans="2:27" hidden="1" x14ac:dyDescent="0.25">
      <c r="B55">
        <v>41</v>
      </c>
      <c r="C55" t="str">
        <f>IF(AND('Lap ED'!G49='Peta Risiko'!$D$4,'Lap ED'!H49='Peta Risiko'!$E$9),'Lap ED'!A49,"")</f>
        <v/>
      </c>
      <c r="D55" t="str">
        <f>IF(AND('Lap ED'!G49='Peta Risiko'!$D$4,'Lap ED'!H49='Peta Risiko'!$F$9),'Lap ED'!A49,"")</f>
        <v/>
      </c>
      <c r="E55" t="str">
        <f>IF(AND('Lap ED'!G49='Peta Risiko'!$D$4,'Lap ED'!H49='Peta Risiko'!$G$9),'Lap ED'!A49,"")</f>
        <v/>
      </c>
      <c r="F55" t="str">
        <f>IF(AND('Lap ED'!G49='Peta Risiko'!$D$4,'Lap ED'!H49='Peta Risiko'!$H$9),'Lap ED'!A49,"")</f>
        <v/>
      </c>
      <c r="G55" t="str">
        <f>IF(AND('Lap ED'!G49='Peta Risiko'!$D$4,'Lap ED'!H49='Peta Risiko'!$I$9),'Lap ED'!A49,"")</f>
        <v/>
      </c>
      <c r="H55" t="str">
        <f>IF(AND('Lap ED'!G49='Peta Risiko'!$D$5,'Lap ED'!H49='Peta Risiko'!$E$9),'Lap ED'!A49,"")</f>
        <v/>
      </c>
      <c r="I55" t="str">
        <f>IF(AND('Lap ED'!G49='Peta Risiko'!$D$5,'Lap ED'!H49='Peta Risiko'!$F$9),'Lap ED'!A49,"")</f>
        <v/>
      </c>
      <c r="J55" t="str">
        <f>IF(AND('Lap ED'!G49='Peta Risiko'!$D$5,'Lap ED'!H49='Peta Risiko'!$G$9),'Lap ED'!A49,"")</f>
        <v/>
      </c>
      <c r="K55" t="str">
        <f>IF(AND('Lap ED'!G49='Peta Risiko'!$D$5,'Lap ED'!H49='Peta Risiko'!$H$9),'Lap ED'!A49,"")</f>
        <v/>
      </c>
      <c r="L55" t="str">
        <f>IF(AND('Lap ED'!G49='Peta Risiko'!$D$5,'Lap ED'!H49='Peta Risiko'!$I$9),'Lap ED'!A49,"")</f>
        <v/>
      </c>
      <c r="M55">
        <f>IF(AND('Lap ED'!G49='Peta Risiko'!$D$6,'Lap ED'!H49='Peta Risiko'!$E$9),'Lap ED'!A49,"")</f>
        <v>41</v>
      </c>
      <c r="N55" t="str">
        <f>IF(AND('Lap ED'!G49='Peta Risiko'!$D$6,'Lap ED'!H49='Peta Risiko'!$F$9),'Lap ED'!A49,"")</f>
        <v/>
      </c>
      <c r="O55" t="str">
        <f>IF(AND('Lap ED'!G49='Peta Risiko'!$D$6,'Lap ED'!H49='Peta Risiko'!$G$9),'Lap ED'!A49,"")</f>
        <v/>
      </c>
      <c r="P55" t="str">
        <f>IF(AND('Lap ED'!G49='Peta Risiko'!$D$6,'Lap ED'!H49='Peta Risiko'!$H$9),'Lap ED'!A49,"")</f>
        <v/>
      </c>
      <c r="Q55" t="str">
        <f>IF(AND('Lap ED'!G49='Peta Risiko'!$D$6,'Lap ED'!H49='Peta Risiko'!$I$9),'Lap ED'!A49,"")</f>
        <v/>
      </c>
      <c r="R55" t="str">
        <f>IF(AND('Lap ED'!G49='Peta Risiko'!$D$7,'Lap ED'!H49='Peta Risiko'!$E$9),'Lap ED'!A49,"")</f>
        <v/>
      </c>
      <c r="S55" t="str">
        <f>IF(AND('Lap ED'!G49='Peta Risiko'!$D$7,'Lap ED'!H49='Peta Risiko'!$F$9),'Lap ED'!A49,"")</f>
        <v/>
      </c>
      <c r="T55" t="str">
        <f>IF(AND('Lap ED'!G49='Peta Risiko'!$D$7,'Lap ED'!H49='Peta Risiko'!$G$9),'Lap ED'!A49,"")</f>
        <v/>
      </c>
      <c r="U55" t="str">
        <f>IF(AND('Lap ED'!G49='Peta Risiko'!$D$7,'Lap ED'!H49='Peta Risiko'!$H$9),'Lap ED'!A49,"")</f>
        <v/>
      </c>
      <c r="V55" t="str">
        <f>IF(AND('Lap ED'!G49='Peta Risiko'!$D$7,'Lap ED'!H49='Peta Risiko'!$I$9),'Lap ED'!A49,"")</f>
        <v/>
      </c>
      <c r="W55" t="str">
        <f>IF(AND('Lap ED'!G49='Peta Risiko'!$D$8,'Lap ED'!H49='Peta Risiko'!$E$9),'Lap ED'!A49,"")</f>
        <v/>
      </c>
      <c r="X55" t="str">
        <f>IF(AND('Lap ED'!G49='Peta Risiko'!$D$8,'Lap ED'!H49='Peta Risiko'!$F$9),'Lap ED'!A49,"")</f>
        <v/>
      </c>
      <c r="Y55" t="str">
        <f>IF(AND('Lap ED'!G49='Peta Risiko'!$D$8,'Lap ED'!H49='Peta Risiko'!$G$9),'Lap ED'!A49,"")</f>
        <v/>
      </c>
      <c r="Z55" t="str">
        <f>IF(AND('Lap ED'!G49='Peta Risiko'!$D$8,'Lap ED'!H49='Peta Risiko'!$H$9),'Lap ED'!A49,"")</f>
        <v/>
      </c>
      <c r="AA55" t="str">
        <f>IF(AND('Lap ED'!G49='Peta Risiko'!$D$8,'Lap ED'!H49='Peta Risiko'!$I$9),'Lap ED'!A49,"")</f>
        <v/>
      </c>
    </row>
    <row r="56" spans="2:27" hidden="1" x14ac:dyDescent="0.25">
      <c r="B56">
        <v>42</v>
      </c>
      <c r="C56" t="str">
        <f>IF(AND('Lap ED'!G50='Peta Risiko'!$D$4,'Lap ED'!H50='Peta Risiko'!$E$9),'Lap ED'!A50,"")</f>
        <v/>
      </c>
      <c r="D56" t="str">
        <f>IF(AND('Lap ED'!G50='Peta Risiko'!$D$4,'Lap ED'!H50='Peta Risiko'!$F$9),'Lap ED'!A50,"")</f>
        <v/>
      </c>
      <c r="E56" t="str">
        <f>IF(AND('Lap ED'!G50='Peta Risiko'!$D$4,'Lap ED'!H50='Peta Risiko'!$G$9),'Lap ED'!A50,"")</f>
        <v/>
      </c>
      <c r="F56" t="str">
        <f>IF(AND('Lap ED'!G50='Peta Risiko'!$D$4,'Lap ED'!H50='Peta Risiko'!$H$9),'Lap ED'!A50,"")</f>
        <v/>
      </c>
      <c r="G56" t="str">
        <f>IF(AND('Lap ED'!G50='Peta Risiko'!$D$4,'Lap ED'!H50='Peta Risiko'!$I$9),'Lap ED'!A50,"")</f>
        <v/>
      </c>
      <c r="H56" t="str">
        <f>IF(AND('Lap ED'!G50='Peta Risiko'!$D$5,'Lap ED'!H50='Peta Risiko'!$E$9),'Lap ED'!A50,"")</f>
        <v/>
      </c>
      <c r="I56" t="str">
        <f>IF(AND('Lap ED'!G50='Peta Risiko'!$D$5,'Lap ED'!H50='Peta Risiko'!$F$9),'Lap ED'!A50,"")</f>
        <v/>
      </c>
      <c r="J56" t="str">
        <f>IF(AND('Lap ED'!G50='Peta Risiko'!$D$5,'Lap ED'!H50='Peta Risiko'!$G$9),'Lap ED'!A50,"")</f>
        <v/>
      </c>
      <c r="K56" t="str">
        <f>IF(AND('Lap ED'!G50='Peta Risiko'!$D$5,'Lap ED'!H50='Peta Risiko'!$H$9),'Lap ED'!A50,"")</f>
        <v/>
      </c>
      <c r="L56" t="str">
        <f>IF(AND('Lap ED'!G50='Peta Risiko'!$D$5,'Lap ED'!H50='Peta Risiko'!$I$9),'Lap ED'!A50,"")</f>
        <v/>
      </c>
      <c r="M56">
        <f>IF(AND('Lap ED'!G50='Peta Risiko'!$D$6,'Lap ED'!H50='Peta Risiko'!$E$9),'Lap ED'!A50,"")</f>
        <v>42</v>
      </c>
      <c r="N56" t="str">
        <f>IF(AND('Lap ED'!G50='Peta Risiko'!$D$6,'Lap ED'!H50='Peta Risiko'!$F$9),'Lap ED'!A50,"")</f>
        <v/>
      </c>
      <c r="O56" t="str">
        <f>IF(AND('Lap ED'!G50='Peta Risiko'!$D$6,'Lap ED'!H50='Peta Risiko'!$G$9),'Lap ED'!A50,"")</f>
        <v/>
      </c>
      <c r="P56" t="str">
        <f>IF(AND('Lap ED'!G50='Peta Risiko'!$D$6,'Lap ED'!H50='Peta Risiko'!$H$9),'Lap ED'!A50,"")</f>
        <v/>
      </c>
      <c r="Q56" t="str">
        <f>IF(AND('Lap ED'!G50='Peta Risiko'!$D$6,'Lap ED'!H50='Peta Risiko'!$I$9),'Lap ED'!A50,"")</f>
        <v/>
      </c>
      <c r="R56" t="str">
        <f>IF(AND('Lap ED'!G50='Peta Risiko'!$D$7,'Lap ED'!H50='Peta Risiko'!$E$9),'Lap ED'!A50,"")</f>
        <v/>
      </c>
      <c r="S56" t="str">
        <f>IF(AND('Lap ED'!G50='Peta Risiko'!$D$7,'Lap ED'!H50='Peta Risiko'!$F$9),'Lap ED'!A50,"")</f>
        <v/>
      </c>
      <c r="T56" t="str">
        <f>IF(AND('Lap ED'!G50='Peta Risiko'!$D$7,'Lap ED'!H50='Peta Risiko'!$G$9),'Lap ED'!A50,"")</f>
        <v/>
      </c>
      <c r="U56" t="str">
        <f>IF(AND('Lap ED'!G50='Peta Risiko'!$D$7,'Lap ED'!H50='Peta Risiko'!$H$9),'Lap ED'!A50,"")</f>
        <v/>
      </c>
      <c r="V56" t="str">
        <f>IF(AND('Lap ED'!G50='Peta Risiko'!$D$7,'Lap ED'!H50='Peta Risiko'!$I$9),'Lap ED'!A50,"")</f>
        <v/>
      </c>
      <c r="W56" t="str">
        <f>IF(AND('Lap ED'!G50='Peta Risiko'!$D$8,'Lap ED'!H50='Peta Risiko'!$E$9),'Lap ED'!A50,"")</f>
        <v/>
      </c>
      <c r="X56" t="str">
        <f>IF(AND('Lap ED'!G50='Peta Risiko'!$D$8,'Lap ED'!H50='Peta Risiko'!$F$9),'Lap ED'!A50,"")</f>
        <v/>
      </c>
      <c r="Y56" t="str">
        <f>IF(AND('Lap ED'!G50='Peta Risiko'!$D$8,'Lap ED'!H50='Peta Risiko'!$G$9),'Lap ED'!A50,"")</f>
        <v/>
      </c>
      <c r="Z56" t="str">
        <f>IF(AND('Lap ED'!G50='Peta Risiko'!$D$8,'Lap ED'!H50='Peta Risiko'!$H$9),'Lap ED'!A50,"")</f>
        <v/>
      </c>
      <c r="AA56" t="str">
        <f>IF(AND('Lap ED'!G50='Peta Risiko'!$D$8,'Lap ED'!H50='Peta Risiko'!$I$9),'Lap ED'!A50,"")</f>
        <v/>
      </c>
    </row>
    <row r="57" spans="2:27" hidden="1" x14ac:dyDescent="0.25">
      <c r="B57">
        <v>43</v>
      </c>
      <c r="C57" t="str">
        <f>IF(AND('Lap ED'!G51='Peta Risiko'!$D$4,'Lap ED'!H51='Peta Risiko'!$E$9),'Lap ED'!A51,"")</f>
        <v/>
      </c>
      <c r="D57" t="str">
        <f>IF(AND('Lap ED'!G51='Peta Risiko'!$D$4,'Lap ED'!H51='Peta Risiko'!$F$9),'Lap ED'!A51,"")</f>
        <v/>
      </c>
      <c r="E57" t="str">
        <f>IF(AND('Lap ED'!G51='Peta Risiko'!$D$4,'Lap ED'!H51='Peta Risiko'!$G$9),'Lap ED'!A51,"")</f>
        <v/>
      </c>
      <c r="F57" t="str">
        <f>IF(AND('Lap ED'!G51='Peta Risiko'!$D$4,'Lap ED'!H51='Peta Risiko'!$H$9),'Lap ED'!A51,"")</f>
        <v/>
      </c>
      <c r="G57" t="str">
        <f>IF(AND('Lap ED'!G51='Peta Risiko'!$D$4,'Lap ED'!H51='Peta Risiko'!$I$9),'Lap ED'!A51,"")</f>
        <v/>
      </c>
      <c r="H57" t="str">
        <f>IF(AND('Lap ED'!G51='Peta Risiko'!$D$5,'Lap ED'!H51='Peta Risiko'!$E$9),'Lap ED'!A51,"")</f>
        <v/>
      </c>
      <c r="I57" t="str">
        <f>IF(AND('Lap ED'!G51='Peta Risiko'!$D$5,'Lap ED'!H51='Peta Risiko'!$F$9),'Lap ED'!A51,"")</f>
        <v/>
      </c>
      <c r="J57" t="str">
        <f>IF(AND('Lap ED'!G51='Peta Risiko'!$D$5,'Lap ED'!H51='Peta Risiko'!$G$9),'Lap ED'!A51,"")</f>
        <v/>
      </c>
      <c r="K57" t="str">
        <f>IF(AND('Lap ED'!G51='Peta Risiko'!$D$5,'Lap ED'!H51='Peta Risiko'!$H$9),'Lap ED'!A51,"")</f>
        <v/>
      </c>
      <c r="L57" t="str">
        <f>IF(AND('Lap ED'!G51='Peta Risiko'!$D$5,'Lap ED'!H51='Peta Risiko'!$I$9),'Lap ED'!A51,"")</f>
        <v/>
      </c>
      <c r="M57">
        <f>IF(AND('Lap ED'!G51='Peta Risiko'!$D$6,'Lap ED'!H51='Peta Risiko'!$E$9),'Lap ED'!A51,"")</f>
        <v>43</v>
      </c>
      <c r="N57" t="str">
        <f>IF(AND('Lap ED'!G51='Peta Risiko'!$D$6,'Lap ED'!H51='Peta Risiko'!$F$9),'Lap ED'!A51,"")</f>
        <v/>
      </c>
      <c r="O57" t="str">
        <f>IF(AND('Lap ED'!G51='Peta Risiko'!$D$6,'Lap ED'!H51='Peta Risiko'!$G$9),'Lap ED'!A51,"")</f>
        <v/>
      </c>
      <c r="P57" t="str">
        <f>IF(AND('Lap ED'!G51='Peta Risiko'!$D$6,'Lap ED'!H51='Peta Risiko'!$H$9),'Lap ED'!A51,"")</f>
        <v/>
      </c>
      <c r="Q57" t="str">
        <f>IF(AND('Lap ED'!G51='Peta Risiko'!$D$6,'Lap ED'!H51='Peta Risiko'!$I$9),'Lap ED'!A51,"")</f>
        <v/>
      </c>
      <c r="R57" t="str">
        <f>IF(AND('Lap ED'!G51='Peta Risiko'!$D$7,'Lap ED'!H51='Peta Risiko'!$E$9),'Lap ED'!A51,"")</f>
        <v/>
      </c>
      <c r="S57" t="str">
        <f>IF(AND('Lap ED'!G51='Peta Risiko'!$D$7,'Lap ED'!H51='Peta Risiko'!$F$9),'Lap ED'!A51,"")</f>
        <v/>
      </c>
      <c r="T57" t="str">
        <f>IF(AND('Lap ED'!G51='Peta Risiko'!$D$7,'Lap ED'!H51='Peta Risiko'!$G$9),'Lap ED'!A51,"")</f>
        <v/>
      </c>
      <c r="U57" t="str">
        <f>IF(AND('Lap ED'!G51='Peta Risiko'!$D$7,'Lap ED'!H51='Peta Risiko'!$H$9),'Lap ED'!A51,"")</f>
        <v/>
      </c>
      <c r="V57" t="str">
        <f>IF(AND('Lap ED'!G51='Peta Risiko'!$D$7,'Lap ED'!H51='Peta Risiko'!$I$9),'Lap ED'!A51,"")</f>
        <v/>
      </c>
      <c r="W57" t="str">
        <f>IF(AND('Lap ED'!G51='Peta Risiko'!$D$8,'Lap ED'!H51='Peta Risiko'!$E$9),'Lap ED'!A51,"")</f>
        <v/>
      </c>
      <c r="X57" t="str">
        <f>IF(AND('Lap ED'!G51='Peta Risiko'!$D$8,'Lap ED'!H51='Peta Risiko'!$F$9),'Lap ED'!A51,"")</f>
        <v/>
      </c>
      <c r="Y57" t="str">
        <f>IF(AND('Lap ED'!G51='Peta Risiko'!$D$8,'Lap ED'!H51='Peta Risiko'!$G$9),'Lap ED'!A51,"")</f>
        <v/>
      </c>
      <c r="Z57" t="str">
        <f>IF(AND('Lap ED'!G51='Peta Risiko'!$D$8,'Lap ED'!H51='Peta Risiko'!$H$9),'Lap ED'!A51,"")</f>
        <v/>
      </c>
      <c r="AA57" t="str">
        <f>IF(AND('Lap ED'!G51='Peta Risiko'!$D$8,'Lap ED'!H51='Peta Risiko'!$I$9),'Lap ED'!A51,"")</f>
        <v/>
      </c>
    </row>
    <row r="58" spans="2:27" hidden="1" x14ac:dyDescent="0.25">
      <c r="B58">
        <v>44</v>
      </c>
      <c r="C58" t="str">
        <f>IF(AND('Lap ED'!G52='Peta Risiko'!$D$4,'Lap ED'!H52='Peta Risiko'!$E$9),'Lap ED'!A52,"")</f>
        <v/>
      </c>
      <c r="D58" t="str">
        <f>IF(AND('Lap ED'!G52='Peta Risiko'!$D$4,'Lap ED'!H52='Peta Risiko'!$F$9),'Lap ED'!A52,"")</f>
        <v/>
      </c>
      <c r="E58" t="str">
        <f>IF(AND('Lap ED'!G52='Peta Risiko'!$D$4,'Lap ED'!H52='Peta Risiko'!$G$9),'Lap ED'!A52,"")</f>
        <v/>
      </c>
      <c r="F58" t="str">
        <f>IF(AND('Lap ED'!G52='Peta Risiko'!$D$4,'Lap ED'!H52='Peta Risiko'!$H$9),'Lap ED'!A52,"")</f>
        <v/>
      </c>
      <c r="G58" t="str">
        <f>IF(AND('Lap ED'!G52='Peta Risiko'!$D$4,'Lap ED'!H52='Peta Risiko'!$I$9),'Lap ED'!A52,"")</f>
        <v/>
      </c>
      <c r="H58" t="str">
        <f>IF(AND('Lap ED'!G52='Peta Risiko'!$D$5,'Lap ED'!H52='Peta Risiko'!$E$9),'Lap ED'!A52,"")</f>
        <v/>
      </c>
      <c r="I58" t="str">
        <f>IF(AND('Lap ED'!G52='Peta Risiko'!$D$5,'Lap ED'!H52='Peta Risiko'!$F$9),'Lap ED'!A52,"")</f>
        <v/>
      </c>
      <c r="J58" t="str">
        <f>IF(AND('Lap ED'!G52='Peta Risiko'!$D$5,'Lap ED'!H52='Peta Risiko'!$G$9),'Lap ED'!A52,"")</f>
        <v/>
      </c>
      <c r="K58" t="str">
        <f>IF(AND('Lap ED'!G52='Peta Risiko'!$D$5,'Lap ED'!H52='Peta Risiko'!$H$9),'Lap ED'!A52,"")</f>
        <v/>
      </c>
      <c r="L58" t="str">
        <f>IF(AND('Lap ED'!G52='Peta Risiko'!$D$5,'Lap ED'!H52='Peta Risiko'!$I$9),'Lap ED'!A52,"")</f>
        <v/>
      </c>
      <c r="M58" t="str">
        <f>IF(AND('Lap ED'!G52='Peta Risiko'!$D$6,'Lap ED'!H52='Peta Risiko'!$E$9),'Lap ED'!A52,"")</f>
        <v/>
      </c>
      <c r="N58" t="str">
        <f>IF(AND('Lap ED'!G52='Peta Risiko'!$D$6,'Lap ED'!H52='Peta Risiko'!$F$9),'Lap ED'!A52,"")</f>
        <v/>
      </c>
      <c r="O58" t="str">
        <f>IF(AND('Lap ED'!G52='Peta Risiko'!$D$6,'Lap ED'!H52='Peta Risiko'!$G$9),'Lap ED'!A52,"")</f>
        <v/>
      </c>
      <c r="P58" t="str">
        <f>IF(AND('Lap ED'!G52='Peta Risiko'!$D$6,'Lap ED'!H52='Peta Risiko'!$H$9),'Lap ED'!A52,"")</f>
        <v/>
      </c>
      <c r="Q58" t="str">
        <f>IF(AND('Lap ED'!G52='Peta Risiko'!$D$6,'Lap ED'!H52='Peta Risiko'!$I$9),'Lap ED'!A52,"")</f>
        <v/>
      </c>
      <c r="R58" t="str">
        <f>IF(AND('Lap ED'!G52='Peta Risiko'!$D$7,'Lap ED'!H52='Peta Risiko'!$E$9),'Lap ED'!A52,"")</f>
        <v/>
      </c>
      <c r="S58" t="str">
        <f>IF(AND('Lap ED'!G52='Peta Risiko'!$D$7,'Lap ED'!H52='Peta Risiko'!$F$9),'Lap ED'!A52,"")</f>
        <v/>
      </c>
      <c r="T58" t="str">
        <f>IF(AND('Lap ED'!G52='Peta Risiko'!$D$7,'Lap ED'!H52='Peta Risiko'!$G$9),'Lap ED'!A52,"")</f>
        <v/>
      </c>
      <c r="U58" t="str">
        <f>IF(AND('Lap ED'!G52='Peta Risiko'!$D$7,'Lap ED'!H52='Peta Risiko'!$H$9),'Lap ED'!A52,"")</f>
        <v/>
      </c>
      <c r="V58" t="str">
        <f>IF(AND('Lap ED'!G52='Peta Risiko'!$D$7,'Lap ED'!H52='Peta Risiko'!$I$9),'Lap ED'!A52,"")</f>
        <v/>
      </c>
      <c r="W58" t="str">
        <f>IF(AND('Lap ED'!G52='Peta Risiko'!$D$8,'Lap ED'!H52='Peta Risiko'!$E$9),'Lap ED'!A52,"")</f>
        <v/>
      </c>
      <c r="X58" t="str">
        <f>IF(AND('Lap ED'!G52='Peta Risiko'!$D$8,'Lap ED'!H52='Peta Risiko'!$F$9),'Lap ED'!A52,"")</f>
        <v/>
      </c>
      <c r="Y58" t="str">
        <f>IF(AND('Lap ED'!G52='Peta Risiko'!$D$8,'Lap ED'!H52='Peta Risiko'!$G$9),'Lap ED'!A52,"")</f>
        <v/>
      </c>
      <c r="Z58" t="str">
        <f>IF(AND('Lap ED'!G52='Peta Risiko'!$D$8,'Lap ED'!H52='Peta Risiko'!$H$9),'Lap ED'!A52,"")</f>
        <v/>
      </c>
      <c r="AA58" t="str">
        <f>IF(AND('Lap ED'!G52='Peta Risiko'!$D$8,'Lap ED'!H52='Peta Risiko'!$I$9),'Lap ED'!A52,"")</f>
        <v/>
      </c>
    </row>
    <row r="59" spans="2:27" hidden="1" x14ac:dyDescent="0.25">
      <c r="B59">
        <v>45</v>
      </c>
      <c r="C59" t="str">
        <f>IF(AND('Lap ED'!G53='Peta Risiko'!$D$4,'Lap ED'!H53='Peta Risiko'!$E$9),'Lap ED'!A53,"")</f>
        <v/>
      </c>
      <c r="D59" t="str">
        <f>IF(AND('Lap ED'!G53='Peta Risiko'!$D$4,'Lap ED'!H53='Peta Risiko'!$F$9),'Lap ED'!A53,"")</f>
        <v/>
      </c>
      <c r="E59" t="str">
        <f>IF(AND('Lap ED'!G53='Peta Risiko'!$D$4,'Lap ED'!H53='Peta Risiko'!$G$9),'Lap ED'!A53,"")</f>
        <v/>
      </c>
      <c r="F59" t="str">
        <f>IF(AND('Lap ED'!G53='Peta Risiko'!$D$4,'Lap ED'!H53='Peta Risiko'!$H$9),'Lap ED'!A53,"")</f>
        <v/>
      </c>
      <c r="G59" t="str">
        <f>IF(AND('Lap ED'!G53='Peta Risiko'!$D$4,'Lap ED'!H53='Peta Risiko'!$I$9),'Lap ED'!A53,"")</f>
        <v/>
      </c>
      <c r="H59" t="str">
        <f>IF(AND('Lap ED'!G53='Peta Risiko'!$D$5,'Lap ED'!H53='Peta Risiko'!$E$9),'Lap ED'!A53,"")</f>
        <v/>
      </c>
      <c r="I59" t="str">
        <f>IF(AND('Lap ED'!G53='Peta Risiko'!$D$5,'Lap ED'!H53='Peta Risiko'!$F$9),'Lap ED'!A53,"")</f>
        <v/>
      </c>
      <c r="J59" t="str">
        <f>IF(AND('Lap ED'!G53='Peta Risiko'!$D$5,'Lap ED'!H53='Peta Risiko'!$G$9),'Lap ED'!A53,"")</f>
        <v/>
      </c>
      <c r="K59" t="str">
        <f>IF(AND('Lap ED'!G53='Peta Risiko'!$D$5,'Lap ED'!H53='Peta Risiko'!$H$9),'Lap ED'!A53,"")</f>
        <v/>
      </c>
      <c r="L59" t="str">
        <f>IF(AND('Lap ED'!G53='Peta Risiko'!$D$5,'Lap ED'!H53='Peta Risiko'!$I$9),'Lap ED'!A53,"")</f>
        <v/>
      </c>
      <c r="M59">
        <f>IF(AND('Lap ED'!G53='Peta Risiko'!$D$6,'Lap ED'!H53='Peta Risiko'!$E$9),'Lap ED'!A53,"")</f>
        <v>45</v>
      </c>
      <c r="N59" t="str">
        <f>IF(AND('Lap ED'!G53='Peta Risiko'!$D$6,'Lap ED'!H53='Peta Risiko'!$F$9),'Lap ED'!A53,"")</f>
        <v/>
      </c>
      <c r="O59" t="str">
        <f>IF(AND('Lap ED'!G53='Peta Risiko'!$D$6,'Lap ED'!H53='Peta Risiko'!$G$9),'Lap ED'!A53,"")</f>
        <v/>
      </c>
      <c r="P59" t="str">
        <f>IF(AND('Lap ED'!G53='Peta Risiko'!$D$6,'Lap ED'!H53='Peta Risiko'!$H$9),'Lap ED'!A53,"")</f>
        <v/>
      </c>
      <c r="Q59" t="str">
        <f>IF(AND('Lap ED'!G53='Peta Risiko'!$D$6,'Lap ED'!H53='Peta Risiko'!$I$9),'Lap ED'!A53,"")</f>
        <v/>
      </c>
      <c r="R59" t="str">
        <f>IF(AND('Lap ED'!G53='Peta Risiko'!$D$7,'Lap ED'!H53='Peta Risiko'!$E$9),'Lap ED'!A53,"")</f>
        <v/>
      </c>
      <c r="S59" t="str">
        <f>IF(AND('Lap ED'!G53='Peta Risiko'!$D$7,'Lap ED'!H53='Peta Risiko'!$F$9),'Lap ED'!A53,"")</f>
        <v/>
      </c>
      <c r="T59" t="str">
        <f>IF(AND('Lap ED'!G53='Peta Risiko'!$D$7,'Lap ED'!H53='Peta Risiko'!$G$9),'Lap ED'!A53,"")</f>
        <v/>
      </c>
      <c r="U59" t="str">
        <f>IF(AND('Lap ED'!G53='Peta Risiko'!$D$7,'Lap ED'!H53='Peta Risiko'!$H$9),'Lap ED'!A53,"")</f>
        <v/>
      </c>
      <c r="V59" t="str">
        <f>IF(AND('Lap ED'!G53='Peta Risiko'!$D$7,'Lap ED'!H53='Peta Risiko'!$I$9),'Lap ED'!A53,"")</f>
        <v/>
      </c>
      <c r="W59" t="str">
        <f>IF(AND('Lap ED'!G53='Peta Risiko'!$D$8,'Lap ED'!H53='Peta Risiko'!$E$9),'Lap ED'!A53,"")</f>
        <v/>
      </c>
      <c r="X59" t="str">
        <f>IF(AND('Lap ED'!G53='Peta Risiko'!$D$8,'Lap ED'!H53='Peta Risiko'!$F$9),'Lap ED'!A53,"")</f>
        <v/>
      </c>
      <c r="Y59" t="str">
        <f>IF(AND('Lap ED'!G53='Peta Risiko'!$D$8,'Lap ED'!H53='Peta Risiko'!$G$9),'Lap ED'!A53,"")</f>
        <v/>
      </c>
      <c r="Z59" t="str">
        <f>IF(AND('Lap ED'!G53='Peta Risiko'!$D$8,'Lap ED'!H53='Peta Risiko'!$H$9),'Lap ED'!A53,"")</f>
        <v/>
      </c>
      <c r="AA59" t="str">
        <f>IF(AND('Lap ED'!G53='Peta Risiko'!$D$8,'Lap ED'!H53='Peta Risiko'!$I$9),'Lap ED'!A53,"")</f>
        <v/>
      </c>
    </row>
    <row r="60" spans="2:27" hidden="1" x14ac:dyDescent="0.25">
      <c r="B60">
        <v>46</v>
      </c>
      <c r="C60" t="str">
        <f>IF(AND('Lap ED'!G54='Peta Risiko'!$D$4,'Lap ED'!H54='Peta Risiko'!$E$9),'Lap ED'!A54,"")</f>
        <v/>
      </c>
      <c r="D60" t="str">
        <f>IF(AND('Lap ED'!G54='Peta Risiko'!$D$4,'Lap ED'!H54='Peta Risiko'!$F$9),'Lap ED'!A54,"")</f>
        <v/>
      </c>
      <c r="E60" t="str">
        <f>IF(AND('Lap ED'!G54='Peta Risiko'!$D$4,'Lap ED'!H54='Peta Risiko'!$G$9),'Lap ED'!A54,"")</f>
        <v/>
      </c>
      <c r="F60" t="str">
        <f>IF(AND('Lap ED'!G54='Peta Risiko'!$D$4,'Lap ED'!H54='Peta Risiko'!$H$9),'Lap ED'!A54,"")</f>
        <v/>
      </c>
      <c r="G60" t="str">
        <f>IF(AND('Lap ED'!G54='Peta Risiko'!$D$4,'Lap ED'!H54='Peta Risiko'!$I$9),'Lap ED'!A54,"")</f>
        <v/>
      </c>
      <c r="H60" t="str">
        <f>IF(AND('Lap ED'!G54='Peta Risiko'!$D$5,'Lap ED'!H54='Peta Risiko'!$E$9),'Lap ED'!A54,"")</f>
        <v/>
      </c>
      <c r="I60" t="str">
        <f>IF(AND('Lap ED'!G54='Peta Risiko'!$D$5,'Lap ED'!H54='Peta Risiko'!$F$9),'Lap ED'!A54,"")</f>
        <v/>
      </c>
      <c r="J60" t="str">
        <f>IF(AND('Lap ED'!G54='Peta Risiko'!$D$5,'Lap ED'!H54='Peta Risiko'!$G$9),'Lap ED'!A54,"")</f>
        <v/>
      </c>
      <c r="K60" t="str">
        <f>IF(AND('Lap ED'!G54='Peta Risiko'!$D$5,'Lap ED'!H54='Peta Risiko'!$H$9),'Lap ED'!A54,"")</f>
        <v/>
      </c>
      <c r="L60" t="str">
        <f>IF(AND('Lap ED'!G54='Peta Risiko'!$D$5,'Lap ED'!H54='Peta Risiko'!$I$9),'Lap ED'!A54,"")</f>
        <v/>
      </c>
      <c r="M60">
        <f>IF(AND('Lap ED'!G54='Peta Risiko'!$D$6,'Lap ED'!H54='Peta Risiko'!$E$9),'Lap ED'!A54,"")</f>
        <v>46</v>
      </c>
      <c r="N60" t="str">
        <f>IF(AND('Lap ED'!G54='Peta Risiko'!$D$6,'Lap ED'!H54='Peta Risiko'!$F$9),'Lap ED'!A54,"")</f>
        <v/>
      </c>
      <c r="O60" t="str">
        <f>IF(AND('Lap ED'!G54='Peta Risiko'!$D$6,'Lap ED'!H54='Peta Risiko'!$G$9),'Lap ED'!A54,"")</f>
        <v/>
      </c>
      <c r="P60" t="str">
        <f>IF(AND('Lap ED'!G54='Peta Risiko'!$D$6,'Lap ED'!H54='Peta Risiko'!$H$9),'Lap ED'!A54,"")</f>
        <v/>
      </c>
      <c r="Q60" t="str">
        <f>IF(AND('Lap ED'!G54='Peta Risiko'!$D$6,'Lap ED'!H54='Peta Risiko'!$I$9),'Lap ED'!A54,"")</f>
        <v/>
      </c>
      <c r="R60" t="str">
        <f>IF(AND('Lap ED'!G54='Peta Risiko'!$D$7,'Lap ED'!H54='Peta Risiko'!$E$9),'Lap ED'!A54,"")</f>
        <v/>
      </c>
      <c r="S60" t="str">
        <f>IF(AND('Lap ED'!G54='Peta Risiko'!$D$7,'Lap ED'!H54='Peta Risiko'!$F$9),'Lap ED'!A54,"")</f>
        <v/>
      </c>
      <c r="T60" t="str">
        <f>IF(AND('Lap ED'!G54='Peta Risiko'!$D$7,'Lap ED'!H54='Peta Risiko'!$G$9),'Lap ED'!A54,"")</f>
        <v/>
      </c>
      <c r="U60" t="str">
        <f>IF(AND('Lap ED'!G54='Peta Risiko'!$D$7,'Lap ED'!H54='Peta Risiko'!$H$9),'Lap ED'!A54,"")</f>
        <v/>
      </c>
      <c r="V60" t="str">
        <f>IF(AND('Lap ED'!G54='Peta Risiko'!$D$7,'Lap ED'!H54='Peta Risiko'!$I$9),'Lap ED'!A54,"")</f>
        <v/>
      </c>
      <c r="W60" t="str">
        <f>IF(AND('Lap ED'!G54='Peta Risiko'!$D$8,'Lap ED'!H54='Peta Risiko'!$E$9),'Lap ED'!A54,"")</f>
        <v/>
      </c>
      <c r="X60" t="str">
        <f>IF(AND('Lap ED'!G54='Peta Risiko'!$D$8,'Lap ED'!H54='Peta Risiko'!$F$9),'Lap ED'!A54,"")</f>
        <v/>
      </c>
      <c r="Y60" t="str">
        <f>IF(AND('Lap ED'!G54='Peta Risiko'!$D$8,'Lap ED'!H54='Peta Risiko'!$G$9),'Lap ED'!A54,"")</f>
        <v/>
      </c>
      <c r="Z60" t="str">
        <f>IF(AND('Lap ED'!G54='Peta Risiko'!$D$8,'Lap ED'!H54='Peta Risiko'!$H$9),'Lap ED'!A54,"")</f>
        <v/>
      </c>
      <c r="AA60" t="str">
        <f>IF(AND('Lap ED'!G54='Peta Risiko'!$D$8,'Lap ED'!H54='Peta Risiko'!$I$9),'Lap ED'!A54,"")</f>
        <v/>
      </c>
    </row>
    <row r="61" spans="2:27" hidden="1" x14ac:dyDescent="0.25">
      <c r="B61">
        <v>47</v>
      </c>
      <c r="C61" t="str">
        <f>IF(AND('Lap ED'!G55='Peta Risiko'!$D$4,'Lap ED'!H55='Peta Risiko'!$E$9),'Lap ED'!A55,"")</f>
        <v/>
      </c>
      <c r="D61" t="str">
        <f>IF(AND('Lap ED'!G55='Peta Risiko'!$D$4,'Lap ED'!H55='Peta Risiko'!$F$9),'Lap ED'!A55,"")</f>
        <v/>
      </c>
      <c r="E61" t="str">
        <f>IF(AND('Lap ED'!G55='Peta Risiko'!$D$4,'Lap ED'!H55='Peta Risiko'!$G$9),'Lap ED'!A55,"")</f>
        <v/>
      </c>
      <c r="F61" t="str">
        <f>IF(AND('Lap ED'!G55='Peta Risiko'!$D$4,'Lap ED'!H55='Peta Risiko'!$H$9),'Lap ED'!A55,"")</f>
        <v/>
      </c>
      <c r="G61" t="str">
        <f>IF(AND('Lap ED'!G55='Peta Risiko'!$D$4,'Lap ED'!H55='Peta Risiko'!$I$9),'Lap ED'!A55,"")</f>
        <v/>
      </c>
      <c r="H61" t="str">
        <f>IF(AND('Lap ED'!G55='Peta Risiko'!$D$5,'Lap ED'!H55='Peta Risiko'!$E$9),'Lap ED'!A55,"")</f>
        <v/>
      </c>
      <c r="I61" t="str">
        <f>IF(AND('Lap ED'!G55='Peta Risiko'!$D$5,'Lap ED'!H55='Peta Risiko'!$F$9),'Lap ED'!A55,"")</f>
        <v/>
      </c>
      <c r="J61" t="str">
        <f>IF(AND('Lap ED'!G55='Peta Risiko'!$D$5,'Lap ED'!H55='Peta Risiko'!$G$9),'Lap ED'!A55,"")</f>
        <v/>
      </c>
      <c r="K61" t="str">
        <f>IF(AND('Lap ED'!G55='Peta Risiko'!$D$5,'Lap ED'!H55='Peta Risiko'!$H$9),'Lap ED'!A55,"")</f>
        <v/>
      </c>
      <c r="L61" t="str">
        <f>IF(AND('Lap ED'!G55='Peta Risiko'!$D$5,'Lap ED'!H55='Peta Risiko'!$I$9),'Lap ED'!A55,"")</f>
        <v/>
      </c>
      <c r="M61" t="str">
        <f>IF(AND('Lap ED'!G55='Peta Risiko'!$D$6,'Lap ED'!H55='Peta Risiko'!$E$9),'Lap ED'!A55,"")</f>
        <v/>
      </c>
      <c r="N61" t="str">
        <f>IF(AND('Lap ED'!G55='Peta Risiko'!$D$6,'Lap ED'!H55='Peta Risiko'!$F$9),'Lap ED'!A55,"")</f>
        <v/>
      </c>
      <c r="O61" t="str">
        <f>IF(AND('Lap ED'!G55='Peta Risiko'!$D$6,'Lap ED'!H55='Peta Risiko'!$G$9),'Lap ED'!A55,"")</f>
        <v/>
      </c>
      <c r="P61" t="str">
        <f>IF(AND('Lap ED'!G55='Peta Risiko'!$D$6,'Lap ED'!H55='Peta Risiko'!$H$9),'Lap ED'!A55,"")</f>
        <v/>
      </c>
      <c r="Q61" t="str">
        <f>IF(AND('Lap ED'!G55='Peta Risiko'!$D$6,'Lap ED'!H55='Peta Risiko'!$I$9),'Lap ED'!A55,"")</f>
        <v/>
      </c>
      <c r="R61" t="str">
        <f>IF(AND('Lap ED'!G55='Peta Risiko'!$D$7,'Lap ED'!H55='Peta Risiko'!$E$9),'Lap ED'!A55,"")</f>
        <v/>
      </c>
      <c r="S61" t="str">
        <f>IF(AND('Lap ED'!G55='Peta Risiko'!$D$7,'Lap ED'!H55='Peta Risiko'!$F$9),'Lap ED'!A55,"")</f>
        <v/>
      </c>
      <c r="T61" t="str">
        <f>IF(AND('Lap ED'!G55='Peta Risiko'!$D$7,'Lap ED'!H55='Peta Risiko'!$G$9),'Lap ED'!A55,"")</f>
        <v/>
      </c>
      <c r="U61" t="str">
        <f>IF(AND('Lap ED'!G55='Peta Risiko'!$D$7,'Lap ED'!H55='Peta Risiko'!$H$9),'Lap ED'!A55,"")</f>
        <v/>
      </c>
      <c r="V61" t="str">
        <f>IF(AND('Lap ED'!G55='Peta Risiko'!$D$7,'Lap ED'!H55='Peta Risiko'!$I$9),'Lap ED'!A55,"")</f>
        <v/>
      </c>
      <c r="W61" t="str">
        <f>IF(AND('Lap ED'!G55='Peta Risiko'!$D$8,'Lap ED'!H55='Peta Risiko'!$E$9),'Lap ED'!A55,"")</f>
        <v/>
      </c>
      <c r="X61" t="str">
        <f>IF(AND('Lap ED'!G55='Peta Risiko'!$D$8,'Lap ED'!H55='Peta Risiko'!$F$9),'Lap ED'!A55,"")</f>
        <v/>
      </c>
      <c r="Y61" t="str">
        <f>IF(AND('Lap ED'!G55='Peta Risiko'!$D$8,'Lap ED'!H55='Peta Risiko'!$G$9),'Lap ED'!A55,"")</f>
        <v/>
      </c>
      <c r="Z61" t="str">
        <f>IF(AND('Lap ED'!G55='Peta Risiko'!$D$8,'Lap ED'!H55='Peta Risiko'!$H$9),'Lap ED'!A55,"")</f>
        <v/>
      </c>
      <c r="AA61" t="str">
        <f>IF(AND('Lap ED'!G55='Peta Risiko'!$D$8,'Lap ED'!H55='Peta Risiko'!$I$9),'Lap ED'!A55,"")</f>
        <v/>
      </c>
    </row>
    <row r="62" spans="2:27" hidden="1" x14ac:dyDescent="0.25">
      <c r="B62">
        <v>48</v>
      </c>
      <c r="C62" t="str">
        <f>IF(AND('Lap ED'!G56='Peta Risiko'!$D$4,'Lap ED'!H56='Peta Risiko'!$E$9),'Lap ED'!A56,"")</f>
        <v/>
      </c>
      <c r="D62" t="str">
        <f>IF(AND('Lap ED'!G56='Peta Risiko'!$D$4,'Lap ED'!H56='Peta Risiko'!$F$9),'Lap ED'!A56,"")</f>
        <v/>
      </c>
      <c r="E62" t="str">
        <f>IF(AND('Lap ED'!G56='Peta Risiko'!$D$4,'Lap ED'!H56='Peta Risiko'!$G$9),'Lap ED'!A56,"")</f>
        <v/>
      </c>
      <c r="F62" t="str">
        <f>IF(AND('Lap ED'!G56='Peta Risiko'!$D$4,'Lap ED'!H56='Peta Risiko'!$H$9),'Lap ED'!A56,"")</f>
        <v/>
      </c>
      <c r="G62" t="str">
        <f>IF(AND('Lap ED'!G56='Peta Risiko'!$D$4,'Lap ED'!H56='Peta Risiko'!$I$9),'Lap ED'!A56,"")</f>
        <v/>
      </c>
      <c r="H62" t="str">
        <f>IF(AND('Lap ED'!G56='Peta Risiko'!$D$5,'Lap ED'!H56='Peta Risiko'!$E$9),'Lap ED'!A56,"")</f>
        <v/>
      </c>
      <c r="I62" t="str">
        <f>IF(AND('Lap ED'!G56='Peta Risiko'!$D$5,'Lap ED'!H56='Peta Risiko'!$F$9),'Lap ED'!A56,"")</f>
        <v/>
      </c>
      <c r="J62" t="str">
        <f>IF(AND('Lap ED'!G56='Peta Risiko'!$D$5,'Lap ED'!H56='Peta Risiko'!$G$9),'Lap ED'!A56,"")</f>
        <v/>
      </c>
      <c r="K62" t="str">
        <f>IF(AND('Lap ED'!G56='Peta Risiko'!$D$5,'Lap ED'!H56='Peta Risiko'!$H$9),'Lap ED'!A56,"")</f>
        <v/>
      </c>
      <c r="L62" t="str">
        <f>IF(AND('Lap ED'!G56='Peta Risiko'!$D$5,'Lap ED'!H56='Peta Risiko'!$I$9),'Lap ED'!A56,"")</f>
        <v/>
      </c>
      <c r="M62">
        <f>IF(AND('Lap ED'!G56='Peta Risiko'!$D$6,'Lap ED'!H56='Peta Risiko'!$E$9),'Lap ED'!A56,"")</f>
        <v>48</v>
      </c>
      <c r="N62" t="str">
        <f>IF(AND('Lap ED'!G56='Peta Risiko'!$D$6,'Lap ED'!H56='Peta Risiko'!$F$9),'Lap ED'!A56,"")</f>
        <v/>
      </c>
      <c r="O62" t="str">
        <f>IF(AND('Lap ED'!G56='Peta Risiko'!$D$6,'Lap ED'!H56='Peta Risiko'!$G$9),'Lap ED'!A56,"")</f>
        <v/>
      </c>
      <c r="P62" t="str">
        <f>IF(AND('Lap ED'!G56='Peta Risiko'!$D$6,'Lap ED'!H56='Peta Risiko'!$H$9),'Lap ED'!A56,"")</f>
        <v/>
      </c>
      <c r="Q62" t="str">
        <f>IF(AND('Lap ED'!G56='Peta Risiko'!$D$6,'Lap ED'!H56='Peta Risiko'!$I$9),'Lap ED'!A56,"")</f>
        <v/>
      </c>
      <c r="R62" t="str">
        <f>IF(AND('Lap ED'!G56='Peta Risiko'!$D$7,'Lap ED'!H56='Peta Risiko'!$E$9),'Lap ED'!A56,"")</f>
        <v/>
      </c>
      <c r="S62" t="str">
        <f>IF(AND('Lap ED'!G56='Peta Risiko'!$D$7,'Lap ED'!H56='Peta Risiko'!$F$9),'Lap ED'!A56,"")</f>
        <v/>
      </c>
      <c r="T62" t="str">
        <f>IF(AND('Lap ED'!G56='Peta Risiko'!$D$7,'Lap ED'!H56='Peta Risiko'!$G$9),'Lap ED'!A56,"")</f>
        <v/>
      </c>
      <c r="U62" t="str">
        <f>IF(AND('Lap ED'!G56='Peta Risiko'!$D$7,'Lap ED'!H56='Peta Risiko'!$H$9),'Lap ED'!A56,"")</f>
        <v/>
      </c>
      <c r="V62" t="str">
        <f>IF(AND('Lap ED'!G56='Peta Risiko'!$D$7,'Lap ED'!H56='Peta Risiko'!$I$9),'Lap ED'!A56,"")</f>
        <v/>
      </c>
      <c r="W62" t="str">
        <f>IF(AND('Lap ED'!G56='Peta Risiko'!$D$8,'Lap ED'!H56='Peta Risiko'!$E$9),'Lap ED'!A56,"")</f>
        <v/>
      </c>
      <c r="X62" t="str">
        <f>IF(AND('Lap ED'!G56='Peta Risiko'!$D$8,'Lap ED'!H56='Peta Risiko'!$F$9),'Lap ED'!A56,"")</f>
        <v/>
      </c>
      <c r="Y62" t="str">
        <f>IF(AND('Lap ED'!G56='Peta Risiko'!$D$8,'Lap ED'!H56='Peta Risiko'!$G$9),'Lap ED'!A56,"")</f>
        <v/>
      </c>
      <c r="Z62" t="str">
        <f>IF(AND('Lap ED'!G56='Peta Risiko'!$D$8,'Lap ED'!H56='Peta Risiko'!$H$9),'Lap ED'!A56,"")</f>
        <v/>
      </c>
      <c r="AA62" t="str">
        <f>IF(AND('Lap ED'!G56='Peta Risiko'!$D$8,'Lap ED'!H56='Peta Risiko'!$I$9),'Lap ED'!A56,"")</f>
        <v/>
      </c>
    </row>
    <row r="63" spans="2:27" hidden="1" x14ac:dyDescent="0.25">
      <c r="B63">
        <v>49</v>
      </c>
      <c r="C63" t="str">
        <f>IF(AND('Lap ED'!G57='Peta Risiko'!$D$4,'Lap ED'!H57='Peta Risiko'!$E$9),'Lap ED'!A57,"")</f>
        <v/>
      </c>
      <c r="D63" t="str">
        <f>IF(AND('Lap ED'!G57='Peta Risiko'!$D$4,'Lap ED'!H57='Peta Risiko'!$F$9),'Lap ED'!A57,"")</f>
        <v/>
      </c>
      <c r="E63" t="str">
        <f>IF(AND('Lap ED'!G57='Peta Risiko'!$D$4,'Lap ED'!H57='Peta Risiko'!$G$9),'Lap ED'!A57,"")</f>
        <v/>
      </c>
      <c r="F63" t="str">
        <f>IF(AND('Lap ED'!G57='Peta Risiko'!$D$4,'Lap ED'!H57='Peta Risiko'!$H$9),'Lap ED'!A57,"")</f>
        <v/>
      </c>
      <c r="G63" t="str">
        <f>IF(AND('Lap ED'!G57='Peta Risiko'!$D$4,'Lap ED'!H57='Peta Risiko'!$I$9),'Lap ED'!A57,"")</f>
        <v/>
      </c>
      <c r="H63" t="str">
        <f>IF(AND('Lap ED'!G57='Peta Risiko'!$D$5,'Lap ED'!H57='Peta Risiko'!$E$9),'Lap ED'!A57,"")</f>
        <v/>
      </c>
      <c r="I63" t="str">
        <f>IF(AND('Lap ED'!G57='Peta Risiko'!$D$5,'Lap ED'!H57='Peta Risiko'!$F$9),'Lap ED'!A57,"")</f>
        <v/>
      </c>
      <c r="J63" t="str">
        <f>IF(AND('Lap ED'!G57='Peta Risiko'!$D$5,'Lap ED'!H57='Peta Risiko'!$G$9),'Lap ED'!A57,"")</f>
        <v/>
      </c>
      <c r="K63" t="str">
        <f>IF(AND('Lap ED'!G57='Peta Risiko'!$D$5,'Lap ED'!H57='Peta Risiko'!$H$9),'Lap ED'!A57,"")</f>
        <v/>
      </c>
      <c r="L63" t="str">
        <f>IF(AND('Lap ED'!G57='Peta Risiko'!$D$5,'Lap ED'!H57='Peta Risiko'!$I$9),'Lap ED'!A57,"")</f>
        <v/>
      </c>
      <c r="M63">
        <f>IF(AND('Lap ED'!G57='Peta Risiko'!$D$6,'Lap ED'!H57='Peta Risiko'!$E$9),'Lap ED'!A57,"")</f>
        <v>49</v>
      </c>
      <c r="N63" t="str">
        <f>IF(AND('Lap ED'!G57='Peta Risiko'!$D$6,'Lap ED'!H57='Peta Risiko'!$F$9),'Lap ED'!A57,"")</f>
        <v/>
      </c>
      <c r="O63" t="str">
        <f>IF(AND('Lap ED'!G57='Peta Risiko'!$D$6,'Lap ED'!H57='Peta Risiko'!$G$9),'Lap ED'!A57,"")</f>
        <v/>
      </c>
      <c r="P63" t="str">
        <f>IF(AND('Lap ED'!G57='Peta Risiko'!$D$6,'Lap ED'!H57='Peta Risiko'!$H$9),'Lap ED'!A57,"")</f>
        <v/>
      </c>
      <c r="Q63" t="str">
        <f>IF(AND('Lap ED'!G57='Peta Risiko'!$D$6,'Lap ED'!H57='Peta Risiko'!$I$9),'Lap ED'!A57,"")</f>
        <v/>
      </c>
      <c r="R63" t="str">
        <f>IF(AND('Lap ED'!G57='Peta Risiko'!$D$7,'Lap ED'!H57='Peta Risiko'!$E$9),'Lap ED'!A57,"")</f>
        <v/>
      </c>
      <c r="S63" t="str">
        <f>IF(AND('Lap ED'!G57='Peta Risiko'!$D$7,'Lap ED'!H57='Peta Risiko'!$F$9),'Lap ED'!A57,"")</f>
        <v/>
      </c>
      <c r="T63" t="str">
        <f>IF(AND('Lap ED'!G57='Peta Risiko'!$D$7,'Lap ED'!H57='Peta Risiko'!$G$9),'Lap ED'!A57,"")</f>
        <v/>
      </c>
      <c r="U63" t="str">
        <f>IF(AND('Lap ED'!G57='Peta Risiko'!$D$7,'Lap ED'!H57='Peta Risiko'!$H$9),'Lap ED'!A57,"")</f>
        <v/>
      </c>
      <c r="V63" t="str">
        <f>IF(AND('Lap ED'!G57='Peta Risiko'!$D$7,'Lap ED'!H57='Peta Risiko'!$I$9),'Lap ED'!A57,"")</f>
        <v/>
      </c>
      <c r="W63" t="str">
        <f>IF(AND('Lap ED'!G57='Peta Risiko'!$D$8,'Lap ED'!H57='Peta Risiko'!$E$9),'Lap ED'!A57,"")</f>
        <v/>
      </c>
      <c r="X63" t="str">
        <f>IF(AND('Lap ED'!G57='Peta Risiko'!$D$8,'Lap ED'!H57='Peta Risiko'!$F$9),'Lap ED'!A57,"")</f>
        <v/>
      </c>
      <c r="Y63" t="str">
        <f>IF(AND('Lap ED'!G57='Peta Risiko'!$D$8,'Lap ED'!H57='Peta Risiko'!$G$9),'Lap ED'!A57,"")</f>
        <v/>
      </c>
      <c r="Z63" t="str">
        <f>IF(AND('Lap ED'!G57='Peta Risiko'!$D$8,'Lap ED'!H57='Peta Risiko'!$H$9),'Lap ED'!A57,"")</f>
        <v/>
      </c>
      <c r="AA63" t="str">
        <f>IF(AND('Lap ED'!G57='Peta Risiko'!$D$8,'Lap ED'!H57='Peta Risiko'!$I$9),'Lap ED'!A57,"")</f>
        <v/>
      </c>
    </row>
    <row r="64" spans="2:27" hidden="1" x14ac:dyDescent="0.25">
      <c r="B64">
        <v>50</v>
      </c>
      <c r="C64" t="str">
        <f>IF(AND('Lap ED'!G59='Peta Risiko'!$D$4,'Lap ED'!H59='Peta Risiko'!$E$9),'Lap ED'!A59,"")</f>
        <v/>
      </c>
      <c r="D64" t="str">
        <f>IF(AND('Lap ED'!G59='Peta Risiko'!$D$4,'Lap ED'!H59='Peta Risiko'!$F$9),'Lap ED'!A59,"")</f>
        <v/>
      </c>
      <c r="E64" t="str">
        <f>IF(AND('Lap ED'!G59='Peta Risiko'!$D$4,'Lap ED'!H59='Peta Risiko'!$G$9),'Lap ED'!A59,"")</f>
        <v/>
      </c>
      <c r="F64" t="str">
        <f>IF(AND('Lap ED'!G59='Peta Risiko'!$D$4,'Lap ED'!H59='Peta Risiko'!$H$9),'Lap ED'!A59,"")</f>
        <v/>
      </c>
      <c r="G64" t="str">
        <f>IF(AND('Lap ED'!G59='Peta Risiko'!$D$4,'Lap ED'!H59='Peta Risiko'!$I$9),'Lap ED'!A59,"")</f>
        <v/>
      </c>
      <c r="H64" t="str">
        <f>IF(AND('Lap ED'!G59='Peta Risiko'!$D$5,'Lap ED'!H59='Peta Risiko'!$E$9),'Lap ED'!A59,"")</f>
        <v/>
      </c>
      <c r="I64" t="str">
        <f>IF(AND('Lap ED'!G59='Peta Risiko'!$D$5,'Lap ED'!H59='Peta Risiko'!$F$9),'Lap ED'!A59,"")</f>
        <v/>
      </c>
      <c r="J64" t="str">
        <f>IF(AND('Lap ED'!G59='Peta Risiko'!$D$5,'Lap ED'!H59='Peta Risiko'!$G$9),'Lap ED'!A59,"")</f>
        <v/>
      </c>
      <c r="K64" t="str">
        <f>IF(AND('Lap ED'!G59='Peta Risiko'!$D$5,'Lap ED'!H59='Peta Risiko'!$H$9),'Lap ED'!A59,"")</f>
        <v/>
      </c>
      <c r="L64" t="str">
        <f>IF(AND('Lap ED'!G59='Peta Risiko'!$D$5,'Lap ED'!H59='Peta Risiko'!$I$9),'Lap ED'!A59,"")</f>
        <v/>
      </c>
      <c r="M64">
        <f>IF(AND('Lap ED'!G59='Peta Risiko'!$D$6,'Lap ED'!H59='Peta Risiko'!$E$9),'Lap ED'!A59,"")</f>
        <v>50</v>
      </c>
      <c r="N64" t="str">
        <f>IF(AND('Lap ED'!G59='Peta Risiko'!$D$6,'Lap ED'!H59='Peta Risiko'!$F$9),'Lap ED'!A59,"")</f>
        <v/>
      </c>
      <c r="O64" t="str">
        <f>IF(AND('Lap ED'!G59='Peta Risiko'!$D$6,'Lap ED'!H59='Peta Risiko'!$G$9),'Lap ED'!A59,"")</f>
        <v/>
      </c>
      <c r="P64" t="str">
        <f>IF(AND('Lap ED'!G59='Peta Risiko'!$D$6,'Lap ED'!H59='Peta Risiko'!$H$9),'Lap ED'!A59,"")</f>
        <v/>
      </c>
      <c r="Q64" t="str">
        <f>IF(AND('Lap ED'!G59='Peta Risiko'!$D$6,'Lap ED'!H59='Peta Risiko'!$I$9),'Lap ED'!A59,"")</f>
        <v/>
      </c>
      <c r="R64" t="str">
        <f>IF(AND('Lap ED'!G59='Peta Risiko'!$D$7,'Lap ED'!H59='Peta Risiko'!$E$9),'Lap ED'!A59,"")</f>
        <v/>
      </c>
      <c r="S64" t="str">
        <f>IF(AND('Lap ED'!G59='Peta Risiko'!$D$7,'Lap ED'!H59='Peta Risiko'!$F$9),'Lap ED'!A59,"")</f>
        <v/>
      </c>
      <c r="T64" t="str">
        <f>IF(AND('Lap ED'!G59='Peta Risiko'!$D$7,'Lap ED'!H59='Peta Risiko'!$G$9),'Lap ED'!A59,"")</f>
        <v/>
      </c>
      <c r="U64" t="str">
        <f>IF(AND('Lap ED'!G59='Peta Risiko'!$D$7,'Lap ED'!H59='Peta Risiko'!$H$9),'Lap ED'!A59,"")</f>
        <v/>
      </c>
      <c r="V64" t="str">
        <f>IF(AND('Lap ED'!G59='Peta Risiko'!$D$7,'Lap ED'!H59='Peta Risiko'!$I$9),'Lap ED'!A59,"")</f>
        <v/>
      </c>
      <c r="W64" t="str">
        <f>IF(AND('Lap ED'!G59='Peta Risiko'!$D$8,'Lap ED'!H59='Peta Risiko'!$E$9),'Lap ED'!A59,"")</f>
        <v/>
      </c>
      <c r="X64" t="str">
        <f>IF(AND('Lap ED'!G59='Peta Risiko'!$D$8,'Lap ED'!H59='Peta Risiko'!$F$9),'Lap ED'!A59,"")</f>
        <v/>
      </c>
      <c r="Y64" t="str">
        <f>IF(AND('Lap ED'!G59='Peta Risiko'!$D$8,'Lap ED'!H59='Peta Risiko'!$G$9),'Lap ED'!A59,"")</f>
        <v/>
      </c>
      <c r="Z64" t="str">
        <f>IF(AND('Lap ED'!G59='Peta Risiko'!$D$8,'Lap ED'!H59='Peta Risiko'!$H$9),'Lap ED'!A59,"")</f>
        <v/>
      </c>
      <c r="AA64" t="str">
        <f>IF(AND('Lap ED'!G59='Peta Risiko'!$D$8,'Lap ED'!H59='Peta Risiko'!$I$9),'Lap ED'!A59,"")</f>
        <v/>
      </c>
    </row>
    <row r="65" spans="2:27" hidden="1" x14ac:dyDescent="0.25">
      <c r="B65">
        <v>51</v>
      </c>
      <c r="C65" t="str">
        <f>IF(AND('Lap ED'!G60='Peta Risiko'!$D$4,'Lap ED'!H60='Peta Risiko'!$E$9),'Lap ED'!A60,"")</f>
        <v/>
      </c>
      <c r="D65" t="str">
        <f>IF(AND('Lap ED'!G60='Peta Risiko'!$D$4,'Lap ED'!H60='Peta Risiko'!$F$9),'Lap ED'!A60,"")</f>
        <v/>
      </c>
      <c r="E65" t="str">
        <f>IF(AND('Lap ED'!G60='Peta Risiko'!$D$4,'Lap ED'!H60='Peta Risiko'!$G$9),'Lap ED'!A60,"")</f>
        <v/>
      </c>
      <c r="F65" t="str">
        <f>IF(AND('Lap ED'!G60='Peta Risiko'!$D$4,'Lap ED'!H60='Peta Risiko'!$H$9),'Lap ED'!A60,"")</f>
        <v/>
      </c>
      <c r="G65" t="str">
        <f>IF(AND('Lap ED'!G60='Peta Risiko'!$D$4,'Lap ED'!H60='Peta Risiko'!$I$9),'Lap ED'!A60,"")</f>
        <v/>
      </c>
      <c r="H65" t="str">
        <f>IF(AND('Lap ED'!G60='Peta Risiko'!$D$5,'Lap ED'!H60='Peta Risiko'!$E$9),'Lap ED'!A60,"")</f>
        <v/>
      </c>
      <c r="I65" t="str">
        <f>IF(AND('Lap ED'!G60='Peta Risiko'!$D$5,'Lap ED'!H60='Peta Risiko'!$F$9),'Lap ED'!A60,"")</f>
        <v/>
      </c>
      <c r="J65" t="str">
        <f>IF(AND('Lap ED'!G60='Peta Risiko'!$D$5,'Lap ED'!H60='Peta Risiko'!$G$9),'Lap ED'!A60,"")</f>
        <v/>
      </c>
      <c r="K65" t="str">
        <f>IF(AND('Lap ED'!G60='Peta Risiko'!$D$5,'Lap ED'!H60='Peta Risiko'!$H$9),'Lap ED'!A60,"")</f>
        <v/>
      </c>
      <c r="L65" t="str">
        <f>IF(AND('Lap ED'!G60='Peta Risiko'!$D$5,'Lap ED'!H60='Peta Risiko'!$I$9),'Lap ED'!A60,"")</f>
        <v/>
      </c>
      <c r="M65">
        <f>IF(AND('Lap ED'!G60='Peta Risiko'!$D$6,'Lap ED'!H60='Peta Risiko'!$E$9),'Lap ED'!A60,"")</f>
        <v>51</v>
      </c>
      <c r="N65" t="str">
        <f>IF(AND('Lap ED'!G60='Peta Risiko'!$D$6,'Lap ED'!H60='Peta Risiko'!$F$9),'Lap ED'!A60,"")</f>
        <v/>
      </c>
      <c r="O65" t="str">
        <f>IF(AND('Lap ED'!G60='Peta Risiko'!$D$6,'Lap ED'!H60='Peta Risiko'!$G$9),'Lap ED'!A60,"")</f>
        <v/>
      </c>
      <c r="P65" t="str">
        <f>IF(AND('Lap ED'!G60='Peta Risiko'!$D$6,'Lap ED'!H60='Peta Risiko'!$H$9),'Lap ED'!A60,"")</f>
        <v/>
      </c>
      <c r="Q65" t="str">
        <f>IF(AND('Lap ED'!G60='Peta Risiko'!$D$6,'Lap ED'!H60='Peta Risiko'!$I$9),'Lap ED'!A60,"")</f>
        <v/>
      </c>
      <c r="R65" t="str">
        <f>IF(AND('Lap ED'!G60='Peta Risiko'!$D$7,'Lap ED'!H60='Peta Risiko'!$E$9),'Lap ED'!A60,"")</f>
        <v/>
      </c>
      <c r="S65" t="str">
        <f>IF(AND('Lap ED'!G60='Peta Risiko'!$D$7,'Lap ED'!H60='Peta Risiko'!$F$9),'Lap ED'!A60,"")</f>
        <v/>
      </c>
      <c r="T65" t="str">
        <f>IF(AND('Lap ED'!G60='Peta Risiko'!$D$7,'Lap ED'!H60='Peta Risiko'!$G$9),'Lap ED'!A60,"")</f>
        <v/>
      </c>
      <c r="U65" t="str">
        <f>IF(AND('Lap ED'!G60='Peta Risiko'!$D$7,'Lap ED'!H60='Peta Risiko'!$H$9),'Lap ED'!A60,"")</f>
        <v/>
      </c>
      <c r="V65" t="str">
        <f>IF(AND('Lap ED'!G60='Peta Risiko'!$D$7,'Lap ED'!H60='Peta Risiko'!$I$9),'Lap ED'!A60,"")</f>
        <v/>
      </c>
      <c r="W65" t="str">
        <f>IF(AND('Lap ED'!G60='Peta Risiko'!$D$8,'Lap ED'!H60='Peta Risiko'!$E$9),'Lap ED'!A60,"")</f>
        <v/>
      </c>
      <c r="X65" t="str">
        <f>IF(AND('Lap ED'!G60='Peta Risiko'!$D$8,'Lap ED'!H60='Peta Risiko'!$F$9),'Lap ED'!A60,"")</f>
        <v/>
      </c>
      <c r="Y65" t="str">
        <f>IF(AND('Lap ED'!G60='Peta Risiko'!$D$8,'Lap ED'!H60='Peta Risiko'!$G$9),'Lap ED'!A60,"")</f>
        <v/>
      </c>
      <c r="Z65" t="str">
        <f>IF(AND('Lap ED'!G60='Peta Risiko'!$D$8,'Lap ED'!H60='Peta Risiko'!$H$9),'Lap ED'!A60,"")</f>
        <v/>
      </c>
      <c r="AA65" t="str">
        <f>IF(AND('Lap ED'!G60='Peta Risiko'!$D$8,'Lap ED'!H60='Peta Risiko'!$I$9),'Lap ED'!A60,"")</f>
        <v/>
      </c>
    </row>
    <row r="66" spans="2:27" hidden="1" x14ac:dyDescent="0.25">
      <c r="B66">
        <v>52</v>
      </c>
      <c r="C66" t="str">
        <f>IF(AND('Lap ED'!G61='Peta Risiko'!$D$4,'Lap ED'!H61='Peta Risiko'!$E$9),'Lap ED'!A61,"")</f>
        <v/>
      </c>
      <c r="D66" t="str">
        <f>IF(AND('Lap ED'!G61='Peta Risiko'!$D$4,'Lap ED'!H61='Peta Risiko'!$F$9),'Lap ED'!A61,"")</f>
        <v/>
      </c>
      <c r="E66" t="str">
        <f>IF(AND('Lap ED'!G61='Peta Risiko'!$D$4,'Lap ED'!H61='Peta Risiko'!$G$9),'Lap ED'!A61,"")</f>
        <v/>
      </c>
      <c r="F66" t="str">
        <f>IF(AND('Lap ED'!G61='Peta Risiko'!$D$4,'Lap ED'!H61='Peta Risiko'!$H$9),'Lap ED'!A61,"")</f>
        <v/>
      </c>
      <c r="G66" t="str">
        <f>IF(AND('Lap ED'!G61='Peta Risiko'!$D$4,'Lap ED'!H61='Peta Risiko'!$I$9),'Lap ED'!A61,"")</f>
        <v/>
      </c>
      <c r="H66" t="str">
        <f>IF(AND('Lap ED'!G61='Peta Risiko'!$D$5,'Lap ED'!H61='Peta Risiko'!$E$9),'Lap ED'!A61,"")</f>
        <v/>
      </c>
      <c r="I66" t="str">
        <f>IF(AND('Lap ED'!G61='Peta Risiko'!$D$5,'Lap ED'!H61='Peta Risiko'!$F$9),'Lap ED'!A61,"")</f>
        <v/>
      </c>
      <c r="J66" t="str">
        <f>IF(AND('Lap ED'!G61='Peta Risiko'!$D$5,'Lap ED'!H61='Peta Risiko'!$G$9),'Lap ED'!A61,"")</f>
        <v/>
      </c>
      <c r="K66" t="str">
        <f>IF(AND('Lap ED'!G61='Peta Risiko'!$D$5,'Lap ED'!H61='Peta Risiko'!$H$9),'Lap ED'!A61,"")</f>
        <v/>
      </c>
      <c r="L66" t="str">
        <f>IF(AND('Lap ED'!G61='Peta Risiko'!$D$5,'Lap ED'!H61='Peta Risiko'!$I$9),'Lap ED'!A61,"")</f>
        <v/>
      </c>
      <c r="M66">
        <f>IF(AND('Lap ED'!G61='Peta Risiko'!$D$6,'Lap ED'!H61='Peta Risiko'!$E$9),'Lap ED'!A61,"")</f>
        <v>52</v>
      </c>
      <c r="N66" t="str">
        <f>IF(AND('Lap ED'!G61='Peta Risiko'!$D$6,'Lap ED'!H61='Peta Risiko'!$F$9),'Lap ED'!A61,"")</f>
        <v/>
      </c>
      <c r="O66" t="str">
        <f>IF(AND('Lap ED'!G61='Peta Risiko'!$D$6,'Lap ED'!H61='Peta Risiko'!$G$9),'Lap ED'!A61,"")</f>
        <v/>
      </c>
      <c r="P66" t="str">
        <f>IF(AND('Lap ED'!G61='Peta Risiko'!$D$6,'Lap ED'!H61='Peta Risiko'!$H$9),'Lap ED'!A61,"")</f>
        <v/>
      </c>
      <c r="Q66" t="str">
        <f>IF(AND('Lap ED'!G61='Peta Risiko'!$D$6,'Lap ED'!H61='Peta Risiko'!$I$9),'Lap ED'!A61,"")</f>
        <v/>
      </c>
      <c r="R66" t="str">
        <f>IF(AND('Lap ED'!G61='Peta Risiko'!$D$7,'Lap ED'!H61='Peta Risiko'!$E$9),'Lap ED'!A61,"")</f>
        <v/>
      </c>
      <c r="S66" t="str">
        <f>IF(AND('Lap ED'!G61='Peta Risiko'!$D$7,'Lap ED'!H61='Peta Risiko'!$F$9),'Lap ED'!A61,"")</f>
        <v/>
      </c>
      <c r="T66" t="str">
        <f>IF(AND('Lap ED'!G61='Peta Risiko'!$D$7,'Lap ED'!H61='Peta Risiko'!$G$9),'Lap ED'!A61,"")</f>
        <v/>
      </c>
      <c r="U66" t="str">
        <f>IF(AND('Lap ED'!G61='Peta Risiko'!$D$7,'Lap ED'!H61='Peta Risiko'!$H$9),'Lap ED'!A61,"")</f>
        <v/>
      </c>
      <c r="V66" t="str">
        <f>IF(AND('Lap ED'!G61='Peta Risiko'!$D$7,'Lap ED'!H61='Peta Risiko'!$I$9),'Lap ED'!A61,"")</f>
        <v/>
      </c>
      <c r="W66" t="str">
        <f>IF(AND('Lap ED'!G61='Peta Risiko'!$D$8,'Lap ED'!H61='Peta Risiko'!$E$9),'Lap ED'!A61,"")</f>
        <v/>
      </c>
      <c r="X66" t="str">
        <f>IF(AND('Lap ED'!G61='Peta Risiko'!$D$8,'Lap ED'!H61='Peta Risiko'!$F$9),'Lap ED'!A61,"")</f>
        <v/>
      </c>
      <c r="Y66" t="str">
        <f>IF(AND('Lap ED'!G61='Peta Risiko'!$D$8,'Lap ED'!H61='Peta Risiko'!$G$9),'Lap ED'!A61,"")</f>
        <v/>
      </c>
      <c r="Z66" t="str">
        <f>IF(AND('Lap ED'!G61='Peta Risiko'!$D$8,'Lap ED'!H61='Peta Risiko'!$H$9),'Lap ED'!A61,"")</f>
        <v/>
      </c>
      <c r="AA66" t="str">
        <f>IF(AND('Lap ED'!G61='Peta Risiko'!$D$8,'Lap ED'!H61='Peta Risiko'!$I$9),'Lap ED'!A61,"")</f>
        <v/>
      </c>
    </row>
    <row r="67" spans="2:27" hidden="1" x14ac:dyDescent="0.25">
      <c r="B67">
        <v>53</v>
      </c>
      <c r="C67" t="str">
        <f>IF(AND('Lap ED'!G62='Peta Risiko'!$D$4,'Lap ED'!H62='Peta Risiko'!$E$9),'Lap ED'!A62,"")</f>
        <v/>
      </c>
      <c r="D67" t="str">
        <f>IF(AND('Lap ED'!G62='Peta Risiko'!$D$4,'Lap ED'!H62='Peta Risiko'!$F$9),'Lap ED'!A62,"")</f>
        <v/>
      </c>
      <c r="E67" t="str">
        <f>IF(AND('Lap ED'!G62='Peta Risiko'!$D$4,'Lap ED'!H62='Peta Risiko'!$G$9),'Lap ED'!A62,"")</f>
        <v/>
      </c>
      <c r="F67" t="str">
        <f>IF(AND('Lap ED'!G62='Peta Risiko'!$D$4,'Lap ED'!H62='Peta Risiko'!$H$9),'Lap ED'!A62,"")</f>
        <v/>
      </c>
      <c r="G67" t="str">
        <f>IF(AND('Lap ED'!G62='Peta Risiko'!$D$4,'Lap ED'!H62='Peta Risiko'!$I$9),'Lap ED'!A62,"")</f>
        <v/>
      </c>
      <c r="H67" t="str">
        <f>IF(AND('Lap ED'!G62='Peta Risiko'!$D$5,'Lap ED'!H62='Peta Risiko'!$E$9),'Lap ED'!A62,"")</f>
        <v/>
      </c>
      <c r="I67" t="str">
        <f>IF(AND('Lap ED'!G62='Peta Risiko'!$D$5,'Lap ED'!H62='Peta Risiko'!$F$9),'Lap ED'!A62,"")</f>
        <v/>
      </c>
      <c r="J67" t="str">
        <f>IF(AND('Lap ED'!G62='Peta Risiko'!$D$5,'Lap ED'!H62='Peta Risiko'!$G$9),'Lap ED'!A62,"")</f>
        <v/>
      </c>
      <c r="K67" t="str">
        <f>IF(AND('Lap ED'!G62='Peta Risiko'!$D$5,'Lap ED'!H62='Peta Risiko'!$H$9),'Lap ED'!A62,"")</f>
        <v/>
      </c>
      <c r="L67" t="str">
        <f>IF(AND('Lap ED'!G62='Peta Risiko'!$D$5,'Lap ED'!H62='Peta Risiko'!$I$9),'Lap ED'!A62,"")</f>
        <v/>
      </c>
      <c r="M67">
        <f>IF(AND('Lap ED'!G62='Peta Risiko'!$D$6,'Lap ED'!H62='Peta Risiko'!$E$9),'Lap ED'!A62,"")</f>
        <v>53</v>
      </c>
      <c r="N67" t="str">
        <f>IF(AND('Lap ED'!G62='Peta Risiko'!$D$6,'Lap ED'!H62='Peta Risiko'!$F$9),'Lap ED'!A62,"")</f>
        <v/>
      </c>
      <c r="O67" t="str">
        <f>IF(AND('Lap ED'!G62='Peta Risiko'!$D$6,'Lap ED'!H62='Peta Risiko'!$G$9),'Lap ED'!A62,"")</f>
        <v/>
      </c>
      <c r="P67" t="str">
        <f>IF(AND('Lap ED'!G62='Peta Risiko'!$D$6,'Lap ED'!H62='Peta Risiko'!$H$9),'Lap ED'!A62,"")</f>
        <v/>
      </c>
      <c r="Q67" t="str">
        <f>IF(AND('Lap ED'!G62='Peta Risiko'!$D$6,'Lap ED'!H62='Peta Risiko'!$I$9),'Lap ED'!A62,"")</f>
        <v/>
      </c>
      <c r="R67" t="str">
        <f>IF(AND('Lap ED'!G62='Peta Risiko'!$D$7,'Lap ED'!H62='Peta Risiko'!$E$9),'Lap ED'!A62,"")</f>
        <v/>
      </c>
      <c r="S67" t="str">
        <f>IF(AND('Lap ED'!G62='Peta Risiko'!$D$7,'Lap ED'!H62='Peta Risiko'!$F$9),'Lap ED'!A62,"")</f>
        <v/>
      </c>
      <c r="T67" t="str">
        <f>IF(AND('Lap ED'!G62='Peta Risiko'!$D$7,'Lap ED'!H62='Peta Risiko'!$G$9),'Lap ED'!A62,"")</f>
        <v/>
      </c>
      <c r="U67" t="str">
        <f>IF(AND('Lap ED'!G62='Peta Risiko'!$D$7,'Lap ED'!H62='Peta Risiko'!$H$9),'Lap ED'!A62,"")</f>
        <v/>
      </c>
      <c r="V67" t="str">
        <f>IF(AND('Lap ED'!G62='Peta Risiko'!$D$7,'Lap ED'!H62='Peta Risiko'!$I$9),'Lap ED'!A62,"")</f>
        <v/>
      </c>
      <c r="W67" t="str">
        <f>IF(AND('Lap ED'!G62='Peta Risiko'!$D$8,'Lap ED'!H62='Peta Risiko'!$E$9),'Lap ED'!A62,"")</f>
        <v/>
      </c>
      <c r="X67" t="str">
        <f>IF(AND('Lap ED'!G62='Peta Risiko'!$D$8,'Lap ED'!H62='Peta Risiko'!$F$9),'Lap ED'!A62,"")</f>
        <v/>
      </c>
      <c r="Y67" t="str">
        <f>IF(AND('Lap ED'!G62='Peta Risiko'!$D$8,'Lap ED'!H62='Peta Risiko'!$G$9),'Lap ED'!A62,"")</f>
        <v/>
      </c>
      <c r="Z67" t="str">
        <f>IF(AND('Lap ED'!G62='Peta Risiko'!$D$8,'Lap ED'!H62='Peta Risiko'!$H$9),'Lap ED'!A62,"")</f>
        <v/>
      </c>
      <c r="AA67" t="str">
        <f>IF(AND('Lap ED'!G62='Peta Risiko'!$D$8,'Lap ED'!H62='Peta Risiko'!$I$9),'Lap ED'!A62,"")</f>
        <v/>
      </c>
    </row>
    <row r="68" spans="2:27" hidden="1" x14ac:dyDescent="0.25">
      <c r="B68">
        <v>54</v>
      </c>
      <c r="C68" t="str">
        <f>IF(AND('Lap ED'!G63='Peta Risiko'!$D$4,'Lap ED'!H63='Peta Risiko'!$E$9),'Lap ED'!A63,"")</f>
        <v/>
      </c>
      <c r="D68" t="str">
        <f>IF(AND('Lap ED'!G63='Peta Risiko'!$D$4,'Lap ED'!H63='Peta Risiko'!$F$9),'Lap ED'!A63,"")</f>
        <v/>
      </c>
      <c r="E68" t="str">
        <f>IF(AND('Lap ED'!G63='Peta Risiko'!$D$4,'Lap ED'!H63='Peta Risiko'!$G$9),'Lap ED'!A63,"")</f>
        <v/>
      </c>
      <c r="F68" t="str">
        <f>IF(AND('Lap ED'!G63='Peta Risiko'!$D$4,'Lap ED'!H63='Peta Risiko'!$H$9),'Lap ED'!A63,"")</f>
        <v/>
      </c>
      <c r="G68" t="str">
        <f>IF(AND('Lap ED'!G63='Peta Risiko'!$D$4,'Lap ED'!H63='Peta Risiko'!$I$9),'Lap ED'!A63,"")</f>
        <v/>
      </c>
      <c r="H68" t="str">
        <f>IF(AND('Lap ED'!G63='Peta Risiko'!$D$5,'Lap ED'!H63='Peta Risiko'!$E$9),'Lap ED'!A63,"")</f>
        <v/>
      </c>
      <c r="I68" t="str">
        <f>IF(AND('Lap ED'!G63='Peta Risiko'!$D$5,'Lap ED'!H63='Peta Risiko'!$F$9),'Lap ED'!A63,"")</f>
        <v/>
      </c>
      <c r="J68" t="str">
        <f>IF(AND('Lap ED'!G63='Peta Risiko'!$D$5,'Lap ED'!H63='Peta Risiko'!$G$9),'Lap ED'!A63,"")</f>
        <v/>
      </c>
      <c r="K68" t="str">
        <f>IF(AND('Lap ED'!G63='Peta Risiko'!$D$5,'Lap ED'!H63='Peta Risiko'!$H$9),'Lap ED'!A63,"")</f>
        <v/>
      </c>
      <c r="L68" t="str">
        <f>IF(AND('Lap ED'!G63='Peta Risiko'!$D$5,'Lap ED'!H63='Peta Risiko'!$I$9),'Lap ED'!A63,"")</f>
        <v/>
      </c>
      <c r="M68">
        <f>IF(AND('Lap ED'!G63='Peta Risiko'!$D$6,'Lap ED'!H63='Peta Risiko'!$E$9),'Lap ED'!A63,"")</f>
        <v>54</v>
      </c>
      <c r="N68" t="str">
        <f>IF(AND('Lap ED'!G63='Peta Risiko'!$D$6,'Lap ED'!H63='Peta Risiko'!$F$9),'Lap ED'!A63,"")</f>
        <v/>
      </c>
      <c r="O68" t="str">
        <f>IF(AND('Lap ED'!G63='Peta Risiko'!$D$6,'Lap ED'!H63='Peta Risiko'!$G$9),'Lap ED'!A63,"")</f>
        <v/>
      </c>
      <c r="P68" t="str">
        <f>IF(AND('Lap ED'!G63='Peta Risiko'!$D$6,'Lap ED'!H63='Peta Risiko'!$H$9),'Lap ED'!A63,"")</f>
        <v/>
      </c>
      <c r="Q68" t="str">
        <f>IF(AND('Lap ED'!G63='Peta Risiko'!$D$6,'Lap ED'!H63='Peta Risiko'!$I$9),'Lap ED'!A63,"")</f>
        <v/>
      </c>
      <c r="R68" t="str">
        <f>IF(AND('Lap ED'!G63='Peta Risiko'!$D$7,'Lap ED'!H63='Peta Risiko'!$E$9),'Lap ED'!A63,"")</f>
        <v/>
      </c>
      <c r="S68" t="str">
        <f>IF(AND('Lap ED'!G63='Peta Risiko'!$D$7,'Lap ED'!H63='Peta Risiko'!$F$9),'Lap ED'!A63,"")</f>
        <v/>
      </c>
      <c r="T68" t="str">
        <f>IF(AND('Lap ED'!G63='Peta Risiko'!$D$7,'Lap ED'!H63='Peta Risiko'!$G$9),'Lap ED'!A63,"")</f>
        <v/>
      </c>
      <c r="U68" t="str">
        <f>IF(AND('Lap ED'!G63='Peta Risiko'!$D$7,'Lap ED'!H63='Peta Risiko'!$H$9),'Lap ED'!A63,"")</f>
        <v/>
      </c>
      <c r="V68" t="str">
        <f>IF(AND('Lap ED'!G63='Peta Risiko'!$D$7,'Lap ED'!H63='Peta Risiko'!$I$9),'Lap ED'!A63,"")</f>
        <v/>
      </c>
      <c r="W68" t="str">
        <f>IF(AND('Lap ED'!G63='Peta Risiko'!$D$8,'Lap ED'!H63='Peta Risiko'!$E$9),'Lap ED'!A63,"")</f>
        <v/>
      </c>
      <c r="X68" t="str">
        <f>IF(AND('Lap ED'!G63='Peta Risiko'!$D$8,'Lap ED'!H63='Peta Risiko'!$F$9),'Lap ED'!A63,"")</f>
        <v/>
      </c>
      <c r="Y68" t="str">
        <f>IF(AND('Lap ED'!G63='Peta Risiko'!$D$8,'Lap ED'!H63='Peta Risiko'!$G$9),'Lap ED'!A63,"")</f>
        <v/>
      </c>
      <c r="Z68" t="str">
        <f>IF(AND('Lap ED'!G63='Peta Risiko'!$D$8,'Lap ED'!H63='Peta Risiko'!$H$9),'Lap ED'!A63,"")</f>
        <v/>
      </c>
      <c r="AA68" t="str">
        <f>IF(AND('Lap ED'!G63='Peta Risiko'!$D$8,'Lap ED'!H63='Peta Risiko'!$I$9),'Lap ED'!A63,"")</f>
        <v/>
      </c>
    </row>
    <row r="69" spans="2:27" hidden="1" x14ac:dyDescent="0.25">
      <c r="B69">
        <v>55</v>
      </c>
      <c r="C69" t="str">
        <f>IF(AND('Lap ED'!G64='Peta Risiko'!$D$4,'Lap ED'!H64='Peta Risiko'!$E$9),'Lap ED'!A64,"")</f>
        <v/>
      </c>
      <c r="D69" t="str">
        <f>IF(AND('Lap ED'!G64='Peta Risiko'!$D$4,'Lap ED'!H64='Peta Risiko'!$F$9),'Lap ED'!A64,"")</f>
        <v/>
      </c>
      <c r="E69" t="str">
        <f>IF(AND('Lap ED'!G64='Peta Risiko'!$D$4,'Lap ED'!H64='Peta Risiko'!$G$9),'Lap ED'!A64,"")</f>
        <v/>
      </c>
      <c r="F69" t="str">
        <f>IF(AND('Lap ED'!G64='Peta Risiko'!$D$4,'Lap ED'!H64='Peta Risiko'!$H$9),'Lap ED'!A64,"")</f>
        <v/>
      </c>
      <c r="G69" t="str">
        <f>IF(AND('Lap ED'!G64='Peta Risiko'!$D$4,'Lap ED'!H64='Peta Risiko'!$I$9),'Lap ED'!A64,"")</f>
        <v/>
      </c>
      <c r="H69" t="str">
        <f>IF(AND('Lap ED'!G64='Peta Risiko'!$D$5,'Lap ED'!H64='Peta Risiko'!$E$9),'Lap ED'!A64,"")</f>
        <v/>
      </c>
      <c r="I69" t="str">
        <f>IF(AND('Lap ED'!G64='Peta Risiko'!$D$5,'Lap ED'!H64='Peta Risiko'!$F$9),'Lap ED'!A64,"")</f>
        <v/>
      </c>
      <c r="J69" t="str">
        <f>IF(AND('Lap ED'!G64='Peta Risiko'!$D$5,'Lap ED'!H64='Peta Risiko'!$G$9),'Lap ED'!A64,"")</f>
        <v/>
      </c>
      <c r="K69" t="str">
        <f>IF(AND('Lap ED'!G64='Peta Risiko'!$D$5,'Lap ED'!H64='Peta Risiko'!$H$9),'Lap ED'!A64,"")</f>
        <v/>
      </c>
      <c r="L69" t="str">
        <f>IF(AND('Lap ED'!G64='Peta Risiko'!$D$5,'Lap ED'!H64='Peta Risiko'!$I$9),'Lap ED'!A64,"")</f>
        <v/>
      </c>
      <c r="M69">
        <f>IF(AND('Lap ED'!G64='Peta Risiko'!$D$6,'Lap ED'!H64='Peta Risiko'!$E$9),'Lap ED'!A64,"")</f>
        <v>55</v>
      </c>
      <c r="N69" t="str">
        <f>IF(AND('Lap ED'!G64='Peta Risiko'!$D$6,'Lap ED'!H64='Peta Risiko'!$F$9),'Lap ED'!A64,"")</f>
        <v/>
      </c>
      <c r="O69" t="str">
        <f>IF(AND('Lap ED'!G64='Peta Risiko'!$D$6,'Lap ED'!H64='Peta Risiko'!$G$9),'Lap ED'!A64,"")</f>
        <v/>
      </c>
      <c r="P69" t="str">
        <f>IF(AND('Lap ED'!G64='Peta Risiko'!$D$6,'Lap ED'!H64='Peta Risiko'!$H$9),'Lap ED'!A64,"")</f>
        <v/>
      </c>
      <c r="Q69" t="str">
        <f>IF(AND('Lap ED'!G64='Peta Risiko'!$D$6,'Lap ED'!H64='Peta Risiko'!$I$9),'Lap ED'!A64,"")</f>
        <v/>
      </c>
      <c r="R69" t="str">
        <f>IF(AND('Lap ED'!G64='Peta Risiko'!$D$7,'Lap ED'!H64='Peta Risiko'!$E$9),'Lap ED'!A64,"")</f>
        <v/>
      </c>
      <c r="S69" t="str">
        <f>IF(AND('Lap ED'!G64='Peta Risiko'!$D$7,'Lap ED'!H64='Peta Risiko'!$F$9),'Lap ED'!A64,"")</f>
        <v/>
      </c>
      <c r="T69" t="str">
        <f>IF(AND('Lap ED'!G64='Peta Risiko'!$D$7,'Lap ED'!H64='Peta Risiko'!$G$9),'Lap ED'!A64,"")</f>
        <v/>
      </c>
      <c r="U69" t="str">
        <f>IF(AND('Lap ED'!G64='Peta Risiko'!$D$7,'Lap ED'!H64='Peta Risiko'!$H$9),'Lap ED'!A64,"")</f>
        <v/>
      </c>
      <c r="V69" t="str">
        <f>IF(AND('Lap ED'!G64='Peta Risiko'!$D$7,'Lap ED'!H64='Peta Risiko'!$I$9),'Lap ED'!A64,"")</f>
        <v/>
      </c>
      <c r="W69" t="str">
        <f>IF(AND('Lap ED'!G64='Peta Risiko'!$D$8,'Lap ED'!H64='Peta Risiko'!$E$9),'Lap ED'!A64,"")</f>
        <v/>
      </c>
      <c r="X69" t="str">
        <f>IF(AND('Lap ED'!G64='Peta Risiko'!$D$8,'Lap ED'!H64='Peta Risiko'!$F$9),'Lap ED'!A64,"")</f>
        <v/>
      </c>
      <c r="Y69" t="str">
        <f>IF(AND('Lap ED'!G64='Peta Risiko'!$D$8,'Lap ED'!H64='Peta Risiko'!$G$9),'Lap ED'!A64,"")</f>
        <v/>
      </c>
      <c r="Z69" t="str">
        <f>IF(AND('Lap ED'!G64='Peta Risiko'!$D$8,'Lap ED'!H64='Peta Risiko'!$H$9),'Lap ED'!A64,"")</f>
        <v/>
      </c>
      <c r="AA69" t="str">
        <f>IF(AND('Lap ED'!G64='Peta Risiko'!$D$8,'Lap ED'!H64='Peta Risiko'!$I$9),'Lap ED'!A64,"")</f>
        <v/>
      </c>
    </row>
    <row r="70" spans="2:27" hidden="1" x14ac:dyDescent="0.25">
      <c r="B70">
        <v>56</v>
      </c>
      <c r="C70" t="str">
        <f>IF(AND('Lap ED'!G65='Peta Risiko'!$D$4,'Lap ED'!H65='Peta Risiko'!$E$9),'Lap ED'!A65,"")</f>
        <v/>
      </c>
      <c r="D70" t="str">
        <f>IF(AND('Lap ED'!G65='Peta Risiko'!$D$4,'Lap ED'!H65='Peta Risiko'!$F$9),'Lap ED'!A65,"")</f>
        <v/>
      </c>
      <c r="E70" t="str">
        <f>IF(AND('Lap ED'!G65='Peta Risiko'!$D$4,'Lap ED'!H65='Peta Risiko'!$G$9),'Lap ED'!A65,"")</f>
        <v/>
      </c>
      <c r="F70" t="str">
        <f>IF(AND('Lap ED'!G65='Peta Risiko'!$D$4,'Lap ED'!H65='Peta Risiko'!$H$9),'Lap ED'!A65,"")</f>
        <v/>
      </c>
      <c r="G70" t="str">
        <f>IF(AND('Lap ED'!G65='Peta Risiko'!$D$4,'Lap ED'!H65='Peta Risiko'!$I$9),'Lap ED'!A65,"")</f>
        <v/>
      </c>
      <c r="H70" t="str">
        <f>IF(AND('Lap ED'!G65='Peta Risiko'!$D$5,'Lap ED'!H65='Peta Risiko'!$E$9),'Lap ED'!A65,"")</f>
        <v/>
      </c>
      <c r="I70" t="str">
        <f>IF(AND('Lap ED'!G65='Peta Risiko'!$D$5,'Lap ED'!H65='Peta Risiko'!$F$9),'Lap ED'!A65,"")</f>
        <v/>
      </c>
      <c r="J70" t="str">
        <f>IF(AND('Lap ED'!G65='Peta Risiko'!$D$5,'Lap ED'!H65='Peta Risiko'!$G$9),'Lap ED'!A65,"")</f>
        <v/>
      </c>
      <c r="K70" t="str">
        <f>IF(AND('Lap ED'!G65='Peta Risiko'!$D$5,'Lap ED'!H65='Peta Risiko'!$H$9),'Lap ED'!A65,"")</f>
        <v/>
      </c>
      <c r="L70" t="str">
        <f>IF(AND('Lap ED'!G65='Peta Risiko'!$D$5,'Lap ED'!H65='Peta Risiko'!$I$9),'Lap ED'!A65,"")</f>
        <v/>
      </c>
      <c r="M70">
        <f>IF(AND('Lap ED'!G65='Peta Risiko'!$D$6,'Lap ED'!H65='Peta Risiko'!$E$9),'Lap ED'!A65,"")</f>
        <v>56</v>
      </c>
      <c r="N70" t="str">
        <f>IF(AND('Lap ED'!G65='Peta Risiko'!$D$6,'Lap ED'!H65='Peta Risiko'!$F$9),'Lap ED'!A65,"")</f>
        <v/>
      </c>
      <c r="O70" t="str">
        <f>IF(AND('Lap ED'!G65='Peta Risiko'!$D$6,'Lap ED'!H65='Peta Risiko'!$G$9),'Lap ED'!A65,"")</f>
        <v/>
      </c>
      <c r="P70" t="str">
        <f>IF(AND('Lap ED'!G65='Peta Risiko'!$D$6,'Lap ED'!H65='Peta Risiko'!$H$9),'Lap ED'!A65,"")</f>
        <v/>
      </c>
      <c r="Q70" t="str">
        <f>IF(AND('Lap ED'!G65='Peta Risiko'!$D$6,'Lap ED'!H65='Peta Risiko'!$I$9),'Lap ED'!A65,"")</f>
        <v/>
      </c>
      <c r="R70" t="str">
        <f>IF(AND('Lap ED'!G65='Peta Risiko'!$D$7,'Lap ED'!H65='Peta Risiko'!$E$9),'Lap ED'!A65,"")</f>
        <v/>
      </c>
      <c r="S70" t="str">
        <f>IF(AND('Lap ED'!G65='Peta Risiko'!$D$7,'Lap ED'!H65='Peta Risiko'!$F$9),'Lap ED'!A65,"")</f>
        <v/>
      </c>
      <c r="T70" t="str">
        <f>IF(AND('Lap ED'!G65='Peta Risiko'!$D$7,'Lap ED'!H65='Peta Risiko'!$G$9),'Lap ED'!A65,"")</f>
        <v/>
      </c>
      <c r="U70" t="str">
        <f>IF(AND('Lap ED'!G65='Peta Risiko'!$D$7,'Lap ED'!H65='Peta Risiko'!$H$9),'Lap ED'!A65,"")</f>
        <v/>
      </c>
      <c r="V70" t="str">
        <f>IF(AND('Lap ED'!G65='Peta Risiko'!$D$7,'Lap ED'!H65='Peta Risiko'!$I$9),'Lap ED'!A65,"")</f>
        <v/>
      </c>
      <c r="W70" t="str">
        <f>IF(AND('Lap ED'!G65='Peta Risiko'!$D$8,'Lap ED'!H65='Peta Risiko'!$E$9),'Lap ED'!A65,"")</f>
        <v/>
      </c>
      <c r="X70" t="str">
        <f>IF(AND('Lap ED'!G65='Peta Risiko'!$D$8,'Lap ED'!H65='Peta Risiko'!$F$9),'Lap ED'!A65,"")</f>
        <v/>
      </c>
      <c r="Y70" t="str">
        <f>IF(AND('Lap ED'!G65='Peta Risiko'!$D$8,'Lap ED'!H65='Peta Risiko'!$G$9),'Lap ED'!A65,"")</f>
        <v/>
      </c>
      <c r="Z70" t="str">
        <f>IF(AND('Lap ED'!G65='Peta Risiko'!$D$8,'Lap ED'!H65='Peta Risiko'!$H$9),'Lap ED'!A65,"")</f>
        <v/>
      </c>
      <c r="AA70" t="str">
        <f>IF(AND('Lap ED'!G65='Peta Risiko'!$D$8,'Lap ED'!H65='Peta Risiko'!$I$9),'Lap ED'!A65,"")</f>
        <v/>
      </c>
    </row>
    <row r="71" spans="2:27" hidden="1" x14ac:dyDescent="0.25">
      <c r="B71">
        <v>57</v>
      </c>
      <c r="C71" t="str">
        <f>IF(AND('Lap ED'!G66='Peta Risiko'!$D$4,'Lap ED'!H66='Peta Risiko'!$E$9),'Lap ED'!A66,"")</f>
        <v/>
      </c>
      <c r="D71" t="str">
        <f>IF(AND('Lap ED'!G66='Peta Risiko'!$D$4,'Lap ED'!H66='Peta Risiko'!$F$9),'Lap ED'!A66,"")</f>
        <v/>
      </c>
      <c r="E71" t="str">
        <f>IF(AND('Lap ED'!G66='Peta Risiko'!$D$4,'Lap ED'!H66='Peta Risiko'!$G$9),'Lap ED'!A66,"")</f>
        <v/>
      </c>
      <c r="F71" t="str">
        <f>IF(AND('Lap ED'!G66='Peta Risiko'!$D$4,'Lap ED'!H66='Peta Risiko'!$H$9),'Lap ED'!A66,"")</f>
        <v/>
      </c>
      <c r="G71" t="str">
        <f>IF(AND('Lap ED'!G66='Peta Risiko'!$D$4,'Lap ED'!H66='Peta Risiko'!$I$9),'Lap ED'!A66,"")</f>
        <v/>
      </c>
      <c r="H71" t="str">
        <f>IF(AND('Lap ED'!G66='Peta Risiko'!$D$5,'Lap ED'!H66='Peta Risiko'!$E$9),'Lap ED'!A66,"")</f>
        <v/>
      </c>
      <c r="I71" t="str">
        <f>IF(AND('Lap ED'!G66='Peta Risiko'!$D$5,'Lap ED'!H66='Peta Risiko'!$F$9),'Lap ED'!A66,"")</f>
        <v/>
      </c>
      <c r="J71" t="str">
        <f>IF(AND('Lap ED'!G66='Peta Risiko'!$D$5,'Lap ED'!H66='Peta Risiko'!$G$9),'Lap ED'!A66,"")</f>
        <v/>
      </c>
      <c r="K71" t="str">
        <f>IF(AND('Lap ED'!G66='Peta Risiko'!$D$5,'Lap ED'!H66='Peta Risiko'!$H$9),'Lap ED'!A66,"")</f>
        <v/>
      </c>
      <c r="L71" t="str">
        <f>IF(AND('Lap ED'!G66='Peta Risiko'!$D$5,'Lap ED'!H66='Peta Risiko'!$I$9),'Lap ED'!A66,"")</f>
        <v/>
      </c>
      <c r="M71">
        <f>IF(AND('Lap ED'!G66='Peta Risiko'!$D$6,'Lap ED'!H66='Peta Risiko'!$E$9),'Lap ED'!A66,"")</f>
        <v>57</v>
      </c>
      <c r="N71" t="str">
        <f>IF(AND('Lap ED'!G66='Peta Risiko'!$D$6,'Lap ED'!H66='Peta Risiko'!$F$9),'Lap ED'!A66,"")</f>
        <v/>
      </c>
      <c r="O71" t="str">
        <f>IF(AND('Lap ED'!G66='Peta Risiko'!$D$6,'Lap ED'!H66='Peta Risiko'!$G$9),'Lap ED'!A66,"")</f>
        <v/>
      </c>
      <c r="P71" t="str">
        <f>IF(AND('Lap ED'!G66='Peta Risiko'!$D$6,'Lap ED'!H66='Peta Risiko'!$H$9),'Lap ED'!A66,"")</f>
        <v/>
      </c>
      <c r="Q71" t="str">
        <f>IF(AND('Lap ED'!G66='Peta Risiko'!$D$6,'Lap ED'!H66='Peta Risiko'!$I$9),'Lap ED'!A66,"")</f>
        <v/>
      </c>
      <c r="R71" t="str">
        <f>IF(AND('Lap ED'!G66='Peta Risiko'!$D$7,'Lap ED'!H66='Peta Risiko'!$E$9),'Lap ED'!A66,"")</f>
        <v/>
      </c>
      <c r="S71" t="str">
        <f>IF(AND('Lap ED'!G66='Peta Risiko'!$D$7,'Lap ED'!H66='Peta Risiko'!$F$9),'Lap ED'!A66,"")</f>
        <v/>
      </c>
      <c r="T71" t="str">
        <f>IF(AND('Lap ED'!G66='Peta Risiko'!$D$7,'Lap ED'!H66='Peta Risiko'!$G$9),'Lap ED'!A66,"")</f>
        <v/>
      </c>
      <c r="U71" t="str">
        <f>IF(AND('Lap ED'!G66='Peta Risiko'!$D$7,'Lap ED'!H66='Peta Risiko'!$H$9),'Lap ED'!A66,"")</f>
        <v/>
      </c>
      <c r="V71" t="str">
        <f>IF(AND('Lap ED'!G66='Peta Risiko'!$D$7,'Lap ED'!H66='Peta Risiko'!$I$9),'Lap ED'!A66,"")</f>
        <v/>
      </c>
      <c r="W71" t="str">
        <f>IF(AND('Lap ED'!G66='Peta Risiko'!$D$8,'Lap ED'!H66='Peta Risiko'!$E$9),'Lap ED'!A66,"")</f>
        <v/>
      </c>
      <c r="X71" t="str">
        <f>IF(AND('Lap ED'!G66='Peta Risiko'!$D$8,'Lap ED'!H66='Peta Risiko'!$F$9),'Lap ED'!A66,"")</f>
        <v/>
      </c>
      <c r="Y71" t="str">
        <f>IF(AND('Lap ED'!G66='Peta Risiko'!$D$8,'Lap ED'!H66='Peta Risiko'!$G$9),'Lap ED'!A66,"")</f>
        <v/>
      </c>
      <c r="Z71" t="str">
        <f>IF(AND('Lap ED'!G66='Peta Risiko'!$D$8,'Lap ED'!H66='Peta Risiko'!$H$9),'Lap ED'!A66,"")</f>
        <v/>
      </c>
      <c r="AA71" t="str">
        <f>IF(AND('Lap ED'!G66='Peta Risiko'!$D$8,'Lap ED'!H66='Peta Risiko'!$I$9),'Lap ED'!A66,"")</f>
        <v/>
      </c>
    </row>
    <row r="72" spans="2:27" hidden="1" x14ac:dyDescent="0.25">
      <c r="B72">
        <v>58</v>
      </c>
      <c r="C72" t="str">
        <f>IF(AND('Lap ED'!G67='Peta Risiko'!$D$4,'Lap ED'!H67='Peta Risiko'!$E$9),'Lap ED'!A67,"")</f>
        <v/>
      </c>
      <c r="D72" t="str">
        <f>IF(AND('Lap ED'!G67='Peta Risiko'!$D$4,'Lap ED'!H67='Peta Risiko'!$F$9),'Lap ED'!A67,"")</f>
        <v/>
      </c>
      <c r="E72" t="str">
        <f>IF(AND('Lap ED'!G67='Peta Risiko'!$D$4,'Lap ED'!H67='Peta Risiko'!$G$9),'Lap ED'!A67,"")</f>
        <v/>
      </c>
      <c r="F72" t="str">
        <f>IF(AND('Lap ED'!G67='Peta Risiko'!$D$4,'Lap ED'!H67='Peta Risiko'!$H$9),'Lap ED'!A67,"")</f>
        <v/>
      </c>
      <c r="G72" t="str">
        <f>IF(AND('Lap ED'!G67='Peta Risiko'!$D$4,'Lap ED'!H67='Peta Risiko'!$I$9),'Lap ED'!A67,"")</f>
        <v/>
      </c>
      <c r="H72" t="str">
        <f>IF(AND('Lap ED'!G67='Peta Risiko'!$D$5,'Lap ED'!H67='Peta Risiko'!$E$9),'Lap ED'!A67,"")</f>
        <v/>
      </c>
      <c r="I72" t="str">
        <f>IF(AND('Lap ED'!G67='Peta Risiko'!$D$5,'Lap ED'!H67='Peta Risiko'!$F$9),'Lap ED'!A67,"")</f>
        <v/>
      </c>
      <c r="J72" t="str">
        <f>IF(AND('Lap ED'!G67='Peta Risiko'!$D$5,'Lap ED'!H67='Peta Risiko'!$G$9),'Lap ED'!A67,"")</f>
        <v/>
      </c>
      <c r="K72" t="str">
        <f>IF(AND('Lap ED'!G67='Peta Risiko'!$D$5,'Lap ED'!H67='Peta Risiko'!$H$9),'Lap ED'!A67,"")</f>
        <v/>
      </c>
      <c r="L72" t="str">
        <f>IF(AND('Lap ED'!G67='Peta Risiko'!$D$5,'Lap ED'!H67='Peta Risiko'!$I$9),'Lap ED'!A67,"")</f>
        <v/>
      </c>
      <c r="M72" t="str">
        <f>IF(AND('Lap ED'!G67='Peta Risiko'!$D$6,'Lap ED'!H67='Peta Risiko'!$E$9),'Lap ED'!A67,"")</f>
        <v/>
      </c>
      <c r="N72" t="str">
        <f>IF(AND('Lap ED'!G67='Peta Risiko'!$D$6,'Lap ED'!H67='Peta Risiko'!$F$9),'Lap ED'!A67,"")</f>
        <v/>
      </c>
      <c r="O72" t="str">
        <f>IF(AND('Lap ED'!G67='Peta Risiko'!$D$6,'Lap ED'!H67='Peta Risiko'!$G$9),'Lap ED'!A67,"")</f>
        <v/>
      </c>
      <c r="P72" t="str">
        <f>IF(AND('Lap ED'!G67='Peta Risiko'!$D$6,'Lap ED'!H67='Peta Risiko'!$H$9),'Lap ED'!A67,"")</f>
        <v/>
      </c>
      <c r="Q72" t="str">
        <f>IF(AND('Lap ED'!G67='Peta Risiko'!$D$6,'Lap ED'!H67='Peta Risiko'!$I$9),'Lap ED'!A67,"")</f>
        <v/>
      </c>
      <c r="R72" t="str">
        <f>IF(AND('Lap ED'!G67='Peta Risiko'!$D$7,'Lap ED'!H67='Peta Risiko'!$E$9),'Lap ED'!A67,"")</f>
        <v/>
      </c>
      <c r="S72" t="str">
        <f>IF(AND('Lap ED'!G67='Peta Risiko'!$D$7,'Lap ED'!H67='Peta Risiko'!$F$9),'Lap ED'!A67,"")</f>
        <v/>
      </c>
      <c r="T72" t="str">
        <f>IF(AND('Lap ED'!G67='Peta Risiko'!$D$7,'Lap ED'!H67='Peta Risiko'!$G$9),'Lap ED'!A67,"")</f>
        <v/>
      </c>
      <c r="U72">
        <f>IF(AND('Lap ED'!G67='Peta Risiko'!$D$7,'Lap ED'!H67='Peta Risiko'!$H$9),'Lap ED'!A67,"")</f>
        <v>58</v>
      </c>
      <c r="V72" t="str">
        <f>IF(AND('Lap ED'!G67='Peta Risiko'!$D$7,'Lap ED'!H67='Peta Risiko'!$I$9),'Lap ED'!A67,"")</f>
        <v/>
      </c>
      <c r="W72" t="str">
        <f>IF(AND('Lap ED'!G67='Peta Risiko'!$D$8,'Lap ED'!H67='Peta Risiko'!$E$9),'Lap ED'!A67,"")</f>
        <v/>
      </c>
      <c r="X72" t="str">
        <f>IF(AND('Lap ED'!G67='Peta Risiko'!$D$8,'Lap ED'!H67='Peta Risiko'!$F$9),'Lap ED'!A67,"")</f>
        <v/>
      </c>
      <c r="Y72" t="str">
        <f>IF(AND('Lap ED'!G67='Peta Risiko'!$D$8,'Lap ED'!H67='Peta Risiko'!$G$9),'Lap ED'!A67,"")</f>
        <v/>
      </c>
      <c r="Z72" t="str">
        <f>IF(AND('Lap ED'!G67='Peta Risiko'!$D$8,'Lap ED'!H67='Peta Risiko'!$H$9),'Lap ED'!A67,"")</f>
        <v/>
      </c>
      <c r="AA72" t="str">
        <f>IF(AND('Lap ED'!G67='Peta Risiko'!$D$8,'Lap ED'!H67='Peta Risiko'!$I$9),'Lap ED'!A67,"")</f>
        <v/>
      </c>
    </row>
    <row r="73" spans="2:27" hidden="1" x14ac:dyDescent="0.25">
      <c r="B73">
        <v>59</v>
      </c>
      <c r="C73" t="str">
        <f>IF(AND('Lap ED'!G68='Peta Risiko'!$D$4,'Lap ED'!H68='Peta Risiko'!$E$9),'Lap ED'!A68,"")</f>
        <v/>
      </c>
      <c r="D73" t="str">
        <f>IF(AND('Lap ED'!G68='Peta Risiko'!$D$4,'Lap ED'!H68='Peta Risiko'!$F$9),'Lap ED'!A68,"")</f>
        <v/>
      </c>
      <c r="E73" t="str">
        <f>IF(AND('Lap ED'!G68='Peta Risiko'!$D$4,'Lap ED'!H68='Peta Risiko'!$G$9),'Lap ED'!A68,"")</f>
        <v/>
      </c>
      <c r="F73" t="str">
        <f>IF(AND('Lap ED'!G68='Peta Risiko'!$D$4,'Lap ED'!H68='Peta Risiko'!$H$9),'Lap ED'!A68,"")</f>
        <v/>
      </c>
      <c r="G73" t="str">
        <f>IF(AND('Lap ED'!G68='Peta Risiko'!$D$4,'Lap ED'!H68='Peta Risiko'!$I$9),'Lap ED'!A68,"")</f>
        <v/>
      </c>
      <c r="H73" t="str">
        <f>IF(AND('Lap ED'!G68='Peta Risiko'!$D$5,'Lap ED'!H68='Peta Risiko'!$E$9),'Lap ED'!A68,"")</f>
        <v/>
      </c>
      <c r="I73" t="str">
        <f>IF(AND('Lap ED'!G68='Peta Risiko'!$D$5,'Lap ED'!H68='Peta Risiko'!$F$9),'Lap ED'!A68,"")</f>
        <v/>
      </c>
      <c r="J73" t="str">
        <f>IF(AND('Lap ED'!G68='Peta Risiko'!$D$5,'Lap ED'!H68='Peta Risiko'!$G$9),'Lap ED'!A68,"")</f>
        <v/>
      </c>
      <c r="K73" t="str">
        <f>IF(AND('Lap ED'!G68='Peta Risiko'!$D$5,'Lap ED'!H68='Peta Risiko'!$H$9),'Lap ED'!A68,"")</f>
        <v/>
      </c>
      <c r="L73" t="str">
        <f>IF(AND('Lap ED'!G68='Peta Risiko'!$D$5,'Lap ED'!H68='Peta Risiko'!$I$9),'Lap ED'!A68,"")</f>
        <v/>
      </c>
      <c r="M73" t="str">
        <f>IF(AND('Lap ED'!G68='Peta Risiko'!$D$6,'Lap ED'!H68='Peta Risiko'!$E$9),'Lap ED'!A68,"")</f>
        <v/>
      </c>
      <c r="N73" t="str">
        <f>IF(AND('Lap ED'!G68='Peta Risiko'!$D$6,'Lap ED'!H68='Peta Risiko'!$F$9),'Lap ED'!A68,"")</f>
        <v/>
      </c>
      <c r="O73" t="str">
        <f>IF(AND('Lap ED'!G68='Peta Risiko'!$D$6,'Lap ED'!H68='Peta Risiko'!$G$9),'Lap ED'!A68,"")</f>
        <v/>
      </c>
      <c r="P73" t="str">
        <f>IF(AND('Lap ED'!G68='Peta Risiko'!$D$6,'Lap ED'!H68='Peta Risiko'!$H$9),'Lap ED'!A68,"")</f>
        <v/>
      </c>
      <c r="Q73" t="str">
        <f>IF(AND('Lap ED'!G68='Peta Risiko'!$D$6,'Lap ED'!H68='Peta Risiko'!$I$9),'Lap ED'!A68,"")</f>
        <v/>
      </c>
      <c r="R73" t="str">
        <f>IF(AND('Lap ED'!G68='Peta Risiko'!$D$7,'Lap ED'!H68='Peta Risiko'!$E$9),'Lap ED'!A68,"")</f>
        <v/>
      </c>
      <c r="S73" t="str">
        <f>IF(AND('Lap ED'!G68='Peta Risiko'!$D$7,'Lap ED'!H68='Peta Risiko'!$F$9),'Lap ED'!A68,"")</f>
        <v/>
      </c>
      <c r="T73" t="str">
        <f>IF(AND('Lap ED'!G68='Peta Risiko'!$D$7,'Lap ED'!H68='Peta Risiko'!$G$9),'Lap ED'!A68,"")</f>
        <v/>
      </c>
      <c r="U73">
        <f>IF(AND('Lap ED'!G68='Peta Risiko'!$D$7,'Lap ED'!H68='Peta Risiko'!$H$9),'Lap ED'!A68,"")</f>
        <v>59</v>
      </c>
      <c r="V73" t="str">
        <f>IF(AND('Lap ED'!G68='Peta Risiko'!$D$7,'Lap ED'!H68='Peta Risiko'!$I$9),'Lap ED'!A68,"")</f>
        <v/>
      </c>
      <c r="W73" t="str">
        <f>IF(AND('Lap ED'!G68='Peta Risiko'!$D$8,'Lap ED'!H68='Peta Risiko'!$E$9),'Lap ED'!A68,"")</f>
        <v/>
      </c>
      <c r="X73" t="str">
        <f>IF(AND('Lap ED'!G68='Peta Risiko'!$D$8,'Lap ED'!H68='Peta Risiko'!$F$9),'Lap ED'!A68,"")</f>
        <v/>
      </c>
      <c r="Y73" t="str">
        <f>IF(AND('Lap ED'!G68='Peta Risiko'!$D$8,'Lap ED'!H68='Peta Risiko'!$G$9),'Lap ED'!A68,"")</f>
        <v/>
      </c>
      <c r="Z73" t="str">
        <f>IF(AND('Lap ED'!G68='Peta Risiko'!$D$8,'Lap ED'!H68='Peta Risiko'!$H$9),'Lap ED'!A68,"")</f>
        <v/>
      </c>
      <c r="AA73" t="str">
        <f>IF(AND('Lap ED'!G68='Peta Risiko'!$D$8,'Lap ED'!H68='Peta Risiko'!$I$9),'Lap ED'!A68,"")</f>
        <v/>
      </c>
    </row>
    <row r="74" spans="2:27" hidden="1" x14ac:dyDescent="0.25">
      <c r="B74">
        <v>60</v>
      </c>
      <c r="C74" t="str">
        <f>IF(AND('Lap ED'!G69='Peta Risiko'!$D$4,'Lap ED'!H69='Peta Risiko'!$E$9),'Lap ED'!A69,"")</f>
        <v/>
      </c>
      <c r="D74" t="str">
        <f>IF(AND('Lap ED'!G69='Peta Risiko'!$D$4,'Lap ED'!H69='Peta Risiko'!$F$9),'Lap ED'!A69,"")</f>
        <v/>
      </c>
      <c r="E74" t="str">
        <f>IF(AND('Lap ED'!G69='Peta Risiko'!$D$4,'Lap ED'!H69='Peta Risiko'!$G$9),'Lap ED'!A69,"")</f>
        <v/>
      </c>
      <c r="F74" t="str">
        <f>IF(AND('Lap ED'!G69='Peta Risiko'!$D$4,'Lap ED'!H69='Peta Risiko'!$H$9),'Lap ED'!A69,"")</f>
        <v/>
      </c>
      <c r="G74" t="str">
        <f>IF(AND('Lap ED'!G69='Peta Risiko'!$D$4,'Lap ED'!H69='Peta Risiko'!$I$9),'Lap ED'!A69,"")</f>
        <v/>
      </c>
      <c r="H74" t="str">
        <f>IF(AND('Lap ED'!G69='Peta Risiko'!$D$5,'Lap ED'!H69='Peta Risiko'!$E$9),'Lap ED'!A69,"")</f>
        <v/>
      </c>
      <c r="I74" t="str">
        <f>IF(AND('Lap ED'!G69='Peta Risiko'!$D$5,'Lap ED'!H69='Peta Risiko'!$F$9),'Lap ED'!A69,"")</f>
        <v/>
      </c>
      <c r="J74" t="str">
        <f>IF(AND('Lap ED'!G69='Peta Risiko'!$D$5,'Lap ED'!H69='Peta Risiko'!$G$9),'Lap ED'!A69,"")</f>
        <v/>
      </c>
      <c r="K74" t="str">
        <f>IF(AND('Lap ED'!G69='Peta Risiko'!$D$5,'Lap ED'!H69='Peta Risiko'!$H$9),'Lap ED'!A69,"")</f>
        <v/>
      </c>
      <c r="L74" t="str">
        <f>IF(AND('Lap ED'!G69='Peta Risiko'!$D$5,'Lap ED'!H69='Peta Risiko'!$I$9),'Lap ED'!A69,"")</f>
        <v/>
      </c>
      <c r="M74" t="str">
        <f>IF(AND('Lap ED'!G69='Peta Risiko'!$D$6,'Lap ED'!H69='Peta Risiko'!$E$9),'Lap ED'!A69,"")</f>
        <v/>
      </c>
      <c r="N74" t="str">
        <f>IF(AND('Lap ED'!G69='Peta Risiko'!$D$6,'Lap ED'!H69='Peta Risiko'!$F$9),'Lap ED'!A69,"")</f>
        <v/>
      </c>
      <c r="O74" t="str">
        <f>IF(AND('Lap ED'!G69='Peta Risiko'!$D$6,'Lap ED'!H69='Peta Risiko'!$G$9),'Lap ED'!A69,"")</f>
        <v/>
      </c>
      <c r="P74" t="str">
        <f>IF(AND('Lap ED'!G69='Peta Risiko'!$D$6,'Lap ED'!H69='Peta Risiko'!$H$9),'Lap ED'!A69,"")</f>
        <v/>
      </c>
      <c r="Q74" t="str">
        <f>IF(AND('Lap ED'!G69='Peta Risiko'!$D$6,'Lap ED'!H69='Peta Risiko'!$I$9),'Lap ED'!A69,"")</f>
        <v/>
      </c>
      <c r="R74" t="str">
        <f>IF(AND('Lap ED'!G69='Peta Risiko'!$D$7,'Lap ED'!H69='Peta Risiko'!$E$9),'Lap ED'!A69,"")</f>
        <v/>
      </c>
      <c r="S74" t="str">
        <f>IF(AND('Lap ED'!G69='Peta Risiko'!$D$7,'Lap ED'!H69='Peta Risiko'!$F$9),'Lap ED'!A69,"")</f>
        <v/>
      </c>
      <c r="T74" t="str">
        <f>IF(AND('Lap ED'!G69='Peta Risiko'!$D$7,'Lap ED'!H69='Peta Risiko'!$G$9),'Lap ED'!A69,"")</f>
        <v/>
      </c>
      <c r="U74">
        <f>IF(AND('Lap ED'!G69='Peta Risiko'!$D$7,'Lap ED'!H69='Peta Risiko'!$H$9),'Lap ED'!A69,"")</f>
        <v>60</v>
      </c>
      <c r="V74" t="str">
        <f>IF(AND('Lap ED'!G69='Peta Risiko'!$D$7,'Lap ED'!H69='Peta Risiko'!$I$9),'Lap ED'!A69,"")</f>
        <v/>
      </c>
      <c r="W74" t="str">
        <f>IF(AND('Lap ED'!G69='Peta Risiko'!$D$8,'Lap ED'!H69='Peta Risiko'!$E$9),'Lap ED'!A69,"")</f>
        <v/>
      </c>
      <c r="X74" t="str">
        <f>IF(AND('Lap ED'!G69='Peta Risiko'!$D$8,'Lap ED'!H69='Peta Risiko'!$F$9),'Lap ED'!A69,"")</f>
        <v/>
      </c>
      <c r="Y74" t="str">
        <f>IF(AND('Lap ED'!G69='Peta Risiko'!$D$8,'Lap ED'!H69='Peta Risiko'!$G$9),'Lap ED'!A69,"")</f>
        <v/>
      </c>
      <c r="Z74" t="str">
        <f>IF(AND('Lap ED'!G69='Peta Risiko'!$D$8,'Lap ED'!H69='Peta Risiko'!$H$9),'Lap ED'!A69,"")</f>
        <v/>
      </c>
      <c r="AA74" t="str">
        <f>IF(AND('Lap ED'!G69='Peta Risiko'!$D$8,'Lap ED'!H69='Peta Risiko'!$I$9),'Lap ED'!A69,"")</f>
        <v/>
      </c>
    </row>
    <row r="75" spans="2:27" hidden="1" x14ac:dyDescent="0.25">
      <c r="B75">
        <v>61</v>
      </c>
      <c r="C75" t="str">
        <f>IF(AND('Lap ED'!G70='Peta Risiko'!$D$4,'Lap ED'!H70='Peta Risiko'!$E$9),'Lap ED'!A70,"")</f>
        <v/>
      </c>
      <c r="D75" t="str">
        <f>IF(AND('Lap ED'!G70='Peta Risiko'!$D$4,'Lap ED'!H70='Peta Risiko'!$F$9),'Lap ED'!A70,"")</f>
        <v/>
      </c>
      <c r="E75" t="str">
        <f>IF(AND('Lap ED'!G70='Peta Risiko'!$D$4,'Lap ED'!H70='Peta Risiko'!$G$9),'Lap ED'!A70,"")</f>
        <v/>
      </c>
      <c r="F75" t="str">
        <f>IF(AND('Lap ED'!G70='Peta Risiko'!$D$4,'Lap ED'!H70='Peta Risiko'!$H$9),'Lap ED'!A70,"")</f>
        <v/>
      </c>
      <c r="G75" t="str">
        <f>IF(AND('Lap ED'!G70='Peta Risiko'!$D$4,'Lap ED'!H70='Peta Risiko'!$I$9),'Lap ED'!A70,"")</f>
        <v/>
      </c>
      <c r="H75" t="str">
        <f>IF(AND('Lap ED'!G70='Peta Risiko'!$D$5,'Lap ED'!H70='Peta Risiko'!$E$9),'Lap ED'!A70,"")</f>
        <v/>
      </c>
      <c r="I75" t="str">
        <f>IF(AND('Lap ED'!G70='Peta Risiko'!$D$5,'Lap ED'!H70='Peta Risiko'!$F$9),'Lap ED'!A70,"")</f>
        <v/>
      </c>
      <c r="J75" t="str">
        <f>IF(AND('Lap ED'!G70='Peta Risiko'!$D$5,'Lap ED'!H70='Peta Risiko'!$G$9),'Lap ED'!A70,"")</f>
        <v/>
      </c>
      <c r="K75" t="str">
        <f>IF(AND('Lap ED'!G70='Peta Risiko'!$D$5,'Lap ED'!H70='Peta Risiko'!$H$9),'Lap ED'!A70,"")</f>
        <v/>
      </c>
      <c r="L75" t="str">
        <f>IF(AND('Lap ED'!G70='Peta Risiko'!$D$5,'Lap ED'!H70='Peta Risiko'!$I$9),'Lap ED'!A70,"")</f>
        <v/>
      </c>
      <c r="M75" t="str">
        <f>IF(AND('Lap ED'!G70='Peta Risiko'!$D$6,'Lap ED'!H70='Peta Risiko'!$E$9),'Lap ED'!A70,"")</f>
        <v/>
      </c>
      <c r="N75" t="str">
        <f>IF(AND('Lap ED'!G70='Peta Risiko'!$D$6,'Lap ED'!H70='Peta Risiko'!$F$9),'Lap ED'!A70,"")</f>
        <v/>
      </c>
      <c r="O75" t="str">
        <f>IF(AND('Lap ED'!G70='Peta Risiko'!$D$6,'Lap ED'!H70='Peta Risiko'!$G$9),'Lap ED'!A70,"")</f>
        <v/>
      </c>
      <c r="P75" t="str">
        <f>IF(AND('Lap ED'!G70='Peta Risiko'!$D$6,'Lap ED'!H70='Peta Risiko'!$H$9),'Lap ED'!A70,"")</f>
        <v/>
      </c>
      <c r="Q75" t="str">
        <f>IF(AND('Lap ED'!G70='Peta Risiko'!$D$6,'Lap ED'!H70='Peta Risiko'!$I$9),'Lap ED'!A70,"")</f>
        <v/>
      </c>
      <c r="R75" t="str">
        <f>IF(AND('Lap ED'!G70='Peta Risiko'!$D$7,'Lap ED'!H70='Peta Risiko'!$E$9),'Lap ED'!A70,"")</f>
        <v/>
      </c>
      <c r="S75" t="str">
        <f>IF(AND('Lap ED'!G70='Peta Risiko'!$D$7,'Lap ED'!H70='Peta Risiko'!$F$9),'Lap ED'!A70,"")</f>
        <v/>
      </c>
      <c r="T75" t="str">
        <f>IF(AND('Lap ED'!G70='Peta Risiko'!$D$7,'Lap ED'!H70='Peta Risiko'!$G$9),'Lap ED'!A70,"")</f>
        <v/>
      </c>
      <c r="U75">
        <f>IF(AND('Lap ED'!G70='Peta Risiko'!$D$7,'Lap ED'!H70='Peta Risiko'!$H$9),'Lap ED'!A70,"")</f>
        <v>61</v>
      </c>
      <c r="V75" t="str">
        <f>IF(AND('Lap ED'!G70='Peta Risiko'!$D$7,'Lap ED'!H70='Peta Risiko'!$I$9),'Lap ED'!A70,"")</f>
        <v/>
      </c>
      <c r="W75" t="str">
        <f>IF(AND('Lap ED'!G70='Peta Risiko'!$D$8,'Lap ED'!H70='Peta Risiko'!$E$9),'Lap ED'!A70,"")</f>
        <v/>
      </c>
      <c r="X75" t="str">
        <f>IF(AND('Lap ED'!G70='Peta Risiko'!$D$8,'Lap ED'!H70='Peta Risiko'!$F$9),'Lap ED'!A70,"")</f>
        <v/>
      </c>
      <c r="Y75" t="str">
        <f>IF(AND('Lap ED'!G70='Peta Risiko'!$D$8,'Lap ED'!H70='Peta Risiko'!$G$9),'Lap ED'!A70,"")</f>
        <v/>
      </c>
      <c r="Z75" t="str">
        <f>IF(AND('Lap ED'!G70='Peta Risiko'!$D$8,'Lap ED'!H70='Peta Risiko'!$H$9),'Lap ED'!A70,"")</f>
        <v/>
      </c>
      <c r="AA75" t="str">
        <f>IF(AND('Lap ED'!G70='Peta Risiko'!$D$8,'Lap ED'!H70='Peta Risiko'!$I$9),'Lap ED'!A70,"")</f>
        <v/>
      </c>
    </row>
    <row r="76" spans="2:27" hidden="1" x14ac:dyDescent="0.25">
      <c r="B76">
        <v>62</v>
      </c>
      <c r="C76" t="str">
        <f>IF(AND('Lap ED'!G71='Peta Risiko'!$D$4,'Lap ED'!H71='Peta Risiko'!$E$9),'Lap ED'!A71,"")</f>
        <v/>
      </c>
      <c r="D76" t="str">
        <f>IF(AND('Lap ED'!G71='Peta Risiko'!$D$4,'Lap ED'!H71='Peta Risiko'!$F$9),'Lap ED'!A71,"")</f>
        <v/>
      </c>
      <c r="E76" t="str">
        <f>IF(AND('Lap ED'!G71='Peta Risiko'!$D$4,'Lap ED'!H71='Peta Risiko'!$G$9),'Lap ED'!A71,"")</f>
        <v/>
      </c>
      <c r="F76" t="str">
        <f>IF(AND('Lap ED'!G71='Peta Risiko'!$D$4,'Lap ED'!H71='Peta Risiko'!$H$9),'Lap ED'!A71,"")</f>
        <v/>
      </c>
      <c r="G76" t="str">
        <f>IF(AND('Lap ED'!G71='Peta Risiko'!$D$4,'Lap ED'!H71='Peta Risiko'!$I$9),'Lap ED'!A71,"")</f>
        <v/>
      </c>
      <c r="H76" t="str">
        <f>IF(AND('Lap ED'!G71='Peta Risiko'!$D$5,'Lap ED'!H71='Peta Risiko'!$E$9),'Lap ED'!A71,"")</f>
        <v/>
      </c>
      <c r="I76" t="str">
        <f>IF(AND('Lap ED'!G71='Peta Risiko'!$D$5,'Lap ED'!H71='Peta Risiko'!$F$9),'Lap ED'!A71,"")</f>
        <v/>
      </c>
      <c r="J76" t="str">
        <f>IF(AND('Lap ED'!G71='Peta Risiko'!$D$5,'Lap ED'!H71='Peta Risiko'!$G$9),'Lap ED'!A71,"")</f>
        <v/>
      </c>
      <c r="K76" t="str">
        <f>IF(AND('Lap ED'!G71='Peta Risiko'!$D$5,'Lap ED'!H71='Peta Risiko'!$H$9),'Lap ED'!A71,"")</f>
        <v/>
      </c>
      <c r="L76" t="str">
        <f>IF(AND('Lap ED'!G71='Peta Risiko'!$D$5,'Lap ED'!H71='Peta Risiko'!$I$9),'Lap ED'!A71,"")</f>
        <v/>
      </c>
      <c r="M76" t="str">
        <f>IF(AND('Lap ED'!G71='Peta Risiko'!$D$6,'Lap ED'!H71='Peta Risiko'!$E$9),'Lap ED'!A71,"")</f>
        <v/>
      </c>
      <c r="N76" t="str">
        <f>IF(AND('Lap ED'!G71='Peta Risiko'!$D$6,'Lap ED'!H71='Peta Risiko'!$F$9),'Lap ED'!A71,"")</f>
        <v/>
      </c>
      <c r="O76" t="str">
        <f>IF(AND('Lap ED'!G71='Peta Risiko'!$D$6,'Lap ED'!H71='Peta Risiko'!$G$9),'Lap ED'!A71,"")</f>
        <v/>
      </c>
      <c r="P76" t="str">
        <f>IF(AND('Lap ED'!G71='Peta Risiko'!$D$6,'Lap ED'!H71='Peta Risiko'!$H$9),'Lap ED'!A71,"")</f>
        <v/>
      </c>
      <c r="Q76" t="str">
        <f>IF(AND('Lap ED'!G71='Peta Risiko'!$D$6,'Lap ED'!H71='Peta Risiko'!$I$9),'Lap ED'!A71,"")</f>
        <v/>
      </c>
      <c r="R76" t="str">
        <f>IF(AND('Lap ED'!G71='Peta Risiko'!$D$7,'Lap ED'!H71='Peta Risiko'!$E$9),'Lap ED'!A71,"")</f>
        <v/>
      </c>
      <c r="S76" t="str">
        <f>IF(AND('Lap ED'!G71='Peta Risiko'!$D$7,'Lap ED'!H71='Peta Risiko'!$F$9),'Lap ED'!A71,"")</f>
        <v/>
      </c>
      <c r="T76" t="str">
        <f>IF(AND('Lap ED'!G71='Peta Risiko'!$D$7,'Lap ED'!H71='Peta Risiko'!$G$9),'Lap ED'!A71,"")</f>
        <v/>
      </c>
      <c r="U76">
        <f>IF(AND('Lap ED'!G71='Peta Risiko'!$D$7,'Lap ED'!H71='Peta Risiko'!$H$9),'Lap ED'!A71,"")</f>
        <v>62</v>
      </c>
      <c r="V76" t="str">
        <f>IF(AND('Lap ED'!G71='Peta Risiko'!$D$7,'Lap ED'!H71='Peta Risiko'!$I$9),'Lap ED'!A71,"")</f>
        <v/>
      </c>
      <c r="W76" t="str">
        <f>IF(AND('Lap ED'!G71='Peta Risiko'!$D$8,'Lap ED'!H71='Peta Risiko'!$E$9),'Lap ED'!A71,"")</f>
        <v/>
      </c>
      <c r="X76" t="str">
        <f>IF(AND('Lap ED'!G71='Peta Risiko'!$D$8,'Lap ED'!H71='Peta Risiko'!$F$9),'Lap ED'!A71,"")</f>
        <v/>
      </c>
      <c r="Y76" t="str">
        <f>IF(AND('Lap ED'!G71='Peta Risiko'!$D$8,'Lap ED'!H71='Peta Risiko'!$G$9),'Lap ED'!A71,"")</f>
        <v/>
      </c>
      <c r="Z76" t="str">
        <f>IF(AND('Lap ED'!G71='Peta Risiko'!$D$8,'Lap ED'!H71='Peta Risiko'!$H$9),'Lap ED'!A71,"")</f>
        <v/>
      </c>
      <c r="AA76" t="str">
        <f>IF(AND('Lap ED'!G71='Peta Risiko'!$D$8,'Lap ED'!H71='Peta Risiko'!$I$9),'Lap ED'!A71,"")</f>
        <v/>
      </c>
    </row>
    <row r="77" spans="2:27" hidden="1" x14ac:dyDescent="0.25">
      <c r="B77">
        <v>63</v>
      </c>
      <c r="C77" t="str">
        <f>IF(AND('Lap ED'!G72='Peta Risiko'!$D$4,'Lap ED'!H72='Peta Risiko'!$E$9),'Lap ED'!A72,"")</f>
        <v/>
      </c>
      <c r="D77" t="str">
        <f>IF(AND('Lap ED'!G72='Peta Risiko'!$D$4,'Lap ED'!H72='Peta Risiko'!$F$9),'Lap ED'!A72,"")</f>
        <v/>
      </c>
      <c r="E77" t="str">
        <f>IF(AND('Lap ED'!G72='Peta Risiko'!$D$4,'Lap ED'!H72='Peta Risiko'!$G$9),'Lap ED'!A72,"")</f>
        <v/>
      </c>
      <c r="F77" t="str">
        <f>IF(AND('Lap ED'!G72='Peta Risiko'!$D$4,'Lap ED'!H72='Peta Risiko'!$H$9),'Lap ED'!A72,"")</f>
        <v/>
      </c>
      <c r="G77" t="str">
        <f>IF(AND('Lap ED'!G72='Peta Risiko'!$D$4,'Lap ED'!H72='Peta Risiko'!$I$9),'Lap ED'!A72,"")</f>
        <v/>
      </c>
      <c r="H77" t="str">
        <f>IF(AND('Lap ED'!G72='Peta Risiko'!$D$5,'Lap ED'!H72='Peta Risiko'!$E$9),'Lap ED'!A72,"")</f>
        <v/>
      </c>
      <c r="I77" t="str">
        <f>IF(AND('Lap ED'!G72='Peta Risiko'!$D$5,'Lap ED'!H72='Peta Risiko'!$F$9),'Lap ED'!A72,"")</f>
        <v/>
      </c>
      <c r="J77" t="str">
        <f>IF(AND('Lap ED'!G72='Peta Risiko'!$D$5,'Lap ED'!H72='Peta Risiko'!$G$9),'Lap ED'!A72,"")</f>
        <v/>
      </c>
      <c r="K77" t="str">
        <f>IF(AND('Lap ED'!G72='Peta Risiko'!$D$5,'Lap ED'!H72='Peta Risiko'!$H$9),'Lap ED'!A72,"")</f>
        <v/>
      </c>
      <c r="L77" t="str">
        <f>IF(AND('Lap ED'!G72='Peta Risiko'!$D$5,'Lap ED'!H72='Peta Risiko'!$I$9),'Lap ED'!A72,"")</f>
        <v/>
      </c>
      <c r="M77" t="str">
        <f>IF(AND('Lap ED'!G72='Peta Risiko'!$D$6,'Lap ED'!H72='Peta Risiko'!$E$9),'Lap ED'!A72,"")</f>
        <v/>
      </c>
      <c r="N77" t="str">
        <f>IF(AND('Lap ED'!G72='Peta Risiko'!$D$6,'Lap ED'!H72='Peta Risiko'!$F$9),'Lap ED'!A72,"")</f>
        <v/>
      </c>
      <c r="O77" t="str">
        <f>IF(AND('Lap ED'!G72='Peta Risiko'!$D$6,'Lap ED'!H72='Peta Risiko'!$G$9),'Lap ED'!A72,"")</f>
        <v/>
      </c>
      <c r="P77" t="str">
        <f>IF(AND('Lap ED'!G72='Peta Risiko'!$D$6,'Lap ED'!H72='Peta Risiko'!$H$9),'Lap ED'!A72,"")</f>
        <v/>
      </c>
      <c r="Q77" t="str">
        <f>IF(AND('Lap ED'!G72='Peta Risiko'!$D$6,'Lap ED'!H72='Peta Risiko'!$I$9),'Lap ED'!A72,"")</f>
        <v/>
      </c>
      <c r="R77" t="str">
        <f>IF(AND('Lap ED'!G72='Peta Risiko'!$D$7,'Lap ED'!H72='Peta Risiko'!$E$9),'Lap ED'!A72,"")</f>
        <v/>
      </c>
      <c r="S77" t="str">
        <f>IF(AND('Lap ED'!G72='Peta Risiko'!$D$7,'Lap ED'!H72='Peta Risiko'!$F$9),'Lap ED'!A72,"")</f>
        <v/>
      </c>
      <c r="T77" t="str">
        <f>IF(AND('Lap ED'!G72='Peta Risiko'!$D$7,'Lap ED'!H72='Peta Risiko'!$G$9),'Lap ED'!A72,"")</f>
        <v/>
      </c>
      <c r="U77">
        <f>IF(AND('Lap ED'!G72='Peta Risiko'!$D$7,'Lap ED'!H72='Peta Risiko'!$H$9),'Lap ED'!A72,"")</f>
        <v>63</v>
      </c>
      <c r="V77" t="str">
        <f>IF(AND('Lap ED'!G72='Peta Risiko'!$D$7,'Lap ED'!H72='Peta Risiko'!$I$9),'Lap ED'!A72,"")</f>
        <v/>
      </c>
      <c r="W77" t="str">
        <f>IF(AND('Lap ED'!G72='Peta Risiko'!$D$8,'Lap ED'!H72='Peta Risiko'!$E$9),'Lap ED'!A72,"")</f>
        <v/>
      </c>
      <c r="X77" t="str">
        <f>IF(AND('Lap ED'!G72='Peta Risiko'!$D$8,'Lap ED'!H72='Peta Risiko'!$F$9),'Lap ED'!A72,"")</f>
        <v/>
      </c>
      <c r="Y77" t="str">
        <f>IF(AND('Lap ED'!G72='Peta Risiko'!$D$8,'Lap ED'!H72='Peta Risiko'!$G$9),'Lap ED'!A72,"")</f>
        <v/>
      </c>
      <c r="Z77" t="str">
        <f>IF(AND('Lap ED'!G72='Peta Risiko'!$D$8,'Lap ED'!H72='Peta Risiko'!$H$9),'Lap ED'!A72,"")</f>
        <v/>
      </c>
      <c r="AA77" t="str">
        <f>IF(AND('Lap ED'!G72='Peta Risiko'!$D$8,'Lap ED'!H72='Peta Risiko'!$I$9),'Lap ED'!A72,"")</f>
        <v/>
      </c>
    </row>
    <row r="78" spans="2:27" hidden="1" x14ac:dyDescent="0.25">
      <c r="B78">
        <v>64</v>
      </c>
      <c r="C78" t="str">
        <f>IF(AND('Lap ED'!G73='Peta Risiko'!$D$4,'Lap ED'!H73='Peta Risiko'!$E$9),'Lap ED'!A73,"")</f>
        <v/>
      </c>
      <c r="D78" t="str">
        <f>IF(AND('Lap ED'!G73='Peta Risiko'!$D$4,'Lap ED'!H73='Peta Risiko'!$F$9),'Lap ED'!A73,"")</f>
        <v/>
      </c>
      <c r="E78" t="str">
        <f>IF(AND('Lap ED'!G73='Peta Risiko'!$D$4,'Lap ED'!H73='Peta Risiko'!$G$9),'Lap ED'!A73,"")</f>
        <v/>
      </c>
      <c r="F78" t="str">
        <f>IF(AND('Lap ED'!G73='Peta Risiko'!$D$4,'Lap ED'!H73='Peta Risiko'!$H$9),'Lap ED'!A73,"")</f>
        <v/>
      </c>
      <c r="G78" t="str">
        <f>IF(AND('Lap ED'!G73='Peta Risiko'!$D$4,'Lap ED'!H73='Peta Risiko'!$I$9),'Lap ED'!A73,"")</f>
        <v/>
      </c>
      <c r="H78" t="str">
        <f>IF(AND('Lap ED'!G73='Peta Risiko'!$D$5,'Lap ED'!H73='Peta Risiko'!$E$9),'Lap ED'!A73,"")</f>
        <v/>
      </c>
      <c r="I78" t="str">
        <f>IF(AND('Lap ED'!G73='Peta Risiko'!$D$5,'Lap ED'!H73='Peta Risiko'!$F$9),'Lap ED'!A73,"")</f>
        <v/>
      </c>
      <c r="J78" t="str">
        <f>IF(AND('Lap ED'!G73='Peta Risiko'!$D$5,'Lap ED'!H73='Peta Risiko'!$G$9),'Lap ED'!A73,"")</f>
        <v/>
      </c>
      <c r="K78" t="str">
        <f>IF(AND('Lap ED'!G73='Peta Risiko'!$D$5,'Lap ED'!H73='Peta Risiko'!$H$9),'Lap ED'!A73,"")</f>
        <v/>
      </c>
      <c r="L78" t="str">
        <f>IF(AND('Lap ED'!G73='Peta Risiko'!$D$5,'Lap ED'!H73='Peta Risiko'!$I$9),'Lap ED'!A73,"")</f>
        <v/>
      </c>
      <c r="M78" t="str">
        <f>IF(AND('Lap ED'!G73='Peta Risiko'!$D$6,'Lap ED'!H73='Peta Risiko'!$E$9),'Lap ED'!A73,"")</f>
        <v/>
      </c>
      <c r="N78" t="str">
        <f>IF(AND('Lap ED'!G73='Peta Risiko'!$D$6,'Lap ED'!H73='Peta Risiko'!$F$9),'Lap ED'!A73,"")</f>
        <v/>
      </c>
      <c r="O78" t="str">
        <f>IF(AND('Lap ED'!G73='Peta Risiko'!$D$6,'Lap ED'!H73='Peta Risiko'!$G$9),'Lap ED'!A73,"")</f>
        <v/>
      </c>
      <c r="P78" t="str">
        <f>IF(AND('Lap ED'!G73='Peta Risiko'!$D$6,'Lap ED'!H73='Peta Risiko'!$H$9),'Lap ED'!A73,"")</f>
        <v/>
      </c>
      <c r="Q78" t="str">
        <f>IF(AND('Lap ED'!G73='Peta Risiko'!$D$6,'Lap ED'!H73='Peta Risiko'!$I$9),'Lap ED'!A73,"")</f>
        <v/>
      </c>
      <c r="R78" t="str">
        <f>IF(AND('Lap ED'!G73='Peta Risiko'!$D$7,'Lap ED'!H73='Peta Risiko'!$E$9),'Lap ED'!A73,"")</f>
        <v/>
      </c>
      <c r="S78" t="str">
        <f>IF(AND('Lap ED'!G73='Peta Risiko'!$D$7,'Lap ED'!H73='Peta Risiko'!$F$9),'Lap ED'!A73,"")</f>
        <v/>
      </c>
      <c r="T78" t="str">
        <f>IF(AND('Lap ED'!G73='Peta Risiko'!$D$7,'Lap ED'!H73='Peta Risiko'!$G$9),'Lap ED'!A73,"")</f>
        <v/>
      </c>
      <c r="U78">
        <f>IF(AND('Lap ED'!G73='Peta Risiko'!$D$7,'Lap ED'!H73='Peta Risiko'!$H$9),'Lap ED'!A73,"")</f>
        <v>64</v>
      </c>
      <c r="V78" t="str">
        <f>IF(AND('Lap ED'!G73='Peta Risiko'!$D$7,'Lap ED'!H73='Peta Risiko'!$I$9),'Lap ED'!A73,"")</f>
        <v/>
      </c>
      <c r="W78" t="str">
        <f>IF(AND('Lap ED'!G73='Peta Risiko'!$D$8,'Lap ED'!H73='Peta Risiko'!$E$9),'Lap ED'!A73,"")</f>
        <v/>
      </c>
      <c r="X78" t="str">
        <f>IF(AND('Lap ED'!G73='Peta Risiko'!$D$8,'Lap ED'!H73='Peta Risiko'!$F$9),'Lap ED'!A73,"")</f>
        <v/>
      </c>
      <c r="Y78" t="str">
        <f>IF(AND('Lap ED'!G73='Peta Risiko'!$D$8,'Lap ED'!H73='Peta Risiko'!$G$9),'Lap ED'!A73,"")</f>
        <v/>
      </c>
      <c r="Z78" t="str">
        <f>IF(AND('Lap ED'!G73='Peta Risiko'!$D$8,'Lap ED'!H73='Peta Risiko'!$H$9),'Lap ED'!A73,"")</f>
        <v/>
      </c>
      <c r="AA78" t="str">
        <f>IF(AND('Lap ED'!G73='Peta Risiko'!$D$8,'Lap ED'!H73='Peta Risiko'!$I$9),'Lap ED'!A73,"")</f>
        <v/>
      </c>
    </row>
    <row r="79" spans="2:27" hidden="1" x14ac:dyDescent="0.25">
      <c r="B79">
        <v>65</v>
      </c>
      <c r="C79" t="str">
        <f>IF(AND('Lap ED'!G76='Peta Risiko'!$D$4,'Lap ED'!H76='Peta Risiko'!$E$9),'Lap ED'!A76,"")</f>
        <v/>
      </c>
      <c r="D79" t="str">
        <f>IF(AND('Lap ED'!G76='Peta Risiko'!$D$4,'Lap ED'!H76='Peta Risiko'!$F$9),'Lap ED'!A76,"")</f>
        <v/>
      </c>
      <c r="E79" t="str">
        <f>IF(AND('Lap ED'!G76='Peta Risiko'!$D$4,'Lap ED'!H76='Peta Risiko'!$G$9),'Lap ED'!A76,"")</f>
        <v/>
      </c>
      <c r="F79" t="str">
        <f>IF(AND('Lap ED'!G76='Peta Risiko'!$D$4,'Lap ED'!H76='Peta Risiko'!$H$9),'Lap ED'!A76,"")</f>
        <v/>
      </c>
      <c r="G79" t="str">
        <f>IF(AND('Lap ED'!G76='Peta Risiko'!$D$4,'Lap ED'!H76='Peta Risiko'!$I$9),'Lap ED'!A76,"")</f>
        <v/>
      </c>
      <c r="H79" t="str">
        <f>IF(AND('Lap ED'!G76='Peta Risiko'!$D$5,'Lap ED'!H76='Peta Risiko'!$E$9),'Lap ED'!A76,"")</f>
        <v/>
      </c>
      <c r="I79" t="str">
        <f>IF(AND('Lap ED'!G76='Peta Risiko'!$D$5,'Lap ED'!H76='Peta Risiko'!$F$9),'Lap ED'!A76,"")</f>
        <v/>
      </c>
      <c r="J79" t="str">
        <f>IF(AND('Lap ED'!G76='Peta Risiko'!$D$5,'Lap ED'!H76='Peta Risiko'!$G$9),'Lap ED'!A76,"")</f>
        <v/>
      </c>
      <c r="K79" t="str">
        <f>IF(AND('Lap ED'!G76='Peta Risiko'!$D$5,'Lap ED'!H76='Peta Risiko'!$H$9),'Lap ED'!A76,"")</f>
        <v/>
      </c>
      <c r="L79" t="str">
        <f>IF(AND('Lap ED'!G76='Peta Risiko'!$D$5,'Lap ED'!H76='Peta Risiko'!$I$9),'Lap ED'!A76,"")</f>
        <v/>
      </c>
      <c r="M79" t="str">
        <f>IF(AND('Lap ED'!G76='Peta Risiko'!$D$6,'Lap ED'!H76='Peta Risiko'!$E$9),'Lap ED'!A76,"")</f>
        <v/>
      </c>
      <c r="N79" t="str">
        <f>IF(AND('Lap ED'!G76='Peta Risiko'!$D$6,'Lap ED'!H76='Peta Risiko'!$F$9),'Lap ED'!A76,"")</f>
        <v/>
      </c>
      <c r="O79" t="str">
        <f>IF(AND('Lap ED'!G76='Peta Risiko'!$D$6,'Lap ED'!H76='Peta Risiko'!$G$9),'Lap ED'!A76,"")</f>
        <v/>
      </c>
      <c r="P79" t="str">
        <f>IF(AND('Lap ED'!G76='Peta Risiko'!$D$6,'Lap ED'!H76='Peta Risiko'!$H$9),'Lap ED'!A76,"")</f>
        <v/>
      </c>
      <c r="Q79" t="str">
        <f>IF(AND('Lap ED'!G76='Peta Risiko'!$D$6,'Lap ED'!H76='Peta Risiko'!$I$9),'Lap ED'!A76,"")</f>
        <v/>
      </c>
      <c r="R79" t="str">
        <f>IF(AND('Lap ED'!G76='Peta Risiko'!$D$7,'Lap ED'!H76='Peta Risiko'!$E$9),'Lap ED'!A76,"")</f>
        <v/>
      </c>
      <c r="S79" t="str">
        <f>IF(AND('Lap ED'!G76='Peta Risiko'!$D$7,'Lap ED'!H76='Peta Risiko'!$F$9),'Lap ED'!A76,"")</f>
        <v/>
      </c>
      <c r="T79" t="str">
        <f>IF(AND('Lap ED'!G76='Peta Risiko'!$D$7,'Lap ED'!H76='Peta Risiko'!$G$9),'Lap ED'!A76,"")</f>
        <v/>
      </c>
      <c r="U79">
        <f>IF(AND('Lap ED'!G76='Peta Risiko'!$D$7,'Lap ED'!H76='Peta Risiko'!$H$9),'Lap ED'!A76,"")</f>
        <v>65</v>
      </c>
      <c r="V79" t="str">
        <f>IF(AND('Lap ED'!G76='Peta Risiko'!$D$7,'Lap ED'!H76='Peta Risiko'!$I$9),'Lap ED'!A76,"")</f>
        <v/>
      </c>
      <c r="W79" t="str">
        <f>IF(AND('Lap ED'!G76='Peta Risiko'!$D$8,'Lap ED'!H76='Peta Risiko'!$E$9),'Lap ED'!A76,"")</f>
        <v/>
      </c>
      <c r="X79" t="str">
        <f>IF(AND('Lap ED'!G76='Peta Risiko'!$D$8,'Lap ED'!H76='Peta Risiko'!$F$9),'Lap ED'!A76,"")</f>
        <v/>
      </c>
      <c r="Y79" t="str">
        <f>IF(AND('Lap ED'!G76='Peta Risiko'!$D$8,'Lap ED'!H76='Peta Risiko'!$G$9),'Lap ED'!A76,"")</f>
        <v/>
      </c>
      <c r="Z79" t="str">
        <f>IF(AND('Lap ED'!G76='Peta Risiko'!$D$8,'Lap ED'!H76='Peta Risiko'!$H$9),'Lap ED'!A76,"")</f>
        <v/>
      </c>
      <c r="AA79" t="str">
        <f>IF(AND('Lap ED'!G76='Peta Risiko'!$D$8,'Lap ED'!H76='Peta Risiko'!$I$9),'Lap ED'!A76,"")</f>
        <v/>
      </c>
    </row>
    <row r="80" spans="2:27" hidden="1" x14ac:dyDescent="0.25">
      <c r="B80">
        <v>66</v>
      </c>
      <c r="C80" t="str">
        <f>IF(AND('Lap ED'!G77='Peta Risiko'!$D$4,'Lap ED'!H77='Peta Risiko'!$E$9),'Lap ED'!A77,"")</f>
        <v/>
      </c>
      <c r="D80" t="str">
        <f>IF(AND('Lap ED'!G77='Peta Risiko'!$D$4,'Lap ED'!H77='Peta Risiko'!$F$9),'Lap ED'!A77,"")</f>
        <v/>
      </c>
      <c r="E80" t="str">
        <f>IF(AND('Lap ED'!G77='Peta Risiko'!$D$4,'Lap ED'!H77='Peta Risiko'!$G$9),'Lap ED'!A77,"")</f>
        <v/>
      </c>
      <c r="F80" t="str">
        <f>IF(AND('Lap ED'!G77='Peta Risiko'!$D$4,'Lap ED'!H77='Peta Risiko'!$H$9),'Lap ED'!A77,"")</f>
        <v/>
      </c>
      <c r="G80" t="str">
        <f>IF(AND('Lap ED'!G77='Peta Risiko'!$D$4,'Lap ED'!H77='Peta Risiko'!$I$9),'Lap ED'!A77,"")</f>
        <v/>
      </c>
      <c r="H80" t="str">
        <f>IF(AND('Lap ED'!G77='Peta Risiko'!$D$5,'Lap ED'!H77='Peta Risiko'!$E$9),'Lap ED'!A77,"")</f>
        <v/>
      </c>
      <c r="I80" t="str">
        <f>IF(AND('Lap ED'!G77='Peta Risiko'!$D$5,'Lap ED'!H77='Peta Risiko'!$F$9),'Lap ED'!A77,"")</f>
        <v/>
      </c>
      <c r="J80" t="str">
        <f>IF(AND('Lap ED'!G77='Peta Risiko'!$D$5,'Lap ED'!H77='Peta Risiko'!$G$9),'Lap ED'!A77,"")</f>
        <v/>
      </c>
      <c r="K80" t="str">
        <f>IF(AND('Lap ED'!G77='Peta Risiko'!$D$5,'Lap ED'!H77='Peta Risiko'!$H$9),'Lap ED'!A77,"")</f>
        <v/>
      </c>
      <c r="L80" t="str">
        <f>IF(AND('Lap ED'!G77='Peta Risiko'!$D$5,'Lap ED'!H77='Peta Risiko'!$I$9),'Lap ED'!A77,"")</f>
        <v/>
      </c>
      <c r="M80" t="str">
        <f>IF(AND('Lap ED'!G77='Peta Risiko'!$D$6,'Lap ED'!H77='Peta Risiko'!$E$9),'Lap ED'!A77,"")</f>
        <v/>
      </c>
      <c r="N80" t="str">
        <f>IF(AND('Lap ED'!G77='Peta Risiko'!$D$6,'Lap ED'!H77='Peta Risiko'!$F$9),'Lap ED'!A77,"")</f>
        <v/>
      </c>
      <c r="O80" t="str">
        <f>IF(AND('Lap ED'!G77='Peta Risiko'!$D$6,'Lap ED'!H77='Peta Risiko'!$G$9),'Lap ED'!A77,"")</f>
        <v/>
      </c>
      <c r="P80" t="str">
        <f>IF(AND('Lap ED'!G77='Peta Risiko'!$D$6,'Lap ED'!H77='Peta Risiko'!$H$9),'Lap ED'!A77,"")</f>
        <v/>
      </c>
      <c r="Q80" t="str">
        <f>IF(AND('Lap ED'!G77='Peta Risiko'!$D$6,'Lap ED'!H77='Peta Risiko'!$I$9),'Lap ED'!A77,"")</f>
        <v/>
      </c>
      <c r="R80" t="str">
        <f>IF(AND('Lap ED'!G77='Peta Risiko'!$D$7,'Lap ED'!H77='Peta Risiko'!$E$9),'Lap ED'!A77,"")</f>
        <v/>
      </c>
      <c r="S80" t="str">
        <f>IF(AND('Lap ED'!G77='Peta Risiko'!$D$7,'Lap ED'!H77='Peta Risiko'!$F$9),'Lap ED'!A77,"")</f>
        <v/>
      </c>
      <c r="T80" t="str">
        <f>IF(AND('Lap ED'!G77='Peta Risiko'!$D$7,'Lap ED'!H77='Peta Risiko'!$G$9),'Lap ED'!A77,"")</f>
        <v/>
      </c>
      <c r="U80">
        <f>IF(AND('Lap ED'!G77='Peta Risiko'!$D$7,'Lap ED'!H77='Peta Risiko'!$H$9),'Lap ED'!A77,"")</f>
        <v>66</v>
      </c>
      <c r="V80" t="str">
        <f>IF(AND('Lap ED'!G77='Peta Risiko'!$D$7,'Lap ED'!H77='Peta Risiko'!$I$9),'Lap ED'!A77,"")</f>
        <v/>
      </c>
      <c r="W80" t="str">
        <f>IF(AND('Lap ED'!G77='Peta Risiko'!$D$8,'Lap ED'!H77='Peta Risiko'!$E$9),'Lap ED'!A77,"")</f>
        <v/>
      </c>
      <c r="X80" t="str">
        <f>IF(AND('Lap ED'!G77='Peta Risiko'!$D$8,'Lap ED'!H77='Peta Risiko'!$F$9),'Lap ED'!A77,"")</f>
        <v/>
      </c>
      <c r="Y80" t="str">
        <f>IF(AND('Lap ED'!G77='Peta Risiko'!$D$8,'Lap ED'!H77='Peta Risiko'!$G$9),'Lap ED'!A77,"")</f>
        <v/>
      </c>
      <c r="Z80" t="str">
        <f>IF(AND('Lap ED'!G77='Peta Risiko'!$D$8,'Lap ED'!H77='Peta Risiko'!$H$9),'Lap ED'!A77,"")</f>
        <v/>
      </c>
      <c r="AA80" t="str">
        <f>IF(AND('Lap ED'!G77='Peta Risiko'!$D$8,'Lap ED'!H77='Peta Risiko'!$I$9),'Lap ED'!A77,"")</f>
        <v/>
      </c>
    </row>
    <row r="81" spans="2:27" hidden="1" x14ac:dyDescent="0.25">
      <c r="B81">
        <v>67</v>
      </c>
      <c r="C81" t="str">
        <f>IF(AND('Lap ED'!G78='Peta Risiko'!$D$4,'Lap ED'!H78='Peta Risiko'!$E$9),'Lap ED'!A78,"")</f>
        <v/>
      </c>
      <c r="D81" t="str">
        <f>IF(AND('Lap ED'!G78='Peta Risiko'!$D$4,'Lap ED'!H78='Peta Risiko'!$F$9),'Lap ED'!A78,"")</f>
        <v/>
      </c>
      <c r="E81" t="str">
        <f>IF(AND('Lap ED'!G78='Peta Risiko'!$D$4,'Lap ED'!H78='Peta Risiko'!$G$9),'Lap ED'!A78,"")</f>
        <v/>
      </c>
      <c r="F81" t="str">
        <f>IF(AND('Lap ED'!G78='Peta Risiko'!$D$4,'Lap ED'!H78='Peta Risiko'!$H$9),'Lap ED'!A78,"")</f>
        <v/>
      </c>
      <c r="G81" t="str">
        <f>IF(AND('Lap ED'!G78='Peta Risiko'!$D$4,'Lap ED'!H78='Peta Risiko'!$I$9),'Lap ED'!A78,"")</f>
        <v/>
      </c>
      <c r="H81" t="str">
        <f>IF(AND('Lap ED'!G78='Peta Risiko'!$D$5,'Lap ED'!H78='Peta Risiko'!$E$9),'Lap ED'!A78,"")</f>
        <v/>
      </c>
      <c r="I81" t="str">
        <f>IF(AND('Lap ED'!G78='Peta Risiko'!$D$5,'Lap ED'!H78='Peta Risiko'!$F$9),'Lap ED'!A78,"")</f>
        <v/>
      </c>
      <c r="J81" t="str">
        <f>IF(AND('Lap ED'!G78='Peta Risiko'!$D$5,'Lap ED'!H78='Peta Risiko'!$G$9),'Lap ED'!A78,"")</f>
        <v/>
      </c>
      <c r="K81" t="str">
        <f>IF(AND('Lap ED'!G78='Peta Risiko'!$D$5,'Lap ED'!H78='Peta Risiko'!$H$9),'Lap ED'!A78,"")</f>
        <v/>
      </c>
      <c r="L81" t="str">
        <f>IF(AND('Lap ED'!G78='Peta Risiko'!$D$5,'Lap ED'!H78='Peta Risiko'!$I$9),'Lap ED'!A78,"")</f>
        <v/>
      </c>
      <c r="M81" t="str">
        <f>IF(AND('Lap ED'!G78='Peta Risiko'!$D$6,'Lap ED'!H78='Peta Risiko'!$E$9),'Lap ED'!A78,"")</f>
        <v/>
      </c>
      <c r="N81" t="str">
        <f>IF(AND('Lap ED'!G78='Peta Risiko'!$D$6,'Lap ED'!H78='Peta Risiko'!$F$9),'Lap ED'!A78,"")</f>
        <v/>
      </c>
      <c r="O81" t="str">
        <f>IF(AND('Lap ED'!G78='Peta Risiko'!$D$6,'Lap ED'!H78='Peta Risiko'!$G$9),'Lap ED'!A78,"")</f>
        <v/>
      </c>
      <c r="P81" t="str">
        <f>IF(AND('Lap ED'!G78='Peta Risiko'!$D$6,'Lap ED'!H78='Peta Risiko'!$H$9),'Lap ED'!A78,"")</f>
        <v/>
      </c>
      <c r="Q81" t="str">
        <f>IF(AND('Lap ED'!G78='Peta Risiko'!$D$6,'Lap ED'!H78='Peta Risiko'!$I$9),'Lap ED'!A78,"")</f>
        <v/>
      </c>
      <c r="R81" t="str">
        <f>IF(AND('Lap ED'!G78='Peta Risiko'!$D$7,'Lap ED'!H78='Peta Risiko'!$E$9),'Lap ED'!A78,"")</f>
        <v/>
      </c>
      <c r="S81" t="str">
        <f>IF(AND('Lap ED'!G78='Peta Risiko'!$D$7,'Lap ED'!H78='Peta Risiko'!$F$9),'Lap ED'!A78,"")</f>
        <v/>
      </c>
      <c r="T81" t="str">
        <f>IF(AND('Lap ED'!G78='Peta Risiko'!$D$7,'Lap ED'!H78='Peta Risiko'!$G$9),'Lap ED'!A78,"")</f>
        <v/>
      </c>
      <c r="U81">
        <f>IF(AND('Lap ED'!G78='Peta Risiko'!$D$7,'Lap ED'!H78='Peta Risiko'!$H$9),'Lap ED'!A78,"")</f>
        <v>67</v>
      </c>
      <c r="V81" t="str">
        <f>IF(AND('Lap ED'!G78='Peta Risiko'!$D$7,'Lap ED'!H78='Peta Risiko'!$I$9),'Lap ED'!A78,"")</f>
        <v/>
      </c>
      <c r="W81" t="str">
        <f>IF(AND('Lap ED'!G78='Peta Risiko'!$D$8,'Lap ED'!H78='Peta Risiko'!$E$9),'Lap ED'!A78,"")</f>
        <v/>
      </c>
      <c r="X81" t="str">
        <f>IF(AND('Lap ED'!G78='Peta Risiko'!$D$8,'Lap ED'!H78='Peta Risiko'!$F$9),'Lap ED'!A78,"")</f>
        <v/>
      </c>
      <c r="Y81" t="str">
        <f>IF(AND('Lap ED'!G78='Peta Risiko'!$D$8,'Lap ED'!H78='Peta Risiko'!$G$9),'Lap ED'!A78,"")</f>
        <v/>
      </c>
      <c r="Z81" t="str">
        <f>IF(AND('Lap ED'!G78='Peta Risiko'!$D$8,'Lap ED'!H78='Peta Risiko'!$H$9),'Lap ED'!A78,"")</f>
        <v/>
      </c>
      <c r="AA81" t="str">
        <f>IF(AND('Lap ED'!G78='Peta Risiko'!$D$8,'Lap ED'!H78='Peta Risiko'!$I$9),'Lap ED'!A78,"")</f>
        <v/>
      </c>
    </row>
    <row r="82" spans="2:27" hidden="1" x14ac:dyDescent="0.25">
      <c r="B82">
        <v>68</v>
      </c>
      <c r="C82" t="str">
        <f>IF(AND('Lap ED'!G79='Peta Risiko'!$D$4,'Lap ED'!H79='Peta Risiko'!$E$9),'Lap ED'!A79,"")</f>
        <v/>
      </c>
      <c r="D82" t="str">
        <f>IF(AND('Lap ED'!G79='Peta Risiko'!$D$4,'Lap ED'!H79='Peta Risiko'!$F$9),'Lap ED'!A79,"")</f>
        <v/>
      </c>
      <c r="E82" t="str">
        <f>IF(AND('Lap ED'!G79='Peta Risiko'!$D$4,'Lap ED'!H79='Peta Risiko'!$G$9),'Lap ED'!A79,"")</f>
        <v/>
      </c>
      <c r="F82" t="str">
        <f>IF(AND('Lap ED'!G79='Peta Risiko'!$D$4,'Lap ED'!H79='Peta Risiko'!$H$9),'Lap ED'!A79,"")</f>
        <v/>
      </c>
      <c r="G82" t="str">
        <f>IF(AND('Lap ED'!G79='Peta Risiko'!$D$4,'Lap ED'!H79='Peta Risiko'!$I$9),'Lap ED'!A79,"")</f>
        <v/>
      </c>
      <c r="H82" t="str">
        <f>IF(AND('Lap ED'!G79='Peta Risiko'!$D$5,'Lap ED'!H79='Peta Risiko'!$E$9),'Lap ED'!A79,"")</f>
        <v/>
      </c>
      <c r="I82" t="str">
        <f>IF(AND('Lap ED'!G79='Peta Risiko'!$D$5,'Lap ED'!H79='Peta Risiko'!$F$9),'Lap ED'!A79,"")</f>
        <v/>
      </c>
      <c r="J82" t="str">
        <f>IF(AND('Lap ED'!G79='Peta Risiko'!$D$5,'Lap ED'!H79='Peta Risiko'!$G$9),'Lap ED'!A79,"")</f>
        <v/>
      </c>
      <c r="K82" t="str">
        <f>IF(AND('Lap ED'!G79='Peta Risiko'!$D$5,'Lap ED'!H79='Peta Risiko'!$H$9),'Lap ED'!A79,"")</f>
        <v/>
      </c>
      <c r="L82" t="str">
        <f>IF(AND('Lap ED'!G79='Peta Risiko'!$D$5,'Lap ED'!H79='Peta Risiko'!$I$9),'Lap ED'!A79,"")</f>
        <v/>
      </c>
      <c r="M82" t="str">
        <f>IF(AND('Lap ED'!G79='Peta Risiko'!$D$6,'Lap ED'!H79='Peta Risiko'!$E$9),'Lap ED'!A79,"")</f>
        <v/>
      </c>
      <c r="N82" t="str">
        <f>IF(AND('Lap ED'!G79='Peta Risiko'!$D$6,'Lap ED'!H79='Peta Risiko'!$F$9),'Lap ED'!A79,"")</f>
        <v/>
      </c>
      <c r="O82" t="str">
        <f>IF(AND('Lap ED'!G79='Peta Risiko'!$D$6,'Lap ED'!H79='Peta Risiko'!$G$9),'Lap ED'!A79,"")</f>
        <v/>
      </c>
      <c r="P82" t="str">
        <f>IF(AND('Lap ED'!G79='Peta Risiko'!$D$6,'Lap ED'!H79='Peta Risiko'!$H$9),'Lap ED'!A79,"")</f>
        <v/>
      </c>
      <c r="Q82" t="str">
        <f>IF(AND('Lap ED'!G79='Peta Risiko'!$D$6,'Lap ED'!H79='Peta Risiko'!$I$9),'Lap ED'!A79,"")</f>
        <v/>
      </c>
      <c r="R82" t="str">
        <f>IF(AND('Lap ED'!G79='Peta Risiko'!$D$7,'Lap ED'!H79='Peta Risiko'!$E$9),'Lap ED'!A79,"")</f>
        <v/>
      </c>
      <c r="S82" t="str">
        <f>IF(AND('Lap ED'!G79='Peta Risiko'!$D$7,'Lap ED'!H79='Peta Risiko'!$F$9),'Lap ED'!A79,"")</f>
        <v/>
      </c>
      <c r="T82" t="str">
        <f>IF(AND('Lap ED'!G79='Peta Risiko'!$D$7,'Lap ED'!H79='Peta Risiko'!$G$9),'Lap ED'!A79,"")</f>
        <v/>
      </c>
      <c r="U82">
        <f>IF(AND('Lap ED'!G79='Peta Risiko'!$D$7,'Lap ED'!H79='Peta Risiko'!$H$9),'Lap ED'!A79,"")</f>
        <v>68</v>
      </c>
      <c r="V82" t="str">
        <f>IF(AND('Lap ED'!G79='Peta Risiko'!$D$7,'Lap ED'!H79='Peta Risiko'!$I$9),'Lap ED'!A79,"")</f>
        <v/>
      </c>
      <c r="W82" t="str">
        <f>IF(AND('Lap ED'!G79='Peta Risiko'!$D$8,'Lap ED'!H79='Peta Risiko'!$E$9),'Lap ED'!A79,"")</f>
        <v/>
      </c>
      <c r="X82" t="str">
        <f>IF(AND('Lap ED'!G79='Peta Risiko'!$D$8,'Lap ED'!H79='Peta Risiko'!$F$9),'Lap ED'!A79,"")</f>
        <v/>
      </c>
      <c r="Y82" t="str">
        <f>IF(AND('Lap ED'!G79='Peta Risiko'!$D$8,'Lap ED'!H79='Peta Risiko'!$G$9),'Lap ED'!A79,"")</f>
        <v/>
      </c>
      <c r="Z82" t="str">
        <f>IF(AND('Lap ED'!G79='Peta Risiko'!$D$8,'Lap ED'!H79='Peta Risiko'!$H$9),'Lap ED'!A79,"")</f>
        <v/>
      </c>
      <c r="AA82" t="str">
        <f>IF(AND('Lap ED'!G79='Peta Risiko'!$D$8,'Lap ED'!H79='Peta Risiko'!$I$9),'Lap ED'!A79,"")</f>
        <v/>
      </c>
    </row>
    <row r="83" spans="2:27" hidden="1" x14ac:dyDescent="0.25">
      <c r="B83">
        <v>69</v>
      </c>
      <c r="C83" t="str">
        <f>IF(AND('Lap ED'!G80='Peta Risiko'!$D$4,'Lap ED'!H80='Peta Risiko'!$E$9),'Lap ED'!A80,"")</f>
        <v/>
      </c>
      <c r="D83" t="str">
        <f>IF(AND('Lap ED'!G80='Peta Risiko'!$D$4,'Lap ED'!H80='Peta Risiko'!$F$9),'Lap ED'!A80,"")</f>
        <v/>
      </c>
      <c r="E83" t="str">
        <f>IF(AND('Lap ED'!G80='Peta Risiko'!$D$4,'Lap ED'!H80='Peta Risiko'!$G$9),'Lap ED'!A80,"")</f>
        <v/>
      </c>
      <c r="F83" t="str">
        <f>IF(AND('Lap ED'!G80='Peta Risiko'!$D$4,'Lap ED'!H80='Peta Risiko'!$H$9),'Lap ED'!A80,"")</f>
        <v/>
      </c>
      <c r="G83" t="str">
        <f>IF(AND('Lap ED'!G80='Peta Risiko'!$D$4,'Lap ED'!H80='Peta Risiko'!$I$9),'Lap ED'!A80,"")</f>
        <v/>
      </c>
      <c r="H83" t="str">
        <f>IF(AND('Lap ED'!G80='Peta Risiko'!$D$5,'Lap ED'!H80='Peta Risiko'!$E$9),'Lap ED'!A80,"")</f>
        <v/>
      </c>
      <c r="I83" t="str">
        <f>IF(AND('Lap ED'!G80='Peta Risiko'!$D$5,'Lap ED'!H80='Peta Risiko'!$F$9),'Lap ED'!A80,"")</f>
        <v/>
      </c>
      <c r="J83" t="str">
        <f>IF(AND('Lap ED'!G80='Peta Risiko'!$D$5,'Lap ED'!H80='Peta Risiko'!$G$9),'Lap ED'!A80,"")</f>
        <v/>
      </c>
      <c r="K83" t="str">
        <f>IF(AND('Lap ED'!G80='Peta Risiko'!$D$5,'Lap ED'!H80='Peta Risiko'!$H$9),'Lap ED'!A80,"")</f>
        <v/>
      </c>
      <c r="L83" t="str">
        <f>IF(AND('Lap ED'!G80='Peta Risiko'!$D$5,'Lap ED'!H80='Peta Risiko'!$I$9),'Lap ED'!A80,"")</f>
        <v/>
      </c>
      <c r="M83" t="str">
        <f>IF(AND('Lap ED'!G80='Peta Risiko'!$D$6,'Lap ED'!H80='Peta Risiko'!$E$9),'Lap ED'!A80,"")</f>
        <v/>
      </c>
      <c r="N83" t="str">
        <f>IF(AND('Lap ED'!G80='Peta Risiko'!$D$6,'Lap ED'!H80='Peta Risiko'!$F$9),'Lap ED'!A80,"")</f>
        <v/>
      </c>
      <c r="O83" t="str">
        <f>IF(AND('Lap ED'!G80='Peta Risiko'!$D$6,'Lap ED'!H80='Peta Risiko'!$G$9),'Lap ED'!A80,"")</f>
        <v/>
      </c>
      <c r="P83" t="str">
        <f>IF(AND('Lap ED'!G80='Peta Risiko'!$D$6,'Lap ED'!H80='Peta Risiko'!$H$9),'Lap ED'!A80,"")</f>
        <v/>
      </c>
      <c r="Q83" t="str">
        <f>IF(AND('Lap ED'!G80='Peta Risiko'!$D$6,'Lap ED'!H80='Peta Risiko'!$I$9),'Lap ED'!A80,"")</f>
        <v/>
      </c>
      <c r="R83" t="str">
        <f>IF(AND('Lap ED'!G80='Peta Risiko'!$D$7,'Lap ED'!H80='Peta Risiko'!$E$9),'Lap ED'!A80,"")</f>
        <v/>
      </c>
      <c r="S83" t="str">
        <f>IF(AND('Lap ED'!G80='Peta Risiko'!$D$7,'Lap ED'!H80='Peta Risiko'!$F$9),'Lap ED'!A80,"")</f>
        <v/>
      </c>
      <c r="T83" t="str">
        <f>IF(AND('Lap ED'!G80='Peta Risiko'!$D$7,'Lap ED'!H80='Peta Risiko'!$G$9),'Lap ED'!A80,"")</f>
        <v/>
      </c>
      <c r="U83">
        <f>IF(AND('Lap ED'!G80='Peta Risiko'!$D$7,'Lap ED'!H80='Peta Risiko'!$H$9),'Lap ED'!A80,"")</f>
        <v>69</v>
      </c>
      <c r="V83" t="str">
        <f>IF(AND('Lap ED'!G80='Peta Risiko'!$D$7,'Lap ED'!H80='Peta Risiko'!$I$9),'Lap ED'!A80,"")</f>
        <v/>
      </c>
      <c r="W83" t="str">
        <f>IF(AND('Lap ED'!G80='Peta Risiko'!$D$8,'Lap ED'!H80='Peta Risiko'!$E$9),'Lap ED'!A80,"")</f>
        <v/>
      </c>
      <c r="X83" t="str">
        <f>IF(AND('Lap ED'!G80='Peta Risiko'!$D$8,'Lap ED'!H80='Peta Risiko'!$F$9),'Lap ED'!A80,"")</f>
        <v/>
      </c>
      <c r="Y83" t="str">
        <f>IF(AND('Lap ED'!G80='Peta Risiko'!$D$8,'Lap ED'!H80='Peta Risiko'!$G$9),'Lap ED'!A80,"")</f>
        <v/>
      </c>
      <c r="Z83" t="str">
        <f>IF(AND('Lap ED'!G80='Peta Risiko'!$D$8,'Lap ED'!H80='Peta Risiko'!$H$9),'Lap ED'!A80,"")</f>
        <v/>
      </c>
      <c r="AA83" t="str">
        <f>IF(AND('Lap ED'!G80='Peta Risiko'!$D$8,'Lap ED'!H80='Peta Risiko'!$I$9),'Lap ED'!A80,"")</f>
        <v/>
      </c>
    </row>
  </sheetData>
  <mergeCells count="4">
    <mergeCell ref="B4:B8"/>
    <mergeCell ref="E11:I11"/>
    <mergeCell ref="A2:I2"/>
    <mergeCell ref="A1:I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Isian Prodi</vt:lpstr>
      <vt:lpstr>Kertas Kerja</vt:lpstr>
      <vt:lpstr>Lap AK</vt:lpstr>
      <vt:lpstr>Lap ED</vt:lpstr>
      <vt:lpstr>Peta Risiko</vt:lpstr>
      <vt:lpstr>'Lap AK'!Print_Area</vt:lpstr>
      <vt:lpstr>'Lap AK'!Print_Titles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Lecy</cp:lastModifiedBy>
  <dcterms:created xsi:type="dcterms:W3CDTF">2021-01-11T07:24:31Z</dcterms:created>
  <dcterms:modified xsi:type="dcterms:W3CDTF">2021-05-15T21:31:19Z</dcterms:modified>
</cp:coreProperties>
</file>