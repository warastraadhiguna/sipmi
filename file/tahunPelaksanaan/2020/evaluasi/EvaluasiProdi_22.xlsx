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60" windowHeight="9570" firstSheet="92" activeTab="92"/>
  </bookViews>
  <sheets>
    <sheet name="1-1.1.1" sheetId="23" r:id="rId1"/>
    <sheet name="2-1.1.2" sheetId="24" r:id="rId2"/>
    <sheet name="3-1.1.3" sheetId="25" r:id="rId3"/>
    <sheet name="4-1.1.4" sheetId="26" r:id="rId4"/>
    <sheet name="5-1.2.1" sheetId="27" r:id="rId5"/>
    <sheet name="6-1.2.2" sheetId="28" r:id="rId6"/>
    <sheet name="7-1.2.3" sheetId="29" r:id="rId7"/>
    <sheet name="8-1.2.4" sheetId="30" r:id="rId8"/>
    <sheet name="9-1.2.5" sheetId="31" r:id="rId9"/>
    <sheet name="10-1.2.6" sheetId="32" r:id="rId10"/>
    <sheet name="11-1.2.7" sheetId="1" r:id="rId11"/>
    <sheet name="12-1.2.8" sheetId="6" r:id="rId12"/>
    <sheet name="13-1.2.9" sheetId="8" r:id="rId13"/>
    <sheet name="14-1.2.10" sheetId="9" r:id="rId14"/>
    <sheet name="15-1.2.11" sheetId="10" r:id="rId15"/>
    <sheet name="16-1.2.12" sheetId="33" r:id="rId16"/>
    <sheet name="17-1.2.13" sheetId="34" r:id="rId17"/>
    <sheet name="18-1.2.14" sheetId="35" r:id="rId18"/>
    <sheet name="19-1.2.15" sheetId="36" r:id="rId19"/>
    <sheet name="20-1.3.1" sheetId="11" r:id="rId20"/>
    <sheet name="21-1.3.2" sheetId="13" r:id="rId21"/>
    <sheet name="22-1.3.3" sheetId="14" r:id="rId22"/>
    <sheet name="23-1.3.4" sheetId="15" r:id="rId23"/>
    <sheet name="24-1.3.5" sheetId="16" r:id="rId24"/>
    <sheet name="25-1.3.6" sheetId="17" r:id="rId25"/>
    <sheet name="26-1.3.7" sheetId="18" r:id="rId26"/>
    <sheet name="27-1.3.8" sheetId="19" r:id="rId27"/>
    <sheet name="28-1.3.9" sheetId="20" r:id="rId28"/>
    <sheet name="29-1.3.10" sheetId="21" r:id="rId29"/>
    <sheet name="30-1.3.11" sheetId="22" r:id="rId30"/>
    <sheet name="31-1.4.1" sheetId="37" r:id="rId31"/>
    <sheet name="32-1.4.2" sheetId="42" r:id="rId32"/>
    <sheet name="33-1.4.3" sheetId="43" r:id="rId33"/>
    <sheet name="34-1.4.4" sheetId="44" r:id="rId34"/>
    <sheet name="35-1.4.5" sheetId="45" r:id="rId35"/>
    <sheet name="36-1.4.6" sheetId="46" r:id="rId36"/>
    <sheet name="37-1.4.7" sheetId="47" r:id="rId37"/>
    <sheet name="38-1.4.8" sheetId="48" r:id="rId38"/>
    <sheet name="39-1.4.9" sheetId="49" r:id="rId39"/>
    <sheet name="40-1.4.10" sheetId="50" r:id="rId40"/>
    <sheet name="41-1.4.11" sheetId="52" r:id="rId41"/>
    <sheet name="42-1.4.12" sheetId="53" r:id="rId42"/>
    <sheet name="43-1.4.13" sheetId="54" r:id="rId43"/>
    <sheet name="44-1.4.14" sheetId="55" r:id="rId44"/>
    <sheet name="45-1.4.15" sheetId="56" r:id="rId45"/>
    <sheet name="46-1.5.1" sheetId="57" r:id="rId46"/>
    <sheet name="47-1.5.2" sheetId="58" r:id="rId47"/>
    <sheet name="48-1.5.3" sheetId="59" r:id="rId48"/>
    <sheet name="49-1.5.4" sheetId="60" r:id="rId49"/>
    <sheet name="50-1.5.5" sheetId="63" r:id="rId50"/>
    <sheet name="51-1.5.6" sheetId="61" r:id="rId51"/>
    <sheet name="52-1.5.7" sheetId="64" r:id="rId52"/>
    <sheet name="53-1.5.8" sheetId="65" r:id="rId53"/>
    <sheet name="54-1.5.9" sheetId="66" r:id="rId54"/>
    <sheet name="55-1.5.10" sheetId="68" r:id="rId55"/>
    <sheet name="56-1.5.11" sheetId="69" r:id="rId56"/>
    <sheet name="57-1.6.1" sheetId="71" r:id="rId57"/>
    <sheet name="58-1.6.2" sheetId="73" r:id="rId58"/>
    <sheet name="59-1.6.3" sheetId="75" r:id="rId59"/>
    <sheet name="60-1.6.4" sheetId="76" r:id="rId60"/>
    <sheet name="61-1.6.5" sheetId="77" r:id="rId61"/>
    <sheet name="62-1.6.6" sheetId="78" r:id="rId62"/>
    <sheet name="63-1.6.7" sheetId="79" r:id="rId63"/>
    <sheet name="64-1.6.8" sheetId="81" r:id="rId64"/>
    <sheet name="65-1.6.9" sheetId="82" r:id="rId65"/>
    <sheet name="66-1.6.10" sheetId="83" r:id="rId66"/>
    <sheet name="67-1.6.11" sheetId="84" r:id="rId67"/>
    <sheet name="68-1.6.12" sheetId="85" r:id="rId68"/>
    <sheet name="69-1.6.13" sheetId="86" r:id="rId69"/>
    <sheet name="70-1.6.14" sheetId="87" r:id="rId70"/>
    <sheet name="71-1.6.15" sheetId="136" r:id="rId71"/>
    <sheet name="72-1.6.16" sheetId="137" r:id="rId72"/>
    <sheet name="73-1.6.17" sheetId="138" r:id="rId73"/>
    <sheet name="74-1.7.1" sheetId="139" r:id="rId74"/>
    <sheet name="75-1.7.2" sheetId="140" r:id="rId75"/>
    <sheet name="76-1.7.3" sheetId="141" r:id="rId76"/>
    <sheet name="77-1.7.4" sheetId="142" r:id="rId77"/>
    <sheet name="78-1.7.5" sheetId="143" r:id="rId78"/>
    <sheet name="79-1.7.6" sheetId="144" r:id="rId79"/>
    <sheet name="80-1.7.7" sheetId="145" r:id="rId80"/>
    <sheet name="81-1.8.1" sheetId="146" r:id="rId81"/>
    <sheet name="82-1.8.2" sheetId="147" r:id="rId82"/>
    <sheet name="83-1.8.3" sheetId="148" r:id="rId83"/>
    <sheet name="84-1.8.4" sheetId="149" r:id="rId84"/>
    <sheet name="85-1.8.5" sheetId="150" r:id="rId85"/>
    <sheet name="86-1.8.6" sheetId="151" r:id="rId86"/>
    <sheet name="87-1.8.7" sheetId="152" r:id="rId87"/>
    <sheet name="88-1.8.8" sheetId="153" r:id="rId88"/>
    <sheet name="89-1.9.1" sheetId="154" r:id="rId89"/>
    <sheet name="90-1.9.2" sheetId="155" r:id="rId90"/>
    <sheet name="91-1.9.3" sheetId="156" r:id="rId91"/>
    <sheet name="92-1.9.4" sheetId="157" r:id="rId92"/>
    <sheet name="93-1.9.5" sheetId="158" r:id="rId93"/>
    <sheet name="94-1.9.6" sheetId="159" r:id="rId94"/>
    <sheet name="95-1.9.7" sheetId="160" r:id="rId95"/>
    <sheet name="96-1.9.8" sheetId="161" r:id="rId96"/>
    <sheet name="97-1.9.9" sheetId="162" r:id="rId97"/>
    <sheet name="98-1.9.10" sheetId="163" r:id="rId98"/>
    <sheet name="99-1.9.11" sheetId="164" r:id="rId99"/>
    <sheet name="100-1.9.12" sheetId="165" r:id="rId100"/>
    <sheet name="101-1.9.13" sheetId="166" r:id="rId101"/>
    <sheet name="102-1.9.14" sheetId="167" r:id="rId102"/>
    <sheet name="Sheet1" sheetId="168" r:id="rId103"/>
  </sheets>
  <definedNames>
    <definedName name="_GoBack" localSheetId="52">'53-1.5.8'!$A$9</definedName>
  </definedNames>
  <calcPr calcId="152511"/>
</workbook>
</file>

<file path=xl/calcChain.xml><?xml version="1.0" encoding="utf-8"?>
<calcChain xmlns="http://schemas.openxmlformats.org/spreadsheetml/2006/main">
  <c r="E18" i="158" l="1"/>
  <c r="E15" i="167"/>
  <c r="C12" i="167"/>
  <c r="C13" i="167" s="1"/>
  <c r="C24" i="166"/>
  <c r="C23" i="166"/>
  <c r="C22" i="166"/>
  <c r="C17" i="164"/>
  <c r="C16" i="164"/>
  <c r="C15" i="164"/>
  <c r="C10" i="163"/>
  <c r="C11" i="163" s="1"/>
  <c r="E13" i="163" s="1"/>
  <c r="C9" i="162"/>
  <c r="E11" i="162" s="1"/>
  <c r="C13" i="160"/>
  <c r="C14" i="160" s="1"/>
  <c r="E16" i="160" s="1"/>
  <c r="C10" i="159"/>
  <c r="C11" i="159" s="1"/>
  <c r="E13" i="159" s="1"/>
  <c r="C15" i="158"/>
  <c r="C14" i="158"/>
  <c r="C13" i="158"/>
  <c r="C16" i="158" s="1"/>
  <c r="C17" i="157"/>
  <c r="C16" i="157"/>
  <c r="C15" i="157"/>
  <c r="C18" i="157" s="1"/>
  <c r="E20" i="157" s="1"/>
  <c r="C17" i="156"/>
  <c r="C16" i="156"/>
  <c r="C15" i="156"/>
  <c r="C11" i="155"/>
  <c r="C12" i="155" s="1"/>
  <c r="E14" i="155" s="1"/>
  <c r="C25" i="166" l="1"/>
  <c r="E27" i="166" s="1"/>
  <c r="C18" i="164"/>
  <c r="E20" i="164" s="1"/>
  <c r="C18" i="156"/>
  <c r="E20" i="156" s="1"/>
  <c r="C10" i="148" l="1"/>
  <c r="C11" i="148" s="1"/>
  <c r="E13" i="148" s="1"/>
  <c r="C9" i="87"/>
  <c r="E11" i="87" s="1"/>
  <c r="C9" i="137"/>
  <c r="E11" i="137" s="1"/>
  <c r="C10" i="82"/>
  <c r="C11" i="82" s="1"/>
  <c r="E13" i="82" s="1"/>
  <c r="C13" i="59"/>
  <c r="C14" i="59" s="1"/>
  <c r="E16" i="59" s="1"/>
  <c r="C13" i="58"/>
  <c r="C14" i="58" s="1"/>
  <c r="C13" i="57"/>
  <c r="C14" i="57" s="1"/>
  <c r="E16" i="57" s="1"/>
  <c r="C10" i="49"/>
  <c r="C11" i="49" s="1"/>
  <c r="E13" i="49" s="1"/>
  <c r="E13" i="48"/>
  <c r="C10" i="47"/>
  <c r="C11" i="47" s="1"/>
  <c r="E13" i="47" s="1"/>
  <c r="C12" i="46"/>
  <c r="C13" i="46" s="1"/>
  <c r="C14" i="45"/>
  <c r="C15" i="45" s="1"/>
  <c r="E17" i="45" s="1"/>
  <c r="C14" i="44"/>
  <c r="C15" i="44" s="1"/>
  <c r="C16" i="43"/>
  <c r="C17" i="43" s="1"/>
  <c r="E19" i="43" s="1"/>
  <c r="C14" i="42"/>
  <c r="C15" i="42" s="1"/>
  <c r="D13" i="37"/>
  <c r="E15" i="37" s="1"/>
  <c r="C5" i="22"/>
  <c r="C5" i="21"/>
  <c r="C5" i="20"/>
  <c r="C5" i="19"/>
  <c r="C5" i="18"/>
  <c r="C5" i="17"/>
  <c r="C5" i="16"/>
  <c r="C5" i="15"/>
  <c r="C5" i="14"/>
  <c r="C5" i="11"/>
  <c r="C5" i="13"/>
  <c r="C5" i="36"/>
  <c r="C5" i="35"/>
  <c r="C5" i="34"/>
  <c r="C5" i="33"/>
  <c r="C5" i="8"/>
  <c r="C5" i="1"/>
  <c r="C5" i="6"/>
  <c r="C5" i="32"/>
  <c r="C5" i="31"/>
  <c r="C5" i="30"/>
  <c r="C5" i="28"/>
  <c r="C5" i="29"/>
  <c r="C5" i="26"/>
  <c r="C5" i="25"/>
  <c r="C5" i="27"/>
  <c r="C5" i="24"/>
  <c r="C5" i="23"/>
  <c r="B14" i="21"/>
  <c r="B17" i="21" s="1"/>
  <c r="E19" i="21" s="1"/>
  <c r="B13" i="22"/>
  <c r="B14" i="22" s="1"/>
  <c r="E16" i="22" s="1"/>
  <c r="B16" i="14"/>
  <c r="C16" i="14" s="1"/>
  <c r="B17" i="14"/>
  <c r="C17" i="14" s="1"/>
  <c r="B18" i="14"/>
  <c r="C18" i="14" s="1"/>
  <c r="B13" i="13"/>
  <c r="B15" i="13" s="1"/>
  <c r="E17" i="13" s="1"/>
  <c r="G19" i="11"/>
  <c r="G17" i="11"/>
  <c r="F17" i="11"/>
  <c r="E17" i="11"/>
  <c r="D17" i="11"/>
  <c r="C17" i="11"/>
  <c r="G20" i="11" s="1"/>
  <c r="E16" i="58" l="1"/>
  <c r="E15" i="46"/>
  <c r="E17" i="44"/>
  <c r="E17" i="42"/>
  <c r="C19" i="14"/>
  <c r="C20" i="14" s="1"/>
  <c r="E22" i="14" s="1"/>
  <c r="B19" i="14"/>
  <c r="G21" i="11"/>
  <c r="E23" i="11" s="1"/>
</calcChain>
</file>

<file path=xl/sharedStrings.xml><?xml version="1.0" encoding="utf-8"?>
<sst xmlns="http://schemas.openxmlformats.org/spreadsheetml/2006/main" count="2798" uniqueCount="1140">
  <si>
    <t>PERNYATAAN STANDAR</t>
  </si>
  <si>
    <t>INDIKATOR</t>
  </si>
  <si>
    <t>PERNYATAAN EVALUASI</t>
  </si>
  <si>
    <t>DOKUMEN BUKTI</t>
  </si>
  <si>
    <t>EVALUASI PROGRAM STUDI</t>
  </si>
  <si>
    <t>Fakultas/Departemen memiliki dokumen penjaminan mutu yang lengkap, terdiri dari kebijakan, standar, prosedur dan formulir evaluasi</t>
  </si>
  <si>
    <t>Dokumen SPMI UKSW</t>
  </si>
  <si>
    <t>PATOKAN PENILAIAN</t>
  </si>
  <si>
    <t>NILAI 4</t>
  </si>
  <si>
    <t>NILAI 3</t>
  </si>
  <si>
    <t>NILAI 2</t>
  </si>
  <si>
    <t>NILAI 1</t>
  </si>
  <si>
    <t>NILAI 0</t>
  </si>
  <si>
    <t>SKOR MENURUT PROGRAM STUDI (0-4)</t>
  </si>
  <si>
    <t>Evaluasi No. Butir :</t>
  </si>
  <si>
    <t>Fakultas/Departemen mengimplementasikan semua prosedur yang ada dalam dokumen penjaminan mutunya dan mendokumentasikan bukti pelaksanaannya</t>
  </si>
  <si>
    <t>Isian formulir monitoring pelaksanaan SPMI</t>
  </si>
  <si>
    <t>Tambatan rapat koordinasi dengan PMF yang membahas pelaksanaan SPMI</t>
  </si>
  <si>
    <t>Fakultas/Departemen melaksanakan monitoring dengan mengisi formulir pada SIIMUT dan telah diaudit melalui mekanisme AMI setiap tahun</t>
  </si>
  <si>
    <t>Instrumen AMI</t>
  </si>
  <si>
    <t>Fakultas/Departemen melaksanakan tindakan pengendalian melalui tindak lanjut hasil monitoring dan AMI</t>
  </si>
  <si>
    <t>Laporan hasil AMI</t>
  </si>
  <si>
    <t>Formulir perbaikan dan tindak lanjut</t>
  </si>
  <si>
    <t>Fakultas/Departemen meningkatkan kualitas/kuantitas standar-standar mutu setiap tahun</t>
  </si>
  <si>
    <t>Daftar perubahan standar mutu</t>
  </si>
  <si>
    <t>Dokumen SPMI tahun lalu dan tahun berjalan</t>
  </si>
  <si>
    <t>Tahun Akademik</t>
  </si>
  <si>
    <t>Daya Tampung</t>
  </si>
  <si>
    <t xml:space="preserve">Jumlah Calon Mahasiswa </t>
  </si>
  <si>
    <t>Jumlah Mahasiswa Baru</t>
  </si>
  <si>
    <t>Jumlah Mahasiswa Aktif</t>
  </si>
  <si>
    <t>Pendaftar</t>
  </si>
  <si>
    <t>Lulus Seleksi</t>
  </si>
  <si>
    <t>Reguler</t>
  </si>
  <si>
    <t>TS-4</t>
  </si>
  <si>
    <t>TS-3</t>
  </si>
  <si>
    <t>TS-2</t>
  </si>
  <si>
    <t>TS-1</t>
  </si>
  <si>
    <t>TS</t>
  </si>
  <si>
    <t>Jumlah</t>
  </si>
  <si>
    <t>Jumlah calon mahasiswa pendaftar di prodi mencapai 5 kali kapasitas daya tampung prodi</t>
  </si>
  <si>
    <t>TOTAL DAYA TAMPUNG TS HINGGA TS-4 :</t>
  </si>
  <si>
    <t>TOTAL PENDAFTAR TS HINGGA TS-4 :</t>
  </si>
  <si>
    <t>SKOR TERHITUNG :</t>
  </si>
  <si>
    <t>Jumlah mahasiswa asing minimal 1% dari keseluruhan jumlah mahasiswa program studi</t>
  </si>
  <si>
    <t>Daftar mahasiswa asing selama 5 tahun terakhir lengkap dengan bukti pendukungnya</t>
  </si>
  <si>
    <t>SKOR PROGRAM STUDI</t>
  </si>
  <si>
    <t>Jumlah mahasiswa asing TS</t>
  </si>
  <si>
    <t>Jumlah mahasiswa asing TS-1</t>
  </si>
  <si>
    <t>Jumlah mahasiswa asing TS-2</t>
  </si>
  <si>
    <t>Jumlah mahasiswa asing TS-3</t>
  </si>
  <si>
    <t>Jumlah mahasiswa asing TS-4</t>
  </si>
  <si>
    <t>Jumlah total mahasiswa asing</t>
  </si>
  <si>
    <t>Jumlah total mahasiswa prodi</t>
  </si>
  <si>
    <t>SKOR HITUNG</t>
  </si>
  <si>
    <t>TABEL ISIAN PROGRAM STUDI</t>
  </si>
  <si>
    <t>ISIAN PROGRAM STUDI : Tabel 2.a (LKPS) Seleksi Mahasiswa Baru</t>
  </si>
  <si>
    <t>Peningkatan jumlah pendaftar program studi naik minimal sebesar 10% setiap 3 tahun</t>
  </si>
  <si>
    <t>Evaluasi kegiatan promosi yang dilakukan oleh program studi</t>
  </si>
  <si>
    <t>Daftar penerimaan mahasiswa baru</t>
  </si>
  <si>
    <t>Hasil evaluasi penerimaan mahasiswa baru tiap tahun</t>
  </si>
  <si>
    <t>SK tim promosi</t>
  </si>
  <si>
    <t>Laporan kegiatan promosi</t>
  </si>
  <si>
    <t>Jumlah mahasiswa diterima pada TS</t>
  </si>
  <si>
    <t>Jumlah mahasiswa diterima pada TS-1</t>
  </si>
  <si>
    <t>Jumlah mahasiswa diterima pada TS-2</t>
  </si>
  <si>
    <t>Jumlah mahasiswa diterima pada TS-3</t>
  </si>
  <si>
    <t>Kenaikan TS-3 ke TS-2</t>
  </si>
  <si>
    <t>Kenaikan TS-2 ke TS-1</t>
  </si>
  <si>
    <t>Kenaikan TS-1 ke TS</t>
  </si>
  <si>
    <t>Rerata kenaikan</t>
  </si>
  <si>
    <t>NILAI TERHITUNG</t>
  </si>
  <si>
    <t>Tersedianya layanan bimbingan konseling, pengembangan bakat dan minat, layanan beasiswa, layanan kesehatan, bimbingan karir, pengembangan softskill dan kewirausahaan yang dapat diakses dan digunakan oleh mahasiswa</t>
  </si>
  <si>
    <t>Laporan kegiatan layanan kemahasiswaan</t>
  </si>
  <si>
    <t>Dokumen rencana pelaksanaan kegiatan layanan kemahasiswaan</t>
  </si>
  <si>
    <t>Prosedur penyelenggaraan kegiatan layanan kemahasiswaan</t>
  </si>
  <si>
    <t>Tersedianya akses layanan bidang penalaran, minat bakat mahasiswa, beasiswa dan semua jenis layanan kesehatan yang bermutu dan dapat digunakan mahasiswa</t>
  </si>
  <si>
    <t>Bukti komplain terhadap layanan kemahasiswaan</t>
  </si>
  <si>
    <t>Hasil survay layanan kemahasiswaan</t>
  </si>
  <si>
    <t>Daftar pengguna layanan kemahasiswaan</t>
  </si>
  <si>
    <r>
      <t>Transfer</t>
    </r>
    <r>
      <rPr>
        <b/>
        <vertAlign val="superscript"/>
        <sz val="11"/>
        <color theme="1"/>
        <rFont val="Calibri"/>
        <family val="2"/>
        <scheme val="minor"/>
      </rPr>
      <t>*)</t>
    </r>
  </si>
  <si>
    <t>Tersedianya standar dan prosedur seleksi mahasiswa yang telah terlaksana secara konsisten selama 5 tahun terakhir</t>
  </si>
  <si>
    <t>Hasil monitoring dan evaluasi pelaksanaan penerimaan mahasiswa tahunan</t>
  </si>
  <si>
    <t>Kebijakan, standar, prosedur dan instruksi kerja penerimaan mahasiswa</t>
  </si>
  <si>
    <t>Laporan kegiatan penerimaan mahasiswa tahunan</t>
  </si>
  <si>
    <t>Terlaksananya monitoring dan evaluasi seleksi mahasiswa serta semua jenis layanan kemahasiswaan selama 3 tahun terakhir</t>
  </si>
  <si>
    <t>Laporan hasil monitoring dan evaluasi pelaksanaan pelayanan kepada mahasiswa</t>
  </si>
  <si>
    <t>Dokumen prosedur monitoring dan evaluasi seleksi mahasiswa</t>
  </si>
  <si>
    <t>Dokumen prosedur monitoring dan evaluasi pelaksanaan pelayanan kepada mahasiswa</t>
  </si>
  <si>
    <t>Laporan hasil monitoring dan evaluasi seleksi mahasiswa</t>
  </si>
  <si>
    <t>Terlaksananya penjaminan mutu terhadap seleksi mahasiswa dan semua jenis layanan kemahasiswaan dalam 5 tahun terakhir</t>
  </si>
  <si>
    <t>Laopran penjaminan mutu program studi</t>
  </si>
  <si>
    <t>Dokumen kebijakan, standar, prosedur dan IKA seleksi mahasiswa</t>
  </si>
  <si>
    <t>Dokumen kebijakan, standar, prosedur dan IKA layanan kemahasiswaan</t>
  </si>
  <si>
    <t>Terlaksananya survey kepuasan pengguna layanan kemahasiswaan secara konsisten dalam 5 tahun terkahir dibuktikan dengan laporan yang sahih</t>
  </si>
  <si>
    <t xml:space="preserve">Laporan survey sebagai bahan rekomendasi </t>
  </si>
  <si>
    <t>Hasil survey secara berkala</t>
  </si>
  <si>
    <t>Dokumen analisis hasil survey secara berkala</t>
  </si>
  <si>
    <t>Jumlah mahasiswa transfer yang diterima pada TS</t>
  </si>
  <si>
    <t>Jumlah mahasiswa transfer yang diterima pada TS-2</t>
  </si>
  <si>
    <t>Jumlah mahasiswa transfer yang diterima pada TS-3</t>
  </si>
  <si>
    <t>Jumlah mahasiswa transfer yang diterima pada TS-4</t>
  </si>
  <si>
    <t>Jumlah mahasiswa transfer yang diterima pada TS-1</t>
  </si>
  <si>
    <t>Jumlah seluruh mahasiswa aktif program studi</t>
  </si>
  <si>
    <t>NILAI TERHITUNG :</t>
  </si>
  <si>
    <t>Jumlah total mahasiswa yang diterima lewat jalur transfer</t>
  </si>
  <si>
    <t>Jumlah mahasiswa transfer di program studi maksimal 5% dari keseluruhan jumlah mahasiswa reguler</t>
  </si>
  <si>
    <t>Data mahasiswa reguler</t>
  </si>
  <si>
    <t>Data mahasiswa transfer</t>
  </si>
  <si>
    <t>Terselenggaranya minimal 10 kegiatan nonkurikuler setiap tahun secara konsisten</t>
  </si>
  <si>
    <t>Monitoring dan evaluasi pemberlakuan KKM</t>
  </si>
  <si>
    <t>Buku peraturan KKM</t>
  </si>
  <si>
    <t>Jumlah kegiatan pada TS</t>
  </si>
  <si>
    <t>Jumlah kegiatan pada TS-1</t>
  </si>
  <si>
    <t>Jumlah kegiatan pada TS-2</t>
  </si>
  <si>
    <t>Jumlah kegiatan pada TS-3</t>
  </si>
  <si>
    <t>Jumlah seluruh kegiatan</t>
  </si>
  <si>
    <t>Fakultas/departemen mengadopsi dan/atau mengembangkan serta mengimplementasikan kebijakan VMTS yang ada pada SPMI UKSW</t>
  </si>
  <si>
    <t>Kebijakan, standar, dan prosedur penyusunan, sosialisasi, implementasi dan evaluasi VMTS</t>
  </si>
  <si>
    <t>Fakultas/departemen memiliki VMTS yang proses penyusunannya sesuai dengan prosedur dan telah selaras dengan VMTS UKSW serta mampu memayungi keunikan keilmuan program studi.</t>
  </si>
  <si>
    <t>Laporan satgas penyusunan VMTS fakultas/departemen yang memuat latar belakang, tujuan, rasional, mekanisme dan kesesuaian dengan VMTS UKSW</t>
  </si>
  <si>
    <t>Fakultas/departemen melibatkan pimpinan universitas, dosen, mahasiswa, tenaga non akademik, lulusan, pengguna alumni, pemerintah sekitar dan elemen masyarakat dalam penyusunan VMTS.</t>
  </si>
  <si>
    <t>Laporan penyusunan VMTS yang memuat pelibatan pemangku kepentingan yang berisi daftar hadir, tambatan, dokumentasi, dan umpan balik dari semua pemangku dalam proses penyusunan VMTS</t>
  </si>
  <si>
    <t>Fakultas/departemen memiliki rencana strategis dan rencana operasional yang proses penyusunannya sesuai dengan prosedur dan telah diimplementasikan disertai dengan monitoring evaluasi berkala.</t>
  </si>
  <si>
    <t xml:space="preserve">Rencana strategis dan rencana operasional fakultas/departemen yang memuat indikator kerja utama dan tambahan lengkap dengan target dan sasarannya
</t>
  </si>
  <si>
    <t>Laporan tahunan fakultas/departemen yang memuat semua aktivitas fakultas/departemen</t>
  </si>
  <si>
    <t>SKOR MENURUT PROGRAM STUDI</t>
  </si>
  <si>
    <t>Struktur organisasi unit pengelola yang lengkap dengan tupoksinya</t>
  </si>
  <si>
    <t>Bukti pelaksanaan tupoksi masing-masing bagian</t>
  </si>
  <si>
    <t>Fakultas/Departemen menerapkan prinsip transparan, akuntabel, kredibel, bertanggung jawab dan adil dalam penyelenggaraan organisasi</t>
  </si>
  <si>
    <t>Bukti penerapan tata pamong dengan 5 kaidah good governance</t>
  </si>
  <si>
    <t>Statuta UKSW</t>
  </si>
  <si>
    <t>Peraturan kepegawaian</t>
  </si>
  <si>
    <t>Laporan kegiatan kepemimpinan operasional, organisasional, dan public.</t>
  </si>
  <si>
    <t>Program studi menyusun LKPS dan LED setiap tahun dilengkapi dengan rencana tindak lanjut dari setiap komponen laporan sebagai rencana pengembangan</t>
  </si>
  <si>
    <t>Bukti pelaksanaan 7 fungsi manajemen</t>
  </si>
  <si>
    <t>Bukti tindakan antisipasi dan penyelesaian masalah</t>
  </si>
  <si>
    <t>Dokumen manajemen risiko program studi</t>
  </si>
  <si>
    <t>LKPS tahunan</t>
  </si>
  <si>
    <t>LED tahunan</t>
  </si>
  <si>
    <t>Perjanjian kerjasama dalam bidang tridharma</t>
  </si>
  <si>
    <t>Laporan hasil kerjasama dalam bidang tridharma</t>
  </si>
  <si>
    <t>Dokumen kepuasan mitra kerjasama</t>
  </si>
  <si>
    <t>Laporan monitoring evaluasi kerjasama dalam bidang tridharma</t>
  </si>
  <si>
    <t>Fakultas/Departemen memiliki unit penjamin mutu dan telah menjalankan SPMI sesuai dengan siklus PPEPP</t>
  </si>
  <si>
    <t xml:space="preserve">SK unit penjaminan mutu </t>
  </si>
  <si>
    <t>Dokumen SPMI</t>
  </si>
  <si>
    <t>Laporan Monitoring SPMI</t>
  </si>
  <si>
    <t>Laporan evaluasi SPMI</t>
  </si>
  <si>
    <t>Laporan pelaksanaan kegiatan penjaminan mutu Fakultas/Departemen</t>
  </si>
  <si>
    <t>Fakultas/Departemen melakukan survey kepuasan konsumen terhadap layanan manajemen untuk mahasiswa, dosen, tenaga kependidikan, lulusan, pengguna dan mitra, serta hasilnya digunakan untuk peningkatan berkelanjutan setiap tahun dengan hasil indeks kepuasan minimal 75%.</t>
  </si>
  <si>
    <t>Instrumen survey kepuasan pelanggan</t>
  </si>
  <si>
    <t>Uji instrumen survey kepuasan pelanggan</t>
  </si>
  <si>
    <t>Laporan hasil survey kepuasan pelanggan</t>
  </si>
  <si>
    <t>Bukti publikasi terhadap hasil survey</t>
  </si>
  <si>
    <t>Bukti tindak lanjut terhadap hasil survey</t>
  </si>
  <si>
    <t>Fakultas/Departemen telah menjalankan semua langkah mitigasi risiko pada semua aspek kegiatan Fakultas/Departemen</t>
  </si>
  <si>
    <t>Dokumen manajemen Risiko</t>
  </si>
  <si>
    <t>Bukti pencegahan risiko</t>
  </si>
  <si>
    <t>Bukti penanganan risiko yang terjadi</t>
  </si>
  <si>
    <t>Fakultas/Departemen menyediakan anggaran dana, fasilitas dan pelaksana untuk pencapaian standar mutu tata kelola, tata pamong dan kerjasama kelembagaan</t>
  </si>
  <si>
    <t>Dokumen rencana anggaran</t>
  </si>
  <si>
    <t>Laporan penggunaan anggaran</t>
  </si>
  <si>
    <t>SK pelaksana  tata kelola, tata pamong dan kerjasama kelembagaan</t>
  </si>
  <si>
    <t>Daftar fasilitas Fakultas/Departemen</t>
  </si>
  <si>
    <t>Fakultas/Departemen membuat laporan pencapaian standar mutu tata pamong, tata kelola, kerjasama kelembagaan dan penjaminan mutu</t>
  </si>
  <si>
    <t>Laporan monitoring evaluasi tata kelola</t>
  </si>
  <si>
    <t>Laporan monitoring evaluasi tata pamong</t>
  </si>
  <si>
    <t>Laporan monitoring evaluasi kerja sama</t>
  </si>
  <si>
    <t>Laporan monitoring evaluasi penjaminan mutu</t>
  </si>
  <si>
    <t>Program studi melibatkan minimal 12 dosen tetap dalam penyelenggaraan pendidikan.</t>
  </si>
  <si>
    <t>Terdapat minimal 12 dosen yang terlibat dalam kegiatan pembelajaran di program studi, baik dosen tetap maupun tidak tetap program studi</t>
  </si>
  <si>
    <t>Program studi telah melibatkan minimal 12 dosen tetap dalam penyelenggaraan pendidikan</t>
  </si>
  <si>
    <t>Sertifikat pendidik dosen tetap dan tidak tetap</t>
  </si>
  <si>
    <t>Data dosen tetap dan tidak tetap</t>
  </si>
  <si>
    <t>Ijazah dosen tetap dan tidak tetap</t>
  </si>
  <si>
    <t>SK Jafa dosen tetap dan tidak tetap</t>
  </si>
  <si>
    <t>Hasil monitoring PDDIKTI</t>
  </si>
  <si>
    <t>Program studi memiliki minimal 50% dosen tetap dengan pendidikan S3 dari keseluruhan jumlah dosen.</t>
  </si>
  <si>
    <t>Terdapat minimal 50% dosen tetap program studi yang telah berpendidikan S3</t>
  </si>
  <si>
    <t>Program studi telah memiliki minimal 50% dosen tetap dengan pendidikan S3 dari keseluruhan jumlah dosen</t>
  </si>
  <si>
    <t>Program studi memiliki lebih dari 80% dosen bersertifikat professional dari keseluruhan jumlah dosen</t>
  </si>
  <si>
    <t>Terdapat minimal 80% dosen program studi yang telah memiliki sertifikat professional dosen</t>
  </si>
  <si>
    <t>Program studi telah memiliki lebih dari 80% dosen bersertifikat professional dari keseluruhan jumlah dosen</t>
  </si>
  <si>
    <t>Program studi menggunakan dosen tidak tetap maksimal sebanyak 10% dari keseluruhan jumlah dosen tetap program studi.</t>
  </si>
  <si>
    <t>Terdapat maksimal 10% dosen tidak tetap yang mengajar di program studi</t>
  </si>
  <si>
    <t>Program studi telah menggunakan dosen tidak tetap maksimal sebanyak 10% dari keseluruhan jumlah dosen tetap program studi</t>
  </si>
  <si>
    <t>SKOR MENURUT ASESOR INTERNAL (0-4)</t>
  </si>
  <si>
    <t>REKOMENDASI ASESOR INTERNAL</t>
  </si>
  <si>
    <t>Data jumlah dosen program studi</t>
  </si>
  <si>
    <t>Data jumlah mahasiswa program studi</t>
  </si>
  <si>
    <t>SK pembimbing TA</t>
  </si>
  <si>
    <t>Laporan BKD</t>
  </si>
  <si>
    <t>Rekap dan bukti rekognisi dosen</t>
  </si>
  <si>
    <t>Terlaksananya program pengembangan tenaga pendidik dan tenaga kependidikan yang sesuai dengan rencana pengembangan SDM di perguruan tinggi</t>
  </si>
  <si>
    <t>Dokumen kebijakan, standar dan prosedur rekrutmen, seleksi, penempatan, retensi, pengembangan, pemberhentian, dan pensiun</t>
  </si>
  <si>
    <t>Peraturan kepegawaian UKSW</t>
  </si>
  <si>
    <t>Bukti pengembangan dosen</t>
  </si>
  <si>
    <t>Rencana pengembangan dosen program studi</t>
  </si>
  <si>
    <t>Renstra PT, fakultas dan program studi</t>
  </si>
  <si>
    <t>Terlaksananya tugas-tugas administrasi akademik program studi oleh tenaga kependidikan yang bertugas di program studi</t>
  </si>
  <si>
    <t>Program studi telah memiliki tenaga kependidikan yang memenuhi tingkat kecukupan dan kualifikasi berdasarkan kebutuhan layanan program studi: pelaksanaan akademik, fungsi unit pengelola, dan pengembangan program studi.</t>
  </si>
  <si>
    <t>Laporan evaluasi kinerja pegawai</t>
  </si>
  <si>
    <t>Ijazah dan sertifikat tenaga non akademik</t>
  </si>
  <si>
    <t>Data tenaga non akademik</t>
  </si>
  <si>
    <t>Terlaksananya tugas-tugas pengelolaan laboratorium program studi oleh laboran yang bertugas di laboratorium-laboratorium program studi</t>
  </si>
  <si>
    <t>Program studi telah memiliki jumlah laboran yang cukup terhadap jumlah laboratorium yang digunakan, dengan kualifikasi dan kompetensi yang sesuai bidangnya.</t>
  </si>
  <si>
    <t>Data tenaga laboran</t>
  </si>
  <si>
    <t>Ijazah dan sertifikat tenaga laboran</t>
  </si>
  <si>
    <t>Rekap dan bukti pengembangan tenaga kependidikan</t>
  </si>
  <si>
    <t>Rekap dan bukti pengembangan dosen</t>
  </si>
  <si>
    <t>Tersedianya data yang lengkap keikutsertaan dosen dan tenaga kependidikan dalam berbagai kegiatan pengembangan kompetensi seperti seminar, workshop, symposium, dll</t>
  </si>
  <si>
    <t>Program studi telah memiliki data yang lengkap keikutsertaan dosen dan tenaga kependidikan dalam berbagai kegiatan pengembangan kompetensi seperti seminar, workshop, symposium, dll.</t>
  </si>
  <si>
    <t>Tercapainya DOP sebesar 20 juta per mahasiswa per tahun.</t>
  </si>
  <si>
    <t>Prodi telah menyediakan/ menganggarkan biaya operasional pendidikan (DOP) minimal 20 juta rupiah per mahasiswa per tahun.</t>
  </si>
  <si>
    <t>Data mahasiswa prodi per tahun</t>
  </si>
  <si>
    <t>Renop prodi</t>
  </si>
  <si>
    <t>Anggaran prodi per tahun</t>
  </si>
  <si>
    <t>Rencana kerja prodi per tahun</t>
  </si>
  <si>
    <t>Data dosen prodi per tahun</t>
  </si>
  <si>
    <t>Tersedianya dana untuk PKM dosen 5 juta per dosen per tahun.</t>
  </si>
  <si>
    <t>Realisasi anggaran investasi (SDM Pendidik dan tenaga kependidikan dan sarpras) prodi setiap tahun</t>
  </si>
  <si>
    <t>Daftar pengembangan SDM (Pendidik dan tenaga kependidikan) prodi</t>
  </si>
  <si>
    <t>Daftar pengadaan sarana prasarana</t>
  </si>
  <si>
    <t>Daftar sumber pendanaan untuk pengembangan 3 tahun ke depan</t>
  </si>
  <si>
    <t>Realisasi anggaran prodi 3 tahun terakhir</t>
  </si>
  <si>
    <t>Renstra dan renop prodi</t>
  </si>
  <si>
    <t>Anggaran prodi 3 tahun terakhir</t>
  </si>
  <si>
    <t>Tersedianya sarana dan prasarana yang mutakhir dan aksesibilitas yang cukup (sesuai SNPT) untuk menjamin pencapaian capaian pembelajaran dan peningkatan kualitas suasana akademik.</t>
  </si>
  <si>
    <t>Hasil audit sarana prasarana</t>
  </si>
  <si>
    <t>SOP penggunaan sarana dan prasarana prodi</t>
  </si>
  <si>
    <t>Daftar sarana dan prasarana prodi untuk pembelajaran yang mutakhir</t>
  </si>
  <si>
    <t>Terlaksananya prosedur pengelolaan keuangan hingga tercapainya standar pengelolaan keuangan UKSW.</t>
  </si>
  <si>
    <t>Terlaksananya prosedur pengelolaan sarana dan prasarana hingga tercapainya standar pengelolaan sarana dan prasarana UKSW.</t>
  </si>
  <si>
    <t>Tersedianya sarana prasarana sesuai standar SNPT yang muthakir dan siap digunakan untuk kegiatan Tri Dharma PT, termasuk fasilitas bagi penyandang disabilitas.</t>
  </si>
  <si>
    <t>Tersedianya instrumen survey kepuasan pelanggan untuk para pengguna sarana, prasarana, manajemen keuangan dan system informasi yang valid dan reliable, serta telah digunakan secara konsisten untuk dijadikan dasar perbaikan berkelanjutan.</t>
  </si>
  <si>
    <t>Terlaksananya pemutakhiran kurikulum prodi setiap 4-5 tahun sekali dengan melibatkan semua pemangku kepentingan internal dan eksternal dalam proses pemutakhiran hingga reviewnya</t>
  </si>
  <si>
    <t>Bukti evaluasi dan pemuthakiran kurikulum</t>
  </si>
  <si>
    <t>Dokumentasi kegiatan updating kurikulum (penjaringan aspirasi stakeholder internal dan eksternal: daftar hadir, undangan rapat, foto, berita acara)</t>
  </si>
  <si>
    <t>Bukti hasil reviewer kurikulum</t>
  </si>
  <si>
    <t xml:space="preserve">1. Tersusunnya profil lulusan yang sesuai dengan KKNI dan asosiasi profesi
2. Tersusunnya CP yang sesuai dengan profil lulusan
</t>
  </si>
  <si>
    <t>Kurikulum prodi yang disahkan melalui SK Rektor</t>
  </si>
  <si>
    <t>Dokumen kesepakatan/keputusan asosiasi terkait dengan profil lulusan</t>
  </si>
  <si>
    <t xml:space="preserve">1. Tersedianya kurikulum prodi yang strukturnya sesuai dengan CP dan berdaya saing internasional
2. Tersedianya matakuliah pilihan
</t>
  </si>
  <si>
    <t>Dokumen bukti pengakuan (sertifikasi/akreditasi) dari lembaga internasional</t>
  </si>
  <si>
    <t xml:space="preserve">Bukti kerjasama kegiatan akademik dengan lembaga internasional </t>
  </si>
  <si>
    <t xml:space="preserve">1. Terlaksananya pembelajaran yang interaktif, holistik, integratif, saintifik, kontekstual, tematik, efektif, kolaboratif, dan berpusat pada mahasiswa
2. Terlaksananya monev ketercapaian CP prodi setiap tahun
</t>
  </si>
  <si>
    <t>Presensi yang berisi : RPS, Daftar hadir mahasiswa dan dosen, CP, berita acara pembelajaran, serta pengesahan kaprodi</t>
  </si>
  <si>
    <t>RPS</t>
  </si>
  <si>
    <t>Evaluasi ketercapaian capaian pembelajaran</t>
  </si>
  <si>
    <t>Laporan monev pembelajaran</t>
  </si>
  <si>
    <t xml:space="preserve">1. Tersedianya RPS untuk semua matakuliah prodi
2. Terpenuhinya konten semua komponen RPS mulai dari CP, bahan kajian, metode, waktu, tahapan, dan asesmen hasil capaian pembelajaran
</t>
  </si>
  <si>
    <t>Bukti proses dan hasil review RPS</t>
  </si>
  <si>
    <t>RPS semua MK prodi yang disahkan pejabat terkait</t>
  </si>
  <si>
    <t>Materi pembelajaran (Modul, Slide, Media, dll)</t>
  </si>
  <si>
    <t>Instrumen evaluasi</t>
  </si>
  <si>
    <t>Produk MK (Makalah, paper, dll)</t>
  </si>
  <si>
    <t>Petunjuk praktikum</t>
  </si>
  <si>
    <t>RPS semua MK prodi</t>
  </si>
  <si>
    <t xml:space="preserve">Terlaksananya pembelajaran blended learning melalui F-Learn untuk minimal 1 matakuliah per dosen per semester
</t>
  </si>
  <si>
    <t>Monev F-Learn</t>
  </si>
  <si>
    <t>SK Rektor tentang implementasi F-Learn di UKSW</t>
  </si>
  <si>
    <t>F-Learning prodi</t>
  </si>
  <si>
    <t>Statistik akses pengguna</t>
  </si>
  <si>
    <t>Buku panduan akademik UKSW berorientasi SNPT (bagian evaluasi pembelajaran)</t>
  </si>
  <si>
    <t>Formulir ralat nilai dan pencairan nilai DT</t>
  </si>
  <si>
    <t>Dokumen review instrumen evaluasi pembelajaran</t>
  </si>
  <si>
    <t>Contoh dokumen evaluasi pembelajaran yang memuat umpan balik</t>
  </si>
  <si>
    <t xml:space="preserve">Terlaksananya peningkatan CPL yang didasarkan pada hasil analisis ketercapaian CPL yang dilaksanakan sesuai dengan panduan.
</t>
  </si>
  <si>
    <t>Dokumen peer review RPS untuk semua matakuliah</t>
  </si>
  <si>
    <t>Instrumen evaluasi CP</t>
  </si>
  <si>
    <t>Data evaluasi CP</t>
  </si>
  <si>
    <t>Laporan evaluasi CP</t>
  </si>
  <si>
    <t>Hasil survey kepuasan pengguna lulusan</t>
  </si>
  <si>
    <t xml:space="preserve">Tercapainya target IPK rata-rata setiap lulusan minimal 3,25
</t>
  </si>
  <si>
    <t>Prodi telah menghasilkan lulusan dengan rata-rata IPK 3,25</t>
  </si>
  <si>
    <t>Data IPK lulusan</t>
  </si>
  <si>
    <t>Sertifikat dan bukti prestasi mahasiswa bidang akademik dan non akademik tingkat wilayah, nasional dan internasional</t>
  </si>
  <si>
    <t xml:space="preserve">Tercapainya target 50% lulusan menempuh studi maksimal 4,5 tahun
</t>
  </si>
  <si>
    <t>Prodi telah meluluskan minimal 50% mahasiswa dengan masa studi maksimal 4,5 tahun</t>
  </si>
  <si>
    <t>Data lulusan</t>
  </si>
  <si>
    <t xml:space="preserve">Tercapainya target 85% jumlah mahasiswa yang diterima dapat menyelesaikan pendidikannya
</t>
  </si>
  <si>
    <t>Data mahasiswa aktif</t>
  </si>
  <si>
    <t>Data mahasiswa DO</t>
  </si>
  <si>
    <t>Data mahasiswa mengundurkan diri</t>
  </si>
  <si>
    <t>Prodi telah meluluskan minimal 85% mahasiswa dari keseluruhan jumlah mahasiswa yang diterima</t>
  </si>
  <si>
    <t xml:space="preserve">Terpenuhinya 5 aspek tracer study yang ditetapkan BAN PT dalam pelaksanaan tracer study di program studi dengan sample minimal 50%.
</t>
  </si>
  <si>
    <t>Prodi telah melaksanakan tracer study sesuai dengan aspek-aspek yang ditetapkan BAN PT</t>
  </si>
  <si>
    <t>Bukti pelibatan hasil tracer study dalam pengembangan kurikulum</t>
  </si>
  <si>
    <t>Laporan tracer study</t>
  </si>
  <si>
    <t>Data tracer study</t>
  </si>
  <si>
    <t>Instrument tracer study yang sesuai dengan instrumen tracer study DIKTI</t>
  </si>
  <si>
    <t>Lulusan prodi mendapatkan pekerjaan yang relevan dengan bidang studi paling lama 6 bulan</t>
  </si>
  <si>
    <t xml:space="preserve">Terpenuhinya target lulusan mendapat pekerjaan yang relevan dalam waktu rata-rata 6 bulan sejak kelulusan.
</t>
  </si>
  <si>
    <t>Lulusan prodi telah mendapatkan pekerjaan yang relevan dengan bidang studi paling lama 6 bulan</t>
  </si>
  <si>
    <t>Lulusan Fakultas/Departemen  mendapatkan pekerjaan relevan dengan bidang studi, minimal sebanyak 60% dari keseluruhan jumlah lulusan</t>
  </si>
  <si>
    <t xml:space="preserve">Terpenuhinya target minimal 60% lulusan mendapat pekerjaan yang relevan dengan bidang studi
</t>
  </si>
  <si>
    <t>Prodi telah menghasilkan lulusan yang minimal 60% diantaranya mendapat pekerjaan yang relevan dengan bidang studi</t>
  </si>
  <si>
    <t xml:space="preserve">Pengguna lulusan mencapai tingkat kepuasan diatas 75% untuk aspek-aspek berikut :
1. Etika 
2. Keahlian pada bidang ilmu (kompetensi utama),
3. Kemampuan berbahasa asing,
4. Penggunaan teknologi informasi,
5. Kemampuan berkomunikasi,
6. Kerjasama tim,
7. Pengembangan diri.
</t>
  </si>
  <si>
    <t xml:space="preserve">Terpenuhinya target tingkat kepuasan pengguna lulusan minimal 75% untuk ketujuh aspek kemampuan lulusan yang ditetapkan BAN PT
</t>
  </si>
  <si>
    <t>1. Instrumen survey kepuasan pengguna alumni</t>
  </si>
  <si>
    <t>2. Data survey kepuasan pengguna alumni</t>
  </si>
  <si>
    <t>3. Laporan survey kepuasan pengguna alumni</t>
  </si>
  <si>
    <t>1.1.1</t>
  </si>
  <si>
    <t>1.1.2</t>
  </si>
  <si>
    <t>1.1.3</t>
  </si>
  <si>
    <t>1.1.4</t>
  </si>
  <si>
    <t>1.2.1</t>
  </si>
  <si>
    <t>Fakultas/Departemen memiliki struktur organisasi lengkap dengan jabaran tugas pokok dan fungsinya yang disahkan melalui SK rektor dan telah terealisasi dalam praktek penyelenggaraan organisasi.</t>
  </si>
  <si>
    <t>1.2.2</t>
  </si>
  <si>
    <t>1.2.3</t>
  </si>
  <si>
    <t>Fakultas/Departemen memiliki bukti yang sahih dan cukup dalam menjalankan kepemimpinan operasional, organisasional, dan publik</t>
  </si>
  <si>
    <t>1.2.4</t>
  </si>
  <si>
    <t>Fakultas/Departemen mampu menjalin kerjasama dengan lembaga dari dalam dan luar negeri minimal 3 kerjasama internasional dan 12 kerjasama nasional dalam 3 tahun terakhir.</t>
  </si>
  <si>
    <t>1.2.5</t>
  </si>
  <si>
    <t>1.2.6</t>
  </si>
  <si>
    <t>1.2.7</t>
  </si>
  <si>
    <t>1.2.8</t>
  </si>
  <si>
    <t>1.2.9</t>
  </si>
  <si>
    <t>1.2.10</t>
  </si>
  <si>
    <t>1.2.11</t>
  </si>
  <si>
    <t>1.2.12</t>
  </si>
  <si>
    <t>1.2.13</t>
  </si>
  <si>
    <t>1.2.14</t>
  </si>
  <si>
    <t>1.2.15</t>
  </si>
  <si>
    <t>1.3.1</t>
  </si>
  <si>
    <t>Program studi memiliki data administrasi yang jelas dan dilengkapi dengan bukti tentang keberadaan mahasiswa asing di program studinya.</t>
  </si>
  <si>
    <t>1.3.2</t>
  </si>
  <si>
    <t>1.3.3</t>
  </si>
  <si>
    <t>1.3.4</t>
  </si>
  <si>
    <t>1.3.5</t>
  </si>
  <si>
    <t>1.3.6</t>
  </si>
  <si>
    <t>1.3.7</t>
  </si>
  <si>
    <t>1.3.8</t>
  </si>
  <si>
    <t>1.3.9</t>
  </si>
  <si>
    <t>1.3.10</t>
  </si>
  <si>
    <t>1.3.11</t>
  </si>
  <si>
    <t>1.4.1</t>
  </si>
  <si>
    <t>1.4.2</t>
  </si>
  <si>
    <t>Program studi memiliki minimal 70% dosen dengan Jafa GB/LK/L dari keseluruhan jumlah dosen.</t>
  </si>
  <si>
    <t>Terdapat minimal 70% dosen tetap program studi yang telah mencapai jenjang jabatan fungsional akademik guru besar atau lektor kepala atau lektor</t>
  </si>
  <si>
    <t>Program studi telah memiliki minimal 70% dosen dengan Jafa GB/LK/L dari keseluruhan jumlah dosen</t>
  </si>
  <si>
    <t>1.4.3</t>
  </si>
  <si>
    <t>1.4.4</t>
  </si>
  <si>
    <t>1.4.5</t>
  </si>
  <si>
    <t>Program studi memiliki rasio jumlah mahasiswa terhadap jumlah dosen tetap program studi antara 15-25 mahasiswa per dosen untuk PS sains dan teknologi atau 25-35 mahasiswa per dosen untuk PS sosial humaniora.</t>
  </si>
  <si>
    <t>Terpenuhinya rasio jumlah dosen tetap terhadap mahasiswa antara 15-25 mahasiswa per dosen untuk PS sains dan teknologi atau 25-35 mahasiswa per dosen untuk PS sosial humaniora</t>
  </si>
  <si>
    <t>Program studi telah memiliki rasio jumlah mahasiswa terhadap jumlah dosen tetap program studi antara 15-25 mahasiswa per dosen untuk PS sains dan teknologi atau 25-35 mahasiswa per dosen untuk PS sosial humaniora</t>
  </si>
  <si>
    <t>1.4.6</t>
  </si>
  <si>
    <t>1.4.7</t>
  </si>
  <si>
    <t>Fakultas/departemen menugaskan 1 dosen menjadi pembimbing utama maksimal 6 orang mahasiswa.</t>
  </si>
  <si>
    <t>Program studi telah menugaskan 1 dosen menjadi pembimbing utama maksimal 6 orang mahasiswa.</t>
  </si>
  <si>
    <t>Terlaksananya pembagian pembimbing tugas akhir untuk semua mahasiswa tugas akhir dimana setiap dosen maksimal menjadi pembimbing untuk 6 orang mahasiswa</t>
  </si>
  <si>
    <t>Program studi mengatur beban kerja dosen yang ideal dalam bidang pendidikan, penelitian, PKM, dan tugas tambahan, yaitu 12-16 sks per dosen per semester.</t>
  </si>
  <si>
    <t>Terpenuhinya beban kerja ideal dosen utnuk pelaksanaan bidang pendidikan, penelitian, PKM, dan tugas tambahan, yaitu 12-16 sks per dosen per semester</t>
  </si>
  <si>
    <t>Program studi telah mengatur beban kerja dosen yang ideal dalam bidang pendidikan, penelitian, PKM, dan tugas tambahan, yaitu 12-16 sks per dosen per semester.</t>
  </si>
  <si>
    <t>1.4.8</t>
  </si>
  <si>
    <t>Program studi mendapat pengakuan atas prestasi/kinerja minimal 50% dosennya selama 3 tahun terakhir dalam berbagai bentuk.</t>
  </si>
  <si>
    <t xml:space="preserve">Terdapat penghargaan untuk dosen program studi selama 3 tahun terakhir dalam bentuk :
1. Menjadi visiting professor di perguruan tinggi nasional/internasional.
2. Menjadi keynote speaker/invited speaker pada pertemuan ilmiah tingkat nasional/internasional.
3. Menjadi staf ahli di lembaga tingkat nasional/ internasional.
4. Menjadi editor atau mitra bestari pada jurnal nasional terakreditasi/ jurnal internasional bereputasi.
Mendapat penghargaan atas prestasi dan kinerja di tingkat nasional/ internasional.
</t>
  </si>
  <si>
    <t>Program studi telah mendapat pengakuan atas prestasi/kinerja minimal 50% dosennya selama 3 tahun terakhir dalam berbagai bentuk.</t>
  </si>
  <si>
    <t>1.4.9</t>
  </si>
  <si>
    <t>1.4.10</t>
  </si>
  <si>
    <t>1.4.11</t>
  </si>
  <si>
    <t>1.4.12</t>
  </si>
  <si>
    <t>1.4.13</t>
  </si>
  <si>
    <t>Tersedianya data yang lengkap keikutsertaan dosen dalam berbagai kegiatan pengembangan kompetensi seperti seminar, workshop, symposium, dll</t>
  </si>
  <si>
    <t>Program studi telah memiliki data yang lengkap keikutsertaan dosen dalam berbagai kegiatan pengembangan kompetensi seperti seminar, workshop, symposium, dll.</t>
  </si>
  <si>
    <t>1.4.14</t>
  </si>
  <si>
    <t>Program studi memiliki prosedur monitoring dan evaluasi rekrutmen, seleksi, penempatan, pengembangan, retensi, pemberhentian, dan pensiun yang telah dijalankan secara konsisten dan berkelanjutan.</t>
  </si>
  <si>
    <t>1.4.15</t>
  </si>
  <si>
    <t>Fakultas/Departemen melakukan survey kepuasan layanan dosen dan tenaga kependidikan terhadap pengelolaan SDM di UKSW, serta hasilnya digunakan untuk peningkatan berkelanjutan setiap tahun dengan hasil indeks kepuasan minimal 80%.</t>
  </si>
  <si>
    <t>Fakultas/Departemen telah melakukan pengukuran kepuasan layanan dosen dan tenaga kependidikan terhadap pengelolaan SDM di UKSW dan menindaklanjuti hasilnya minimal satu kali setiap tahun.</t>
  </si>
  <si>
    <t>1.5.1</t>
  </si>
  <si>
    <t>1.5.2</t>
  </si>
  <si>
    <t>1.5.3</t>
  </si>
  <si>
    <t>Fakultas/Departemen telah melakukan realisasi investasi SDM pendidik dan kependidikan, serta sarana dan prasarana yang mendukung penyelenggaraan pembelajaran yang sesuai dengan perencanaan.</t>
  </si>
  <si>
    <t>Terealisasinya rencana investasi SDM pendidik dan kependidikan, sarana dan prasarana untuk kepentingan pembelajaran.</t>
  </si>
  <si>
    <t>1.5.4</t>
  </si>
  <si>
    <t>1.5.5</t>
  </si>
  <si>
    <t>1.5.6</t>
  </si>
  <si>
    <t>1.5.7</t>
  </si>
  <si>
    <t>1.5.8</t>
  </si>
  <si>
    <t>1.5.9</t>
  </si>
  <si>
    <t>1.5.10</t>
  </si>
  <si>
    <t>1.5.11</t>
  </si>
  <si>
    <t>1.6.1</t>
  </si>
  <si>
    <t>1.6.2</t>
  </si>
  <si>
    <t>1.6.3</t>
  </si>
  <si>
    <t>1.6.4</t>
  </si>
  <si>
    <t>1.6.5</t>
  </si>
  <si>
    <t>1.6.6</t>
  </si>
  <si>
    <t>1.6.7</t>
  </si>
  <si>
    <t>1.6.8</t>
  </si>
  <si>
    <t>1.6.9</t>
  </si>
  <si>
    <t>1.6.10</t>
  </si>
  <si>
    <t>1.6.11</t>
  </si>
  <si>
    <t>1.6.12</t>
  </si>
  <si>
    <t>1.6.13</t>
  </si>
  <si>
    <t>1.6.14</t>
  </si>
  <si>
    <t>1.7.1</t>
  </si>
  <si>
    <t>1.7.2</t>
  </si>
  <si>
    <t>1.7.3</t>
  </si>
  <si>
    <t>1.7.4</t>
  </si>
  <si>
    <t>1.7.5</t>
  </si>
  <si>
    <t>1.7.6</t>
  </si>
  <si>
    <t>1.7.7</t>
  </si>
  <si>
    <t>1.8.1</t>
  </si>
  <si>
    <t>1.8.2</t>
  </si>
  <si>
    <t>1.8.3</t>
  </si>
  <si>
    <t>1.8.4</t>
  </si>
  <si>
    <t>1.8.5</t>
  </si>
  <si>
    <t>1.8.6</t>
  </si>
  <si>
    <t>1.8.7</t>
  </si>
  <si>
    <t>1.8.8</t>
  </si>
  <si>
    <t>1.9.1</t>
  </si>
  <si>
    <t>1.9.2</t>
  </si>
  <si>
    <t>1.9.3</t>
  </si>
  <si>
    <t>1.9.4</t>
  </si>
  <si>
    <t>1.9.5</t>
  </si>
  <si>
    <t>1.9.6</t>
  </si>
  <si>
    <t>1.9.7</t>
  </si>
  <si>
    <t>1.9.8</t>
  </si>
  <si>
    <t xml:space="preserve">Pengguna lulusan telah mencapai tingkat kepuasan diatas 75% untuk aspek-aspek berikut :
1. Etika 
2. Keahlian pada bidang ilmu (kompetensi utama),
3. Kemampuan berbahasa asing,
4. Penggunaan teknologi informasi,
5. Kemampuan berkomunikasi,
6. Kerjasama tim,
7. Pengembangan diri.
</t>
  </si>
  <si>
    <t>1.9.9</t>
  </si>
  <si>
    <t>1.9.10</t>
  </si>
  <si>
    <t>1.9.11</t>
  </si>
  <si>
    <t xml:space="preserve">Fakultas/ departemen memiliki tiga dari 4 dokumen formal kebijakan VMTS untuk pengembangan Fakultas/ departemen dan program studi. </t>
  </si>
  <si>
    <t>Fakultas/ departemen memiliki dua dari empat dokumen formal kebijakan VMTS untuk pengembangan Fakultas/ departemen dan program studi.</t>
  </si>
  <si>
    <t xml:space="preserve">Fakultas/ departemen memiliki satu dari empat dokumen formal kebijakan VMTS untuk pengembangan Fakultas/ departemen dan program studi. </t>
  </si>
  <si>
    <t>Fakultas/ departemen tidak memiliki kebijakan formal penyusunan, sosialisasi, implementasi dan evaluasi VMTS.</t>
  </si>
  <si>
    <t>Fakultas/ departemen memiliki dokumen formal kebijakan yang mencakup: (1)Penyusunan, (2)Evaluasi, (3)Sosialisasi, dan (4)Implementasi VMTS untuk pengembangan fakultas/departemen dan program studi</t>
  </si>
  <si>
    <t>Fakultas/ departemen memiliki misi, tujuan, dan strategi yang tidak terkait dengan strategi perguruan tinggi dan pengembangan program studi.</t>
  </si>
  <si>
    <t>Fakultas/ departemen memiliki: (1)Visi yang mencerminkan visi perguruan tinggi dan memayungi visi keilmuan terkait keunikan Program studi serta didukung data implementasi yang konsisten; (2)Misi, tujuan, dan strategi yang searah dan bersinergi dengan misi, tujuan, dan strategi perguruan tinggi serta mendukung pengembangan program studi dengan data implementasi yang konsisten.</t>
  </si>
  <si>
    <t>Fakultas/ departemen memiliki: (1)Visi yang mencerminkan visi perguruan tinggi dan memayungi visi keilmuan terkait keunikan program studi; (2)Misi, tujuan, dan strategi yang searah dan bersinergi dengan misi, tujuan, dan strategi perguruan tinggi serta mendukung pengembangan program studi.</t>
  </si>
  <si>
    <t>Fakultas/ departemen memiliki: (1)Visi yang mencerminkan visi perguruan tinggi namun tidak memayungi visi keilmuan terkait program studi; (2)Misi, tujuan, dan strategi kurang searah dengan misi, tujuan sasaran, dan strategi perguruan tinggi serta kurang mendukung pengembangan program studi.</t>
  </si>
  <si>
    <t>Fakultas/ departemen memiliki: (1)Visi yang mencerminkan visi perguruan tinggi dan memayungi visi keilmuan terkait program studi; (2)Misi, tujuan, dan strategi yang searah dengan misi, tujuan, dan strategi perguruan tinggi serta mendukung pengembangan program studi.</t>
  </si>
  <si>
    <t>Ada mekanisme dalam penyusunan dan penetapan visi, misi, tujuan dan strategi yang terdokumentasi serta ada keterlibatan semua pemangku kepentingan internal (dosen, mahasiswa dan tenaga kependidikan) dan eksternal (lulusan, pengguna lulusan dan pakar/mitra/organisasi profesi/pemerintah).</t>
  </si>
  <si>
    <t>Ada mekanisme dalam penyusunan dan penetapan visi, misi, tujuan dan strategi yang terdokumentasi serta ada keterlibatan pemangkukepentingan internal (dosen dan mahasiswa) dan eksternal (lulusan).</t>
  </si>
  <si>
    <t>Ada mekanisme dalam penyusunan dan penetapan visi, misi, tujuan dan strategi yang terdokumentasi namun tidak melibatkan pemangku kepentingan.</t>
  </si>
  <si>
    <t>Tidak ada mekanisme dalam penyusunan dan penetapan visi, misi, tujuan dan strategi.</t>
  </si>
  <si>
    <t>Ada mekanisme dalam penyusunan dan penetapan visi, misi, tujuan dan strategi yang terdokumentasi serta ada keterlibatan pemangku kepentingan internal (dosen, mahasiswa dan tenaga kependidikan) dan eksternal (lulusan dan pengguna lulusan).</t>
  </si>
  <si>
    <t>Strategi efektif untuk mencapai tujuan dan disusun berdasarkan analisis yang sistematis dengan menggunakan metode yang relevan dan terdokumentasi serta pada pelaksanaannya dilakukan pemantauan dan evaluasi dan ditindaklanjuti.</t>
  </si>
  <si>
    <t>Strategi efektif untuk mencapai tujuan dan disusun berdasarkan analisis yang sistematis dengan menggunakan metode yang relevan dan terdokumentasi serta pada pelaksanaannya dilakukan pemantauan dan evaluasi.</t>
  </si>
  <si>
    <t>Strategi untuk mencapai tujuan dan disusun berdasarkan analisis yang sistematis dengan menggunakan metode yang relevan serta terdokumentasi namun belum terbukti efektifitasnya.</t>
  </si>
  <si>
    <t>Strategi untuk mencapai tujuan dan disusun berdasarkan analisis yang kurang sistematis serta tidak menggunakan metode yang relevan.</t>
  </si>
  <si>
    <t>Tidak memiliki strategi untuk mencapai tujuan</t>
  </si>
  <si>
    <t>Fakultas/ departemen memiliki dokumen formal struktur organisasi dan tata kerja yang dilengkapi tugas dan fungsinya, serta telah berjalan secara konsisten dan menjamin tata pamong yang baik serta berjalan efektif dan efisien.</t>
  </si>
  <si>
    <t>Fakultas/ departemen memiliki dokumen formal struktur organisasi dan tata kerja yang dilengkapi tugas dan fungsinya, serta telah berjalan secara konsisten dan menjamin tata pamong yang baik.</t>
  </si>
  <si>
    <t>Fakultas/ departemen memiliki dokumen formal struktur organisasi dan tata kerja yang dilengkapi tugas dan fungsinya, serta telah berjalan secara konsisten.</t>
  </si>
  <si>
    <t>Fakultas/ departemen memiliki dokumen formal struktur organisasi dan tata kerja  namun tugas dan fungsi belum berjalan secara konsisten</t>
  </si>
  <si>
    <t>Fakultas/ departemen tidak memiliki dokumen formal struktur organisasi.</t>
  </si>
  <si>
    <t>Tidak ada Skor kurang dari 1.</t>
  </si>
  <si>
    <t>Fakultas/ departemen memiliki praktik baik (best practices) dalam menerapkan tata pamong yang memenuhi 5 kaidah good governance untuk menjamin penyelenggaraan program studi yang bermutu.</t>
  </si>
  <si>
    <t>Fakultas/ departemen memiliki praktik baik (best practices) dalam menerapkan tata pamong yang memenuhi 4 kaidah good governance untuk menjamin penyelenggaraan program studi yang bermutu.</t>
  </si>
  <si>
    <t>Fakultas/ departemen memiliki praktik baik (best practices) dalam menerapkan tata pamong yang memenuhi 3 kaidah good governance untuk menjamin penyelenggaraan program studi yang bermutu.</t>
  </si>
  <si>
    <t>Fakultas/ departemen memiliki praktik baik (best practices) dalam menerapkan tata pamong yang memenuhi 1 s.d. 2 kaidah good governance untuk menjamin penyelenggaraan program studi yang bermutu.</t>
  </si>
  <si>
    <t xml:space="preserve">Terdapat bukti/pengakuan yang sahih bahwa pimpinan Fakultas/ departemen memiliki karakter kepemimpinan operasional, organisasional, dan publik.  </t>
  </si>
  <si>
    <t>Terdapat bukti/pengakuan yang sahih bahwa pimpinan Fakultas/ departemen memiliki 2 karakter diantara kepemimpinan operasional, organisasional, dan publik.</t>
  </si>
  <si>
    <t xml:space="preserve">Terdapat bukti/pengakuan yang sahih bahwa pimpinan Fakultas/ departemen memiliki salah satu karakter diantara kepemimpinan operasional, organisasional, atau publik. </t>
  </si>
  <si>
    <t>Tidak ada skor kurang dari 2.</t>
  </si>
  <si>
    <t>Pimpinan Fakultas/ departemen mampu: (1)Melaksanakan 7 fungsi manajemen secara efektif dan efisien; (2)Mengantisipasi dan menyelesaikan masalah pada situasi yang tidak terduga; DAN (3)Melakukan inovasi untuk menghasilkan nilai tambah.</t>
  </si>
  <si>
    <t>Pimpinan Fakultas/ departemen mampu: (1)Melaksanakan 7 fungsi manajemen secara efektif dan efisien; (2)Mengantisipasi dan menyelesaikan masalah pada situasi yang tidak terduga.</t>
  </si>
  <si>
    <t>Pimpinan Fakultas/ departemen mampu melaksanakan 7 fungsi manajemen secara efektif</t>
  </si>
  <si>
    <t>Pimpinan Fakultas/ departemen mampu melaksanakan kurang dari 7 fungsi manajemen.</t>
  </si>
  <si>
    <t>Fakultas/ departemen memiliki bukti yang sahih terkait kerjasama yang ada telah memenuhi 3 aspek.</t>
  </si>
  <si>
    <t>Fakultas/ departemen memiliki bukti yang sahih terkait kerjasama yang ada telah memenuhi aspek 1 dan 2.</t>
  </si>
  <si>
    <t>Fakultas/ departemen memiliki bukti yang sahih terkait kerjasama yang ada telah memenuhi aspek 1.</t>
  </si>
  <si>
    <t>Fakultas/ departemen tidak memiliki bukti pelaksanaan kerjasama.</t>
  </si>
  <si>
    <t>Fakultas/ departemen telah melaksanakan SPMI yang memenuhi 5 aspek.</t>
  </si>
  <si>
    <t>Fakultas/ departemen telah melaksanakan SPMI yang memenuhi aspek nomor 1 sampai dengan 4.</t>
  </si>
  <si>
    <t>Fakultas/ departemen telah melaksanakan SPMI yang memenuhi aspek nomor 1 sampai dengan 3.</t>
  </si>
  <si>
    <t>Fakultas/ departemen telah melaksanakan SPMI yang memenuhi aspek nomor 1 dan 2, serta siklus kegiatan SPMI baru dilaksanakan pada tahapan penetapan standar dan pelaksanaan standar pendidikan tinggi.</t>
  </si>
  <si>
    <t>Fakultas/ departemen telah memiliki dokumen legal pembentukan unsur pelaksana penjaminan mutu tanpa pelaksanaan SPMI.</t>
  </si>
  <si>
    <t>Fakultas/ departemen memiliki dokumen kebijakan mutu, manual mutu, standar mutu, prosedur mutu, formulir dan instrumen evaluasi yang memenuhi  SN-DIKTI</t>
  </si>
  <si>
    <t>Fakultas/ departemen tidak memiliki dokumen kebijakan mutu, manual mutu, standar mutu, prosedur mutu, formulir dan instrumen evaluasi yang memenuhi SN-DIKTI nilai 0.</t>
  </si>
  <si>
    <t>Tidak ada skor 1 dan 2.</t>
  </si>
  <si>
    <t>Fakultas/ departemen memiliki dokumen kebijakan mutu, manual mutu, standar mutu, prosedur mutu, formulir dan instrumen evaluasi yang lengkap dan sesuai dengan SN-DIKTI dan Standar PT.</t>
  </si>
  <si>
    <t>Fakultas/ departemen memiliki kebijakan formal penyusunan, sosialisasi, implementasi dan evaluasi VMTS untuk pengembangan fakultas/ departemen dan Program studi.</t>
  </si>
  <si>
    <t>Fakultas/ departemen memiliki VMTS yang disusun dengan latar belakang, tujuan, rasional, mekanisme dan kesesuaian dengan VMTS universitas dan mampu memayungi keunikan keilmuan program studi.</t>
  </si>
  <si>
    <t>Fakultas/ departemen memiliki mekanisme yang melibatkan semua pemangku kepentingan dalam penyusunan VMTS.</t>
  </si>
  <si>
    <t>Fakultas/ departemen memiliki rencana strategis dan rencana operasional yang disusun berdasarkan analisis yang sistematis, serta pada pelaksanaannya dilakukan pemantauan dan evaluasi yang ditindaklanjuti.</t>
  </si>
  <si>
    <t>Fakultas/ departemen memiliki struktur organisasi dan tata kerja yang dilengkapi tugas dan fungsinya dan menjalankannya secara efektif dan efisien.</t>
  </si>
  <si>
    <t xml:space="preserve">Fakultas/ departemen menerapkan prinsip good governance dan pemenuhan lima pilar sistem tata pamong yang mencakup: (1)Kredibel; (2)Transparan; (3)Akuntabel; (4)Bertanggung jawab; (5)Adil, untuk menjamin penyelenggaraan program studi yang bermutu.
</t>
  </si>
  <si>
    <t>Fakultas/ departemen mempunyai komitmen dalam menjalankan kepemimpinan operasional, organisasional, dan publik.</t>
  </si>
  <si>
    <t>Pimpinan Fakultas/Departemen: (1)Melaksanakan 7 fungsi manajemen (perencanaan, pengorganisasian, penempatan personel, pelaksanaan, pengendalian dan pengawasan, koordinasi, dan pelaporan) secara efektif dan efisien; (2)Melaporkan kinerja fakultas/ departemen (LKPS) dan mengevaluasinya sebagai dasar perbaikan dan/atau tindak lanjut (LED) setiap tahun; dan (3)Melakukan inovasi untuk menghasilkan nilai tambah.</t>
  </si>
  <si>
    <t xml:space="preserve">Fakultas/ departemen menjalin kerjasama kelembagaan dengan lembaga dari dalam dan luar negeri minimal sebanyak 3 kerjasama internasional dan 12 kerjasama nasional dalam 3 tahun terakhir yang memenuhi 3 aspek berikut: (1)Memberikan manfaat bagi program studi dalam pemenuhan proses pembelajaran, penelitian, PKM; (2)Memberikan peningkatan kinerja tridharma &amp; fasilitas pendukung program studi; dan (3)Memberikan kepuasan kepada mitra kerjasama, serta menjamin keberlanjutan kerjasama dan hasilnya.
</t>
  </si>
  <si>
    <t>Fakultas/ departemen memiliki unit penjaminan mutu dan menerapkan SPMI (akademik dan non akademik) yang dibuktikan dengan 5 aspek: (1)Dokumen legal pembentukan unsur pelaksana penjaminan mutu; (2)Ketersediaan dokumen mutu: kebijakan SPMI, manual SPMI, Standar SPMI, dan formulir SPMI; (3)Terlaksananya siklus penjaminan mutu (siklus PPEPP); (4)Bukti sahih efektivitas pelaksanaan penjaminan mutu; (5)Memiliki external benchmarking dalam peningkatan mutu.</t>
  </si>
  <si>
    <t>Fakultas/ departemen menyusun perencanaan penjaminan mutu untuk unitnya masing-masing.</t>
  </si>
  <si>
    <t>Fakultas/ departemen melaksanakan program dan kegiatan untuk mencapai standar SPMI sesuai dengan prosedur yang telah ditetapkan.</t>
  </si>
  <si>
    <t>Fakultas/Departemen telah mengimplementasikan 100% prosedur mutu yang ada dalam dokumen penjaminan mutunya dan mendokumentasikan bukti pelaksanaannya untuk mencapai standar mutu yang ditetapkan sesuai dengan SN-DIKTIdan Standar PT</t>
  </si>
  <si>
    <t>Fakultas/ departemen telah mengimplementasikan 100% prosedur mutu yang ada dalam dokumen penjaminan mutunya dan mendokumentasikan bukti pelaksanaannya untuk mencapai standar mutu yang ditetapkan sesuai dengan SN-DIKTI</t>
  </si>
  <si>
    <t>Fakultas/ departemen telah mengimplementasikan minimal 75% prosedur mutu yang ada dalam dokumen penjaminan mutunya dan mendokumentasikan bukti pelaksanaannya untuk mencapai standar mutu yang ditetapkan sesuai dengan SN-DIKTI</t>
  </si>
  <si>
    <t>Fakultas/ departemen telah mengimplementasikan minimal 50% prosedur mutu yang ada dalam dokumen penjaminan mutunya dan mendokumentasikan bukti pelaksanaannya untuk mencapai standar mutu yang ditetapkan sesuai dengan SN-DIKTI</t>
  </si>
  <si>
    <t>Fakultas/ departemen tidak mengimplementasikan prosedur mutu yang ada dalam dokumen penjaminan mutunya dan mendokumentasikan bukti pelaksanaannya untuk mencapai standar mutu yang ditetapkan sesuai dengan SN-DIKTI</t>
  </si>
  <si>
    <t>Fakultas/ departemen mengevaluasi pencapaian standar dan pelaksanaan prosedur secara berkala dan berkelanjutan minimal 1 siklus per tahun</t>
  </si>
  <si>
    <t>Fakultas/ departemen melaksanakan monitoring terhadap pencapaian standar dan melaksanakanevaluasi melalui AMI setiap tahun secara rutin 3 tahun terakhir</t>
  </si>
  <si>
    <t>Fakultas/ departemen melaksanakan monitoring terhadap pencapaian standar dan melaksanakanevaluasi melalui AMI hanya 2 tahun terakhir</t>
  </si>
  <si>
    <t>Fakultas/ departemen melaksanakan monitoring terhadap pencapaian standar dan melaksanakan evaluasi melalui AMI hanya 1 tahun terakhir</t>
  </si>
  <si>
    <t>Fakultas/ departemen melaksanakan monitoring terhadap pencapaian standar tetapi tidak melaksanakan evaluasi melalui AMI</t>
  </si>
  <si>
    <t>Fakultas/ departemen tidak melaksanakan monitoring terhadap pencapaian standar dan tidak melaksanakanevaluasi melalui AMI</t>
  </si>
  <si>
    <t>Fakultas/ departemen melakukan pengendalian implementasi standar SPMI</t>
  </si>
  <si>
    <t>Fakultas/ departemen melaksanakan semua tindakan perbaikan dan tindak lanjut atas hasil monitoring dan evaluasimelalui AMI hingga semua berhasil dilaksanakan sesuai waktu yang ditetapkan</t>
  </si>
  <si>
    <t>Fakultas/ departemen melaksanakan semuatindakan perbaikan dan tindak lanjut atas hasil monitoring dan evaluasi melaluiAMI hingga semua berhasil dilaksanakan tetapi melewati batas waktu yang ditetapkan</t>
  </si>
  <si>
    <t>Fakultas/ departemen hanya melaksanakan tindakan perbaikan tanpa tindak lanjut atas hasil monitoring dan evaluasi melaluiAMI hingga semua berhasil dilaksanakan sesuai waktu yang ditetapkan</t>
  </si>
  <si>
    <t>Fakultas/ departemen melaksanakan tindakan perbaikan tanpa tindak lanjut atas hasil monitoring dan evaluasi melaluiAMI hingga semua berhasil dilaksanakan tetapi melewati batas waktu yang ditetapkan</t>
  </si>
  <si>
    <t>Fakultas/ departemen tidak melaksanakan tindakan perbaikan dan tindak lanjut atas hasil monitoring dan evaluasi melaluiAMI</t>
  </si>
  <si>
    <t>Fakultas/ departemen meningkatkan standar mutu untuk semua aspek mutu secara berkelanjutan</t>
  </si>
  <si>
    <t>Fakultas/ departemen meningkatkan semua standar mutu setiap tahun</t>
  </si>
  <si>
    <t>Fakultas/ departemen meningkatkan 75% standar mutu setiap tahun</t>
  </si>
  <si>
    <t>Fakultas/ departemen meningkatkan 50% standar mutu setiap tahun</t>
  </si>
  <si>
    <t>Fakultas/ departemen meningkatkan 25% standar mutu setiap tahun</t>
  </si>
  <si>
    <t>Fakultas/ departemen tidak meningkatkan standar mutu</t>
  </si>
  <si>
    <t xml:space="preserve">Fakultas/ departemen melakukan pengukuran kepuasan layanan manajemen terhadap mahasiswa, dosen, tenaga kependidikan, lulusan, pengguna dan mitra terhadap layanan manajemen yang memenuhi aspek-aspek berikut: (1)Menggunakan instrumen kepuasan yang sahih, andal, mudah digunakan, (2)Dilaksanakan secara berkala, serta datanya terekam secara komprehensif, (3)Dianalisis dengan metode yang tepat serta bermanfaat untuk pengambilan keputusan, (4)Tingkat kepuasan dan umpan balik ditindaklanjuti untuk perbaikan dan peningkatan mutu luaran secara berkala dan tersistem, (5)Dilakukan review terhadap pelaksanaan pengukuran kepuasan dosen dan mahasiswa, serta (6)Hasilnya dipublikasikan dan mudah diakses oleh dosen dan mahasiswa dan menindaklanjuti hasilnya minimal satu kali setiap tahun. 
</t>
  </si>
  <si>
    <t>Fakultas/ departemen melakukan pengukuran kepuasan layanan manajemen terhadap seluruh pemangku kepentingan dan memenuhi aspek 1 s.d 6.</t>
  </si>
  <si>
    <t>Fakultas/ departemen melakukan pengukuran kepuasan layanan manajemen terhadap seluruh pemangku kepentingan dan memenuhi aspek 1 s.d 4 ditambah aspek 5 atau aspek 6.</t>
  </si>
  <si>
    <t>Fakultas/ departemen melakukan pengukuran kepuasan layanan manajemen terhadap seluruh pemangku kepentingan dan memenuhi aspek 1 s.d. 4.</t>
  </si>
  <si>
    <t>Fakultas/ departemen melakukan pengukuran kepuasan layanan manajemen terhadap sebagian pemangku kepentingan dan memenuhi aspek 1 s.d. 4.</t>
  </si>
  <si>
    <t>Fakultas/ departemen tidak melakukan pengukuran kepuasan layanan manajemen.</t>
  </si>
  <si>
    <t>Fakultas/ departemen mengimplementasikan manajemen risiko untuk menjamin keberlangsungan fakultas/ departemen dan program studi yang dibuktikan dengan dokumen yang sahih</t>
  </si>
  <si>
    <t>Fakultas/ departemen mengimplementasikan manajemen resiko untuk semua aspek kegiatan dan dibuktikan dengan dokumen yang sahih</t>
  </si>
  <si>
    <t>Fakultas/ departemen mengimplementasikan manajemen resiko untuk beberapa aspek kegiatan  dan dibuktikan dengan dokumen yang sahih</t>
  </si>
  <si>
    <t>Fakultas/ departemen mengimplementasikan manajemen resiko untuk beberapa aspek kegiatan, tetapi tidak ada dokumennya.</t>
  </si>
  <si>
    <t>Fakultas/ departemen tidak mengimplementasikan manajemen resiko.</t>
  </si>
  <si>
    <t>Fakultas/ departemen tidak memiliki dokumen manajemen resiko.</t>
  </si>
  <si>
    <t>Fakultas/ departemen mengalokasikan sumber daya yang sangat memadai dalam bentuk anggaran dana, fasilitas dan pelaksana untuk pencapaian standar mutu terkait tata kelola, tata pamong dan kerjasama kelembagaan.</t>
  </si>
  <si>
    <t>Fakultas/ departemen mengalokasikan sumber daya dengan menyediakan anggaran dana, fasilitas dan pelaksana untuk pencapaian standar mutu tata kelola, tata pamong dan kerjasama kelembagaan.</t>
  </si>
  <si>
    <t>Fakultas/ departemen mengalokasikan sumber daya dengan menyediakan anggaran dana dan fasilitas untuk pencapaian standar mutu tata kelola, tata pamong dan kerjasama kelembagaan.</t>
  </si>
  <si>
    <t>Fakultas/ departemen mengalokasikan sumber daya dengan menyediakan anggaran dana untuk pencapaian standar mutu tata kelola, tata pamong dan kerjasama kelembagaan.</t>
  </si>
  <si>
    <t>Fakultas/ departemen mengalokasikan sumber daya dengan menyediakan fasilitas atau pelaksana untuk pencapaian standar mutu tata kelola, tata pamong dan kerjasama kelembagaan.</t>
  </si>
  <si>
    <t>Fakultas/ departemen tidak mengalokasikan sumber daya untuk pencapaian standar mutu tata kelola, tata pamong dan kerjasama kelembagaan.</t>
  </si>
  <si>
    <t>Fakultas/ departemen melaporkan pencapaian kinerja yang telah ditetapkan di setiap kriteria (standar mutu yang  terkait dengan tata pamong, tata kelola, kerjasama kelembagaan dan penjaminan mutu) dan publikasi capaian kinerja dan hasil analisisnya.</t>
  </si>
  <si>
    <t>Fakultas/ departemen melaporkan pencapaian standar mutu terkait tata pamong, tata kelola, dan kerjasama kelembagaan dan penjaminan mutu setiap tahun.</t>
  </si>
  <si>
    <t>Fakultas/ departemen melaporkan pencapaian standar mutu terkait tata pamong dan tata kelola.</t>
  </si>
  <si>
    <t>Fakultas/ departemen melaporkan pencapaian standar mutu tentang tata pamong atau tata kelola atau kerjasama kelembagaan atau penjaminan mutu.</t>
  </si>
  <si>
    <t>Fakultas/ departemen tidak melaporkan pencapaian standar mutu tata pamong, tata kelola, kerjasama kelembagaan dan penjaminan mutu.</t>
  </si>
  <si>
    <t>Fakultas/ departemen melaporkan pencapaian standar mutu terkait tata pamong, tata kelola, kerjasama kelembagaan dan penjaminan mutu setiap tahun, dan mempublikasikannya kepada stakeholder.</t>
  </si>
  <si>
    <t>SKOR PROGRAM STUDI (OTOMATIS)</t>
  </si>
  <si>
    <t>EVALUASI DIRI PROGRAM STUDI</t>
  </si>
  <si>
    <t>EVALUASI 1.1.1</t>
  </si>
  <si>
    <t>EVALUASI 1.1.2</t>
  </si>
  <si>
    <t>EVALUASI 1.1.3</t>
  </si>
  <si>
    <t>EVALUASI 1.1.4</t>
  </si>
  <si>
    <t>EVALUASI 1.2.1</t>
  </si>
  <si>
    <t>EVALUASI 1.2.2</t>
  </si>
  <si>
    <t>EVALUASI 1.2.3</t>
  </si>
  <si>
    <t>EVALUASI 1.2.4</t>
  </si>
  <si>
    <t>EVALUASI 1.2.5</t>
  </si>
  <si>
    <t>EVALUASI 1.2.6</t>
  </si>
  <si>
    <t>EVALUASI 1.2.7</t>
  </si>
  <si>
    <t>EVALUASI 1.2.8</t>
  </si>
  <si>
    <t>EVALUASI 1.2.9</t>
  </si>
  <si>
    <t>EVALUASI 1.2.10</t>
  </si>
  <si>
    <t>EVALUASI 1.2.11</t>
  </si>
  <si>
    <t>EVALUASI 1.2.12</t>
  </si>
  <si>
    <t>EVALUASI 1.2.13</t>
  </si>
  <si>
    <t>EVALUASI 1.2.14</t>
  </si>
  <si>
    <t>EVALUASI 1.2.15</t>
  </si>
  <si>
    <t>EVALUASI 1.3.1</t>
  </si>
  <si>
    <t>Program studi menyerap jumlah calon mahasiswa hingga 5 kali kapasitas daya tampung program studi.</t>
  </si>
  <si>
    <t>EVALUASI 1.3.2</t>
  </si>
  <si>
    <t>Fakultas/ departemen melakukan berbagai upaya untuk meningkatkan animo calon mahasiswa lebih besar 10% dalam 3 tahun terakhir.</t>
  </si>
  <si>
    <t>EVALUASI 1.3.3</t>
  </si>
  <si>
    <t>Fakultas/ departemen menyediakan 
layanan kemahasiswaan di bidang: (1)Penalaran, minat dan bakat, (2)Kesejahteraan (bimbingan dan konseling, layanan beasiswa, dan layanan kesehatan), dan (3)Bimbingan karir dan kewirausahaan.</t>
  </si>
  <si>
    <t>EVALUASI 1.3.4</t>
  </si>
  <si>
    <t>Jenis layanan mencakup bidang penalaran, minat dan bakat, kesejahteraan (bimbingan dan konseling, layanan beasiswa, dan layanan kesehatan), dan bimbingan karir dan kewirausahaan.</t>
  </si>
  <si>
    <t>Jenis layanan mencakup bidang penalaran, minat dan bakat, dan kesejahteraan (bimbingan dan konseling, layanan beasiswa, dan layanan kesehatan).</t>
  </si>
  <si>
    <t>Jenis layanan mencakup bidang penalaran, minat dan bakat mahasiswa.</t>
  </si>
  <si>
    <t>Jenis layanan hanya mencakup sebagian bidang penalaran, minat atau bakat.</t>
  </si>
  <si>
    <t>Tidak memiliki layanan kemahasiswaan.</t>
  </si>
  <si>
    <t>Fakultas/ departemen menyediakan kemudahan akses dan menjaga mutu layanan yang baik untuk bidang penalaran, minat bakat mahasiswa, beasiswa dan semua jenis layanan kesehatan.</t>
  </si>
  <si>
    <t>EVALUASI 1.3.5</t>
  </si>
  <si>
    <t>Ada kemudahan akses dan mutu layanan yang baik untuk bidang penalaran, minat bakat mahasiswa dan semua jenis layanan kesehatan.</t>
  </si>
  <si>
    <t>Ada kemudahan akses dan mutu layanan yang baik untuk bidang penalaran, minat bakat mahasiswa dan sebagian layanan kesehatan.</t>
  </si>
  <si>
    <t>Ada kemudahan akses dan mutu layanan yang baik untuk bidang penalaran dan minat bakat mahasiswa.</t>
  </si>
  <si>
    <t>Mutu layanan kurang baik untuk bidang penalaran atau minat bakat mahasiswa.</t>
  </si>
  <si>
    <t>EVALUASI 1.3.6</t>
  </si>
  <si>
    <t>Fakultas/ departemen memiliki standar dan prosedur seleksi mahasiswa dan telah menjalankannya secara konsisten selama 3 tahun terakhir.</t>
  </si>
  <si>
    <t>Fakultas/ departemen memiliki dokumen standar dan prosedur seleksi mahasiswa serta sudah dilaksanakan secara konsisten selama 3 tahun terakhir.</t>
  </si>
  <si>
    <t>Fakultas/ departemen memiliki dokumen standar dan prosedur seleksi mahasiswa serta sudah dilaksanakan.</t>
  </si>
  <si>
    <t>Fakultas/ departemen memiliki dokumen standar dan prosedur seleksi mahasiswa tetapi baru sebagian dilaksanakan.</t>
  </si>
  <si>
    <t>Fakultas/ departemen memiliki dokumen standar dan prosedur seleksi mahasiswa tetapi belum dilaksanakan.</t>
  </si>
  <si>
    <t>Fakultas/ departemen tidak memiliki dokumen standar dan prosedur seleksi mahasiswa.</t>
  </si>
  <si>
    <t>Fakultas/ departemen melakukan monitoring dan evaluasi seleksi mahasiswa serta semua jenis pelayanan yang diberikan kepada mahasiswa secara konsisten.</t>
  </si>
  <si>
    <t>Fakultas/ departemen memiliki dokumen pelaksanaan monitoring dan evaluasi seleksi mahasiswa dan semua layanan kemahasiswaan yang dilaksanakan secara rutin.</t>
  </si>
  <si>
    <t>Fakultas/ departemen memiliki dokumen pelaksanaan monitoring dan evaluasi seleksi mahasiswa dan layanan kemahasiswaan yang terdiri dari bidang penalaran, minat dan bakat, dan kesejahteraan (bimbingan dan konseling, layanan beasiswa, dan layanan kesehatan).</t>
  </si>
  <si>
    <t>Fakultas/ departemen memiliki dokumen pelaksanaan monitoring dan evaluasi seleksi mahasiswa dan layanan kemahasiswaan yang terdiri dari bidang penalaran, minat dan bakat mahasiswa.</t>
  </si>
  <si>
    <t>Fakultas/ departemen memiliki dokumen pelaksanaan monitoring dan evaluasi seleksi mahasiswa dan layanan kemahasiswaan yang terdiri dari sebagian bidang penalaran, minat dan bakat mahasiswa.</t>
  </si>
  <si>
    <t>Fakultas/ departemen tidak melaksanakan monitoring dan evaluasi seleksi mahasiswa dan layanan kemahasiswaan.</t>
  </si>
  <si>
    <t>EVALUASI 1.3.7</t>
  </si>
  <si>
    <t>EVALUASI 1.3.8</t>
  </si>
  <si>
    <t>Fakultas dan/atau program studi memiliki dokumen kebijakan mutu, standar mutu, prosedur mutu dan instruksi kerja dalam rangka penjaminan mutu metode rekrutmen mahasiswa, sistem seleksi mahasiswa, dan layanan kemahasiswaan.</t>
  </si>
  <si>
    <t>Fakultas dan/atau program studi memiliki 4 dokumen penjaminan mutu metode rekrutmen mahasiswa, sistem seleksi mahasiswa, dan layanan kemahasiswaan serta sudah dilaksanakan secara konsisten.</t>
  </si>
  <si>
    <t>Fakultas dan/atau program studi memiliki 4 dokumen penjaminan mutu metode rekrutmen mahasiswa, sistem seleksi mahasiswa,  dan layanan kemahasiswaan serta sudah dilaksanakan.</t>
  </si>
  <si>
    <t>Fakultas dan/atau program studi memiliki 3 dokumen penjaminan mutu metode rekrutmen mahasiswa, sistem seleksi mahasiswa,  atau layanan kemahasiswaan serta sudah dilaksanakan.</t>
  </si>
  <si>
    <t>Fakultas dan/atau program studi memiliki 2 dokumen penjaminan mutu metode rekrutmen mahasiswa, sistem seleksi,  mahasiswa atau layanan kemahasiswaan serta sudah dilaksanakan.</t>
  </si>
  <si>
    <t>Fakultas dan/atau program studi tidak memiliki dokumen penjaminan mutu metode rekrutmen mahasiswa, sistem seleksi,  mahasiswa dan layanan kemahasiswaan.</t>
  </si>
  <si>
    <t>EVALUASI 1.3.9</t>
  </si>
  <si>
    <t>Fakultas dan/atau program studi melaksanakan survei kepuasan pengguna layanan kemahasiswaan yang dilakukan secara rutin menggunakan instrumen yang valid dan reliable dan menggunakan hasilnya untuk perbaikan layanan kepada mahasiswa.</t>
  </si>
  <si>
    <t>Fakultas dan/atau program studi telah melakukan pengukuran kepuasan pengguna layanan kemahasiswaan secara rutin dengan menggunakan instrumen yang valid dan reliable dan menggunakan hasilnya untuk perbaikan.</t>
  </si>
  <si>
    <t>Fakultas dan/atau program studi telah melakukan pengukuran kepuasan pengguna layanan kemahasiswaan dengan menggunakan instrumen yang valid dan reliable dan menggunakan hasilnya untuk perbaikan.</t>
  </si>
  <si>
    <t>Fakultas dan/atau program studi telah melakukan pengukuran kepuasan pengguna layanan kemahasiswaan dengan menggunakan instrumen yang valid dan reliable.</t>
  </si>
  <si>
    <t>Fakultas dan/atau program studi telah melakukan pengukuran kepuasan pengguna layanan kemahasiswaan.</t>
  </si>
  <si>
    <t>Fakultas dan/atau program studi tidak melakukan pengukuran kepuasan pengguna layanan kemahasiswaan.</t>
  </si>
  <si>
    <t>Program studi menerima mahasiswa transfer maksimal 5% dari keseluruhan jumlah mahasiswa reguler.</t>
  </si>
  <si>
    <t>EVALUASI 1.3.10</t>
  </si>
  <si>
    <t>Fakultas/ departemen memfasilitasi mahasiswa untuk mengikuti berbagai kegiatan nonkurikuler dalam rangka pemenuhan kredit keaktifan mahasiswa (KKM)</t>
  </si>
  <si>
    <t>EVALUASI 1.3.11</t>
  </si>
  <si>
    <t xml:space="preserve">TABEL HITUNG NILAI </t>
  </si>
  <si>
    <t>Jumlah dosen tetap yang terlibat dalam penyelenggaraan pendidikan</t>
  </si>
  <si>
    <t>Nilai Terhitung</t>
  </si>
  <si>
    <t>TABEL HITUNG</t>
  </si>
  <si>
    <t>Jumlah dosen pengampu matakuliah inti program studi</t>
  </si>
  <si>
    <t>Jumlah dosen berpendidikan S3</t>
  </si>
  <si>
    <t>Prosentase dosen berpendidikan S3</t>
  </si>
  <si>
    <t>Nilai terhitung</t>
  </si>
  <si>
    <t>SKOR PROGRAM STUDI (0-4)</t>
  </si>
  <si>
    <t>EVALUASI 1.4.2</t>
  </si>
  <si>
    <t>EVALUASI 1.4.1</t>
  </si>
  <si>
    <t>Jumlah dosen berjafa GB</t>
  </si>
  <si>
    <t>Jumlah dosen berjafa LK</t>
  </si>
  <si>
    <t>Jumlah dosen berjafa L</t>
  </si>
  <si>
    <t>Persentase GBLKL</t>
  </si>
  <si>
    <t>EVALUASI 1.4.3</t>
  </si>
  <si>
    <t>Jumlah dosen yang memiliki sertifikat profesional</t>
  </si>
  <si>
    <t>Persentase jumlah dosen bersertifikat</t>
  </si>
  <si>
    <t>EVALUASI 1.4.4</t>
  </si>
  <si>
    <t>Persentase DTT</t>
  </si>
  <si>
    <t>Jumlah dosen tidak tetap</t>
  </si>
  <si>
    <t>EVALUASI 1.4.5</t>
  </si>
  <si>
    <t>Jumlah mahasiswa aktiv</t>
  </si>
  <si>
    <t>Jenis prodi (Isikan 1 jika prodi sains teknologi, atau isikan 2 jika prodi sosial humaniora</t>
  </si>
  <si>
    <t>Rasio dosen berbanding mahasiswa adalah 1 : …</t>
  </si>
  <si>
    <t>EVALUASI 1.4.6</t>
  </si>
  <si>
    <t>EVALUASI 1.4.7</t>
  </si>
  <si>
    <t>Jumlah mahasiswa bimbingan</t>
  </si>
  <si>
    <t>Jumlah dosen pembimbing utama</t>
  </si>
  <si>
    <t>Rerata jumlah bimbingan</t>
  </si>
  <si>
    <t>EVALUASI 1.4.8</t>
  </si>
  <si>
    <t>Jumlah dosen pengajar matakuliah inti prodi</t>
  </si>
  <si>
    <t>Jumlah prestasi dosen dalam 3 tahun terakhir</t>
  </si>
  <si>
    <t>Rerata pengakuan/rekognisi dosen prodi</t>
  </si>
  <si>
    <t>Fakultas/ departemen merencanakan dan mengembangkan DTPS mengikuti rencana pengembangan SDM di perguruan tinggi (Renstra PT) secara konsisten.</t>
  </si>
  <si>
    <t>Fakultas/ departemen merencanakan dan mengembangkan DTPS mengikuti rencana pengembangan SDM di perguruan tinggi (Renstra PT).</t>
  </si>
  <si>
    <t>Fakultas/ departemen mengembangkan DTPS mengikuti rencana pengembangan SDM di perguruan tinggi (Renstra PT).</t>
  </si>
  <si>
    <t>Fakultas/ departemen mengembangkan DTPS tidak mengikuti atau tidak sesuai dengan rencana pengembangan SDM di perguruan tinggi (Renstra PT).</t>
  </si>
  <si>
    <t>Perguruan tinggi dan/atau Fakultas/ departemen tidak memiliki rencana pengembangan SDM.</t>
  </si>
  <si>
    <t>Fakultas/ departemen merencanakan dan melakukan pengembangan dosen dan tenaga kependidikan sesuai dengan rencana pengembangan SDM di perguruan tinggi (Renstra PT) secara konsisten.</t>
  </si>
  <si>
    <t>Fakultas/ departemen telah merencanakan dan melakukan pengembangan dosen dan tenaga kependidikan sesuai dengan rencana pengembangan SDM di perguruan tinggi (Renstra PT) secara konsisten.</t>
  </si>
  <si>
    <t>Fakultas/ departemen memiliki tenaga kependidikan yang memenuhi tingkat kecukupan dan kualifikasi berdasarkan kebutuhan layanan program studi: pelaksanaan akademik, fungsi unit pengelola, dan pengembangan program studi.</t>
  </si>
  <si>
    <t>Fakultas/ departemen memiliki tenaga kependidikan yang memenuhi tingkat kecukupan dan kualifikasi berdasarkan kebutuhan layanan program studi dan mendukung pelaksanaan akademik, fungsi unit pengelola, serta pengembangan program studi.</t>
  </si>
  <si>
    <t>Fakultas/ departemen memiliki tenaga kependidikan yang memenuhi tingkat kecukupan dan kualifikasi berdasarkan kebutuhan layanan program studi dan mendukung pelaksanaan akademik dan fungsi unit pengelola.</t>
  </si>
  <si>
    <t>Fakultas/ departemen memiliki tenaga kependidikan yang memenuhi tingkat kecukupan dan kualifikasi berdasarkan kebutuhan layanan program studi dan mendukung pelaksanaan akademik.</t>
  </si>
  <si>
    <t>Fakultas/ departemen memiliki tenaga kependidikan yang memenuhi tingkat kecukupan dan/atau kualifikasi berdasarkan kebutuhan layanan program studi dan mendukung pelaksanaan akademik.</t>
  </si>
  <si>
    <t>Fakultas/ departemen memiliki tenaga kependidikan yang tidak memenuhi tingkat kecukupan dan kualifikasi berdasarkan kebutuhan layanan program studi.</t>
  </si>
  <si>
    <t>Fakultas/ departemen memiliki jumlah laboran yang cukup sesuai jumlah laboratorium yang digunakan, kualifikasinya sesuai dengan laboratorium yang menjadi tanggungjawabnya, dan bersertifikat laboran serta bersertifikat kompetensi tertentu sesuai bidang tugasnya.</t>
  </si>
  <si>
    <t>Fakultas/ departemen memiliki jumlah laboran yang cukup terhadap jumlah laboratorium yang digunakan program studi, kualifikasinya sesuai dengan laboratorium yang menjadi tanggungjawabnya, serta bersertifikat laboran dan bersertifikat kompetensi tertentu sesuai bidang tugasnya.</t>
  </si>
  <si>
    <t>Fakultas/ departemen memiliki jumlah laboran yang cukup terhadap jumlah laboratorium yang digunakan program studi, kualifikasinya sesuai dengan laboratorium yang menjadi tanggungjawabnya, dan bersertifikat laboran atau bersertifikat kompetensi tertentu sesuai bidang tugasnya.</t>
  </si>
  <si>
    <t>Fakultas/ departemen memiliki jumlah laboran yang cukup terhadap jumlah laboratorium yang digunakan program studidan kualifikasinya sesuai dengan laboratorium yang menjadi tanggungjawabnya.</t>
  </si>
  <si>
    <t>Fakultas/ departemen memiliki jumlah laboran yang cukup terhadap jumlah laboratorium yang digunakan program studi.</t>
  </si>
  <si>
    <t>Fakultas/ departemen tidak memiliki laboran.</t>
  </si>
  <si>
    <t>EVALUASI 1.4.12</t>
  </si>
  <si>
    <t>EVALUASI 1.4.11</t>
  </si>
  <si>
    <t>EVALUASI 1.4.10</t>
  </si>
  <si>
    <t>EVALUASI 1.4.9</t>
  </si>
  <si>
    <t>EVALUASI 1.4.13</t>
  </si>
  <si>
    <t>Program studi memiliki data dan dokumen pendukung yang lengkap keikutsertaan dosen dan tenaga kependidikan dalam berbagai kegiatan pengembangan kompetensi seperti seminar, workshop, symposium, dll.</t>
  </si>
  <si>
    <t>Program studi memiliki data dan dokumen pendukung lengkap keikutsertaan dosen dan tenaga kependidikan dalam berbagai kegiatan pengembangan kompetensi (seminar, workshop, simposium, dll).</t>
  </si>
  <si>
    <t>Program studi memiliki data dan sebagian besar dokumen pendukung keikutsertaan dosen dan tenaga kependidikan dalam berbagai kegiatan pengembangan kompetensi (seminar, workshop, simposium, dll).</t>
  </si>
  <si>
    <t>Program studi memiliki data dan beberapa dokumen pendukung keikutsertaan dosen dan tenaga kependidikan dalam berbagai kegiatan pengembangan kompetensi (seminar, workshop, simposium, dll).</t>
  </si>
  <si>
    <t>Program studi memiliki data keikutsertaan dosen dan tenaga kependidikan dalam berbagai kegiatan pengembangan kompetensi (seminar, workshop, simposium, dll).</t>
  </si>
  <si>
    <t>Program studi tidak memiliki data keikutsertaan dosen dan tenaga kependidikan dalam kegiatan pengembangan kompetensi (seminar, workshop, simposium, dll).</t>
  </si>
  <si>
    <t>Program studi memiliki prosedur monitoring dan evaluasi rekrutmen, seleksi, penempatan, pengembangan, retensi, pemberhentian serta pensiun dan telah dijalankan secara konsisten dan berkelanjutan.</t>
  </si>
  <si>
    <t>Program studi memiliki prosedur monitoring dan evaluasi rekrutmen, seleksi, penempatan, pengembangan, retensi, pemberhentian serta pensiun dan telah dijalankan secara konsisten.</t>
  </si>
  <si>
    <t>Program studi memiliki prosedur monitoring dan evaluasi rekrutmen, seleksi, penempatan, pengembangan, retensi, pemberhentian serta pensiun dan telah dijalankan sebagian.</t>
  </si>
  <si>
    <t>Program studi memiliki prosedur monitoring dan evaluasi rekrutmen, seleksi, penempatan, pengembangan, retensi, pemberhentian serta pensiun.</t>
  </si>
  <si>
    <t>Program studi tidak memiliki prosedur monitoring dan evaluasi rekrutmen, seleksi, penempatan, pengembangan, retensi, pemberhentian serta pensiun.</t>
  </si>
  <si>
    <t>EVALUASI 1.4.14</t>
  </si>
  <si>
    <t>Fakultas/ departemen dan/atau program studimemiliki instrumen dan bukti yang sahih dan andal tentang pengukuran kepuasan dosen dan tenaga kependidikan terhadap layanan pengelolaan dan pengembangan SDM yang dilaksanakan secara konsisten dan ditindaklanjuti hasilnya secara berkala dan tersistem.</t>
  </si>
  <si>
    <t>EVALUASI 1.4.15</t>
  </si>
  <si>
    <t>Fakultas/ departemen dan/atauprogram studi memiliki instrumen dan bukti yang sahih dan andal tentang pengukuran kepuasan dosen dan tenaga kependidikan terhadap layanan pengelolaan dan pengembangan SDM yang dilaksanakan secara konsisten dan ditindaklanjuti hasilnya secara berkala dan tersistem.</t>
  </si>
  <si>
    <t>Fakultas/ departemen dan/atauprogram studi memiliki instrumen dan bukti yang sahih dan andal tentang pengukuran kepuasan dosen dan tenaga kependidikan terhadap layanan pengelolaan dan pengembangan SDM yang dilaksanakan secara konsisten.</t>
  </si>
  <si>
    <t>Fakultas/ departemen dan/atauprogram studi memiliki instrumen dan bukti yang sahih dan andal tentang pengukuran kepuasan dosen dan tenaga kependidikan terhadap layanan pengelolaan dan pengembangan SDM.</t>
  </si>
  <si>
    <t>Fakultas/ departemen dan/atauprogram studi memiliki instrumen dan bukti tentang pengukuran kepuasan dosen dan tenaga kependidikan terhadap layanan pengelolaan dan pengembangan SDM.</t>
  </si>
  <si>
    <t>Fakultas/ departemen dan/atauprogram studi tidak memiliki instrumen yang jelas dan bukti yang sahih tentang pengukuran kepuasan dosen dan tenaga kependidikan terhadap layanan pengelolaan dan pengembangan SDM.</t>
  </si>
  <si>
    <t>Jumlah mahasiswa aktif</t>
  </si>
  <si>
    <t>Jumlah total dana operasional pendidikan (dlm juta)</t>
  </si>
  <si>
    <t>Rerata dana operasional pendidikan (dlm juta)</t>
  </si>
  <si>
    <t>EVALUASI 1.5.1</t>
  </si>
  <si>
    <t>EVALUASI 1.5.2</t>
  </si>
  <si>
    <t xml:space="preserve">Program studi mencapai rata-rata dana operasional pendidikan (DOP) minimal 20 juta rupiah per mahasiswa per tahun dalam 3 tahun terakhir.
</t>
  </si>
  <si>
    <t>Total perolehan dana penelitian (dalam juta)</t>
  </si>
  <si>
    <t>Jumlah dosen</t>
  </si>
  <si>
    <t>Rerata dana penelitian dosen (dalam juta)</t>
  </si>
  <si>
    <t xml:space="preserve">Program studi memperoleh rata-rata dana penelitian minimal 10 juta rupiah per dosen per tahun dalam 3 tahun terakhir.
</t>
  </si>
  <si>
    <t>Program studi telah memperoleh rata-rata dana penelitian minimal 10 juta rupiah per dosen per tahun dalam 3 tahun terakhir.</t>
  </si>
  <si>
    <t>EVALUASI 1.5.3</t>
  </si>
  <si>
    <t>Total perolehan dana PkM (dalam juta)</t>
  </si>
  <si>
    <t>Rerata dana PkM dosen (dalam juta)</t>
  </si>
  <si>
    <t xml:space="preserve">Program studi memperoleh rata-rata dana PkM minimal 5 juta rupiah per dosen per tahun dalam 3 tahun terakhir.
</t>
  </si>
  <si>
    <t>Program studi telah memperoleh rata-rata dana PkM minimal 5 juta rupiah per dosen per tahun dalam 3 tahun terakhir.</t>
  </si>
  <si>
    <t>Fakultas/ departemen telah melakukan realisasi investasi (SDM dosen dan kependidikan, sarana dan prasarana) yang mendukung penyelenggaraan Tridharma PT yang sesuai dengan perencanaan.</t>
  </si>
  <si>
    <t>Realisasi investasi (SDM, sarana dan prasarana) memenuhi seluruh kebutuhan akan penyelenggaraan program pendidikan, penelitian dan PkM serta memenuhi standar perguruan tinggi terkait pendidikan, penelitian dan PkM.</t>
  </si>
  <si>
    <t>Realisasi investasi (SDM, sarana dan prasarana) hanya memenuhi sebagian kebutuhan akan penyelenggaraan program pendidikan, penelitian dan PkM serta memenuhi standar perguruan tinggi terkait pendidikan, penelitian dan PkM.</t>
  </si>
  <si>
    <t>Realisasi investasi (SDM, sarana dan prasarana) hanya memenuhi kebutuhan akan penyelenggaraan program pendidikan serta memenuhi standar perguruan tinggi terkait pendidikan.</t>
  </si>
  <si>
    <t>Realisasi investasi (SDM, sarana dan prasarana) belum memenuhi kebutuhan akan penyelenggaraan program pendidikan.</t>
  </si>
  <si>
    <t>Tidak ada realisasi untuk investasi SDM, sarana maupun prasarana.</t>
  </si>
  <si>
    <t>Fakultas/ departemen menyediakan dana untuk menjamin keberlangsungan pengembangan tridharma 3 tahun terakhir serta memiliki kecukupan dana untuk rencana pengembangan 3 tahun ke depan yang didukung oleh sumber pendanaan yang realistis seperti biaya pendidikan, dana hibah, sumbangan alumni dan sumber lainnya.</t>
  </si>
  <si>
    <t>Tercukupinya dana untuk pengembangan kegiatan pembelajaran PT 3 tahun terakhir dan tersedianya anggaran dana untuk pengembangan kegiatan pembelajaran PT 3 tahun kedepan dari berbagai sumber.</t>
  </si>
  <si>
    <t>Fakultas/ departemen telah menyediakan dana untuk menjamin keberlangsungan pengembangan tridharma 3 tahun terakhir serta memiliki kecukupan dana untuk rencana pengembangan 3 tahun ke depan yang didukung oleh sumber pendanaan yang realistis seperti biaya pendidikan, dana hibah, sumbangan alumni dan sumber lainnya.</t>
  </si>
  <si>
    <t>EVALUASI 1.5.5</t>
  </si>
  <si>
    <t>Dana dapat menjamin keberlangsungan operasional tridharma, pengembangan 3 tahun terakhir serta memiliki kecukupan dana untuk rencana pengembangan 3 tahun ke depan yang didukung oleh sumber pendanaan yang realistis.</t>
  </si>
  <si>
    <t>Dana dapat menjamin keberlangsungan operasional tridharma serta pengembangan 3 tahun terakhir.</t>
  </si>
  <si>
    <t>Dana dapat menjamin keberlangsungan operasional tridharma dan sebagian kecil pengembangan.</t>
  </si>
  <si>
    <t>Dana dapat menjamin keberlangsungan operasional tridharma dan tidak ada untuk pengembangan.</t>
  </si>
  <si>
    <t>Dana tidak mencukupi untuk keperluan operasional.</t>
  </si>
  <si>
    <t>EVALUASI 1.5.4</t>
  </si>
  <si>
    <t>EVALUASI 1.5.6</t>
  </si>
  <si>
    <t>Fakultas/ departemen menyediakan sarana pendidikanyang mutakhir dan siap digunakanserta aksesibiltas yang cukup untuk pembelajaran, penelitian dan PkMdan meningkatkan suasana akademik.</t>
  </si>
  <si>
    <t>Fakultas/ departemen menyediakan sarana pendidikandan siap digunakanserta aksesibiltas yang cukup untuk pembelajaran, penelitian dan PkMdan meningkatkan suasana akademik.</t>
  </si>
  <si>
    <t>Fakultas/ departemen menyediakan sarana pendidikandan siap digunakanserta aksesibiltas yang cukup untuk pembelajaran, penelitian dan PkM.</t>
  </si>
  <si>
    <t>Fakultas/ departemen menyediakan sarana pendidikandan siap digunakanserta aksesibiltas yang tidak cukup untuk pembelajaran, penelitian dan PkM.</t>
  </si>
  <si>
    <t>Fakultas/ departemen tidak memiliki sarana pendidikan.</t>
  </si>
  <si>
    <t>Fakultas/ departemen menyediakan sarana pendidikan yang mutakhir (sesuai dengan perkembangan IPTEKS) dan siap digunakan serta aksesibilitas yang cukup untuk pembelajaran, penelitian dan PkM dan meningkatkan suasana akademik.</t>
  </si>
  <si>
    <t>Fakultas/ departemen telah menyediakan sarana pendidikan yang mutakhir (sesuai dengan perkembangan IPTEKS) dan siap digunakan serta aksesibilitas yang cukup untuk pembelajaran, penelitian dan PkM dan meningkatkan suasana akademik.</t>
  </si>
  <si>
    <t>Fakultas/ departemen memiliki kecukupan prasarana yang terukur dari ketersediaan (sesuai dengan kriteria SN-Dikti), kemuthakiran dan kesiapgunaan yang mencakup fasilitas pembelajaran, penelitian dan pengabdian kepada masyarakat, termasuk fasilitas untuk sivitas akademika penyandang disabilitas.</t>
  </si>
  <si>
    <t>Fakultas/ departemen telah memiliki kecukupan prasarana yang terukur dari ketersediaan (sesuai dengan kriteria SN-Dikti), kemuthakiran dan kesiapgunaan yang mencakup fasilitas pembelajaran, penelitian dan pengabdian kepada masyarakat, termasuk fasilitas untuk sivitas akademika penyandang disabilitas.</t>
  </si>
  <si>
    <t>Data prasarana</t>
  </si>
  <si>
    <t>Standar pengelolaan sarana</t>
  </si>
  <si>
    <t>Prosedur-prosedur penggunaan sarana</t>
  </si>
  <si>
    <t>Record penggunaan sarana</t>
  </si>
  <si>
    <t>Fakultas/ departemen menyediakan prasarana yang cukup sesuai kriteria SN-Dikti, mutakhir dan siap digunakan untuk kegiatan tridharma, termasuk fasilitas bagi penyandang disabilitas.</t>
  </si>
  <si>
    <t>Fakultas/ departemen menyediakan prasarana yang cukup sesuai kriteria SN-Dikti dan siap digunakan untuk kegiatan tridharma, termasuk fasilitas bagi penyandang disabilitas.</t>
  </si>
  <si>
    <t>Fakultas/ departemen menyediakan prasarana yang cukup sesuai kriteria SN-Dikti untuk kegiatan tridharma.</t>
  </si>
  <si>
    <t>Fakultas/ departemen menyediakan prasarana yang tidak sesuai kriteria SN-Dikti untuk kegiatan tridharma.</t>
  </si>
  <si>
    <t>Fakultas/ departemen tidak menyediakan prasarana untuk kegiatan tridharma.</t>
  </si>
  <si>
    <t>EVALUASI 1.5.7</t>
  </si>
  <si>
    <t>Fakultas/ departemen telah memiliki dan menjalankan kebijakan, standar, prosedur pengelolaan sarana prasarana (perencanaan, pengadaan, pemanfaatan, pemeliharaan, dan penghapusan) secara konsisten.</t>
  </si>
  <si>
    <t>Kebijakan, standar, prosedur pengelolaan sarana prasarana beserta data keterlaksanaannya.</t>
  </si>
  <si>
    <t>EVALUASI 1.5.9</t>
  </si>
  <si>
    <t>Fakultas/ departemen memiliki dan menjalankan kebijakan, standar, dan prosedur pengelolaan sarana dan prasarana sesuai standar pengelolaan sarana dan prasarana UKSW secara konsisten.</t>
  </si>
  <si>
    <t>Fakultas/ departemen memiliki dan menjalankan kebijakan, standar, dan prosedur pengelolaan sarana dan prasarana sesuai standar pengelolaan sarana dan prasarana UKSW.</t>
  </si>
  <si>
    <t>Fakultas/ departemen memiliki dan menjalankan kebijakan, standar, dan prosedur pengelolaan sarana dan prasarana tetapi tidak sesuai standar pengelolaan sarana dan prasarana UKSW.</t>
  </si>
  <si>
    <t>Tidak ada skor kurang dari 2</t>
  </si>
  <si>
    <t>Fakultas/ departemen memiliki dan menjalankan kebijakan, standar dan prosedur pengelolaan keuangan (perencanaan, pengajuan dan pertanggungjawaban).</t>
  </si>
  <si>
    <t>Fakultas/ departemen telah memiliki dan menjalankan kebijakan, standar dan prosedur pengelolaan keuangan (perencanaan, pengajuan dan pertanggungjawaban).</t>
  </si>
  <si>
    <t>Dokumen kebijakan, standar, prosedur dan IK keuangan</t>
  </si>
  <si>
    <t>EVALUASI 1.5.8</t>
  </si>
  <si>
    <t>Fakultas/ departemen memiliki dan menjalankan kebijakan, standar dan prosedur pengelolaan keuangan sesuai standar pengelolaan keuangan UKSW secara konsisten.</t>
  </si>
  <si>
    <t>Fakultas/ departemen memiliki dan menjalankan kebijakan, standar dan prosedur pengelolaan keuangan sesuai standar pengelolaan keuangan UKSW.</t>
  </si>
  <si>
    <t>Fakultas/ departemen memiliki dan menjalankan kebijakan, standar dan prosedur pengelolaan keuangan tetapi tidak sesuai standar pengelolaan keuangan UKSW.</t>
  </si>
  <si>
    <t>Fakultas/ departemen memiliki sarana teknologi informasi dan komunikasi yang cukup, mutakhir dan siap digunakan untuk mengumpulkan data, mengelola data pendidikan dan menyebarkan ilmu pengetahuan.</t>
  </si>
  <si>
    <t>Fakultas/ departemen memiliki sarana teknologi informasi dan komunikasi yang cukup dan siap digunakan untuk mengumpulkan data, mengelola data pendidikan dan menyebarkan ilmu pengetahuan.</t>
  </si>
  <si>
    <t>Fakultas/ departemen memiliki sarana teknologi informasi dan komunikasi yang cukup dan siap digunakan untuk mengumpulkan data dan mengelola data pendidikan.</t>
  </si>
  <si>
    <t>Fakultas/ departemen memiliki sarana teknologi informasi dan komunikasi yang siap digunakan untuk mengumpulkan data dan mengelola data pendidikan.</t>
  </si>
  <si>
    <t>Fakultas/ departementidak memiliki sarana teknologi informasi dan komunikasi.</t>
  </si>
  <si>
    <t>Fakultas/ departemen memiliki instrumen survey kepuasan pelanggan untuk para pengguna sarana, prasarana, manajemen keuangan dan sistem informasi dan komunikasi yang valid dan reliable, melaksanakan, merekam, menganalisis dan menindaklanjuti untuk perbaikan secara berkala dan tersistem.</t>
  </si>
  <si>
    <t>Fakultas/ departemen memiliki instrumen survey kepuasan pelanggan untuk para pengguna sarana, prasarana, manajemen keuangan dan sistem informasi dan komunikasi yang valid dan reliable, melaksanakan, merekam, dan menganalisis.</t>
  </si>
  <si>
    <t>Fakultas/ departemen memiliki instrumen survey kepuasan pelanggan untuk para pengguna sarana, prasarana, manajemen keuangan dan sistem informasi dan komunikasi yang valid dan reliable, melaksanakan, dan merekam.</t>
  </si>
  <si>
    <t>Fakultas/ departemen memiliki instrumen survey kepuasan pelanggan untuk para pengguna sarana, prasarana, manajemen keuangan dan sistem informasi dan komunikasi yang valid dan reliable, dan melaksanakan.</t>
  </si>
  <si>
    <t>Fakultas/ departemen tidak memiliki instrumen survey kepuasan pelanggan untuk para pengguna sarana, prasarana, manajemen keuangan dan sistem informasi dan komunikasi.</t>
  </si>
  <si>
    <t>Tersedianya hak akses data yang cepat, akurat, dapat dipertanggung-jawabkan, terjaga kerahasiaannya serta memiliki sejumlah sistem informasi yang mumpuni untuk pengambilan keputusan semua aspek kegiatan prodi.</t>
  </si>
  <si>
    <t>Fakultas/ departemen telah memiliki sarana teknologi informasi dan komunikasi yang cukup, mutakhir dan siap digunakan untuk mengumpulkan data, mengelola data pendidikan dan menyebarkan ilmu pengetahuan.</t>
  </si>
  <si>
    <t>Inventarisasi sistem informasi UKSW</t>
  </si>
  <si>
    <t>EVALUASI 1.5.10</t>
  </si>
  <si>
    <t>Fakultas/ departemen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</si>
  <si>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Fakultas/ departemen telah memiliki instrumen survey kepuasan pelanggan untuk para pengguna sarana, prasarana, manajemen keuangan dan sistem informasi dan komunikasi yang valid dan reliable, serta telah digunakan secara konsisten dan rutin untuk menghasilkan dokumen yang dapat digunakan untuk perbaikan secara berkala dan tersistem.</t>
  </si>
  <si>
    <t>EVALUASI 1.5.11</t>
  </si>
  <si>
    <t>Instrumen survey, Hasil uji instrumen, Data hasil survey, Laporan survey</t>
  </si>
  <si>
    <t>Program studi melakukan evaluasi dan pemutakhiran kurikulum secara berkala tiap 4 s.d. 5 tahun yang melibatkan pemangku kepentingan internal dan eksternal, serta direview oleh pakar bidang ilmu program studi, industri, asosiasi, serta sesuai perkembangan ipteks dan kebutuhan pengguna.</t>
  </si>
  <si>
    <t>Program studi telah melakukan evaluasi dan pemutakhiran kurikulum secara berkala tiap 4 s.d. 5 tahun yang melibatkan pemangku kepentingan internal dan eksternal, serta direview oleh pakar bidang ilmu program studi, industri, asosiasi, serta sesuai perkembangan ipteks dan kebutuhan pengguna.</t>
  </si>
  <si>
    <t xml:space="preserve">Evaluasi dan pemutakhiran kurikulum secara berkala tiap 4 s.d. 5 tahun yang melibatkan pemangku kepentingan internal dan eksternal, serta direview oleh pakar bidang ilmu program studi, industri, asosiasi, serta sesuai perkembangan ipteks dan kebutuhan pengguna.  </t>
  </si>
  <si>
    <t>Evaluasi dan pemutakhiran kurikulum secara berkala tiap 4 s.d. 5 tahun yang melibatkan pemangku kepentingan internal dan eksternal.</t>
  </si>
  <si>
    <t>Evaluasi dan pemutakhiran kurikulum melibatkan pemangku kepentingan internal.</t>
  </si>
  <si>
    <t>Evaluasi dan pemutakhiran kurikulum tidak melibatkan seluruh pemangku kepentingan internal.</t>
  </si>
  <si>
    <t>Evaluasi dan pemutakhiran kurikulum dilakukan oleh dosen program studi.</t>
  </si>
  <si>
    <t>Capaian pembelajaran diturunkan dari profil lulusan yang mengacu pada hasil kesepakatan dengan asosiasi penyelenggara program studi sejenis atauorganisasi profesi, dan memenuhi level KKNI, serta dimutakhirkan secara berkala tiap 4 s.d. 5 tahun sesuai perkembangan ipteks dan kebutuhan pengguna.</t>
  </si>
  <si>
    <t>Capaian pembelajaran diturunkan dari profil lulusan yang mengacu pada hasil kesepakatan di antara program studisejenis, memenuhi level KKNI, dan dimutakhirkan secara berkala tiap 4 s.d. 5 tahun sesuai perkembangan ipteks atau kebutuhan pengguna.</t>
  </si>
  <si>
    <t>Capaian pembelajaran diturunkan dari profil lulusan dan memenuhi level KKNI.</t>
  </si>
  <si>
    <t xml:space="preserve">Capaian pembelajaran diturunkan dari profil lulusan dan tidak memenuhi level KKNI. </t>
  </si>
  <si>
    <t xml:space="preserve">Capaian pembelajaran tidak diturunkan dari profil lulusan dan tidak memenuhi level KKNI. </t>
  </si>
  <si>
    <t>Struktur kurikulum memuat keterkaitan antara matakuliah dengan capaian pembelajaran lulusan yang digambarkan dalam peta kurikulum yang jelas, capaian pembelajaran lulusan dipenuhi oleh seluruh capaian pembelajaran matakuliah, serta tidak ada capaian pembelajaran matakuliah yang tidak mendukung capaian pembelajaran lulusan</t>
  </si>
  <si>
    <t>Struktur kurikulum memuat keterkaitan antara matakuliah dengan capaian pembelajaran lulusan yang digambarkan dalam peta kurikulum yang jelas, capaian pembelajaran lulusan dipenuhi oleh seluruh capaian pembelajaran matakuliah</t>
  </si>
  <si>
    <t>Struktur kurikulum memuat keterkaitan antara matakuliah dengan capaian pembelajaran lulusan yang digambarkan dalam peta kurikulum yang jelas.</t>
  </si>
  <si>
    <t>Struktur kurikulum tidak sesuai dengan urutan capaian pembelajaran lulusan.</t>
  </si>
  <si>
    <t xml:space="preserve">Terpenuhinya karakteristik proses pembelajaran program studi yang mencakup seluruh sifat, dan telah menghasilkan profil lulusan yang sesuai dengan capaian pembelajaran.  </t>
  </si>
  <si>
    <t>Terpenuhinya karakteristik proses pembelajaran program studi yang berpusat pada mahasiswa, dan telah menghasilkan profil lulusan yang sesuai dengan capaian pembelajaran</t>
  </si>
  <si>
    <t>Karakteristik proses pembelajaran program studi berpusat pada mahasiswa yang diterapkan pada minimal 50% matakuliah.</t>
  </si>
  <si>
    <t>Karakteristik proses pembelajaran program studi belum berpusat pada mahasiswa.</t>
  </si>
  <si>
    <t>Dokumen RPS memuat target capaian pembelajaran, bahan kajian, metode pembelajaran, waktu dan tahapan, asesmen hasil capaian pembelajaran. RPS ditinjau dan disesuaikan secara berkala serta dapat diakses oleh mahasiswa, dilaksanakan secara konsisten.</t>
  </si>
  <si>
    <t>Dokumen RPS memuat target capaian pembelajaran, bahan kajian, metode pembelajaran, waktu dan tahapan, asesmen hasil capaian pembelajaran. RPS ditinjau dan disesuaikan secara berkala serta dapat diakses oleh mahasiswa.</t>
  </si>
  <si>
    <t xml:space="preserve">Dokumen RPS memuat target capaian pembelajaran, bahan kajian, metode pembelajaran, waktu dan tahapan, asesmen hasil capaian pembelajaran. RPS ditinjau dan disesuaikan secara berkala.  </t>
  </si>
  <si>
    <t>Dokumen RPS memuat target capaian pembelajaran, bahan kajian, metode pembelajaran, waktu dan tahapan, asesmen hasil capaian pembelajaran atau tidak semua matakuliah memiliki RPS.</t>
  </si>
  <si>
    <t>Tidak memiliki dokumen RPS.</t>
  </si>
  <si>
    <t>Isi materi pembelajaran sesuai dengan RPS, memiliki kedalaman dan keluasan yang relevan untuk mencapai capaian pembelajaran lulusan, serta ditinjau ulang secara berkala</t>
  </si>
  <si>
    <t>Isi materi pembelajaran sesuai dengan RPS, memiliki kedalaman dan keluasan yang relevan untuk mencapai capaian pembelajaran lulusan.</t>
  </si>
  <si>
    <t xml:space="preserve">Isi materi pembelajaran memiliki kedalaman dan keluasan sesuai dengan capaian pembelajaran lulusan.  </t>
  </si>
  <si>
    <t>Isi materi pembelajaran memiliki kedalaman dan keluasan namun sebagian tidak sesuai dengan capaian pembelajaran lulusan.</t>
  </si>
  <si>
    <t xml:space="preserve">Isi materi pembelajaran tidak sesuai dengan capaian pembelajaran lulusan.  </t>
  </si>
  <si>
    <t>Pelaksanaan pembelajaran berlangsung dalam bentuk interaksi antara dosen, mahasiswa, dan sumber belajar dalam lingkungan belajar tertentu</t>
  </si>
  <si>
    <t>Pelaksanaan pembelajaran berlangsung hanya sebagian dalam bentuk interaksi antara dosen, mahasiswa, dan sumber belajar dalam lingkungan belajar tertentu.</t>
  </si>
  <si>
    <t>Pelaksanaan pembelajaran tidak berlangsung dalam bentuk interaksi antara dosen dan mahasiswa</t>
  </si>
  <si>
    <t>Pelaksanaan pembelajaran berlangsung dalam bentuk interaksi antara dosen, mahasiswa, dan sumber belajar dalam lingkungan belajar tertentu secara on-line dan off-line dalam bentuk audio-visual terdokumentasi.</t>
  </si>
  <si>
    <t>Pelaksanaan pembelajaran berlangsung dalam bentuk interaksi antara dosen, mahasiswa, dan sumber belajar dalam lingkungan belajar tertentu secara on-line dan off-line</t>
  </si>
  <si>
    <t>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t>
  </si>
  <si>
    <t>Memiliki bukti sahih adanya sistem dan pelaksanaan pemantauan proses pembelajaran yang dilaksanakan secara periodik untuk menjamin kesesuaian dengan RPS dalam rangka menjaga mutu proses pembelajaran. Hasil monev terdokumentasi dengan baik.</t>
  </si>
  <si>
    <t>Memiliki bukti sahih adanya sistem dan pelaksanaan pemantauan proses pembelajaran yang dilaksanakan secara periodik untuk mengukur kesesuaian terhadap RPS</t>
  </si>
  <si>
    <t>Memiliki bukti sahih adanya sistem pemantauan proses pembelajaran namun tidak dilaksanakan secara konsisten.</t>
  </si>
  <si>
    <t>Tidak memiliki bukti sahih adanya sistem dan pelaksanaan pemantauan proses pembelajaran</t>
  </si>
  <si>
    <t>Fakultas/ departemen memiliki bukti sahih tentang sistem dan pelaksanaan monitoring dan evaluasi proses pembelajaran mencakup karakteristik, perencanaan, pelaksanaan, proses pembelajaran dan beban belajar mahasiswa yang dilaksanakan secara konsisten dan ditindak lanjuti</t>
  </si>
  <si>
    <t>Fakultas/ departemen memiliki bukti sahih tentang sistem dan pelaksanaan monitoring dan evaluasi proses pembelajaran mencakup karakteristik, perencanaan, pelaksanaan, proses pembelajaran dan beban belajar mahasiswa yang dilaksanakan secara konsisten.</t>
  </si>
  <si>
    <t>Fakultas/ departemen memiliki bukti sahih tentang sistem dan pelaksanaan monitoring dan evaluasi proses pembelajaran mencakup karakteristik, perencanaan, pelaksanaan, proses pembelajaran dan beban belajar mahasiswa.</t>
  </si>
  <si>
    <t>Fakultas/ departemen telah melaksanakan monitoring dan evaluasi proses pembelajaran mencakup karakteristik, perencanaan, pelaksanaan, proses pembelajaran dan beban belajar mahasiswa namun tidak semua didukung bukti sahih.</t>
  </si>
  <si>
    <t>Fakultas/ departemen tidak melaksanakan monitoring dan evaluasi proses pembelajaran mencakup karakteristik, perencanaan, pelaksanaan, proses pembelajaran dan beban belajar mahasiswa.</t>
  </si>
  <si>
    <t xml:space="preserve">Terdapat bukti sahih tentang dipenuhinya 5 prinsip penilaian yang dilakukan secara terintegrasi dan dilengkapi dengan rubrik/portofolio penilaian minimum 70% jumlah matakuliah. </t>
  </si>
  <si>
    <t>Terdapat bukti sahih tentang dipenuhinya 5 prinsip penilaian yang dilakukan secara terintegrasi dan dilengkapi dengan rubrik/portofolio penilaian minimum 50% jumlah matakuliah.</t>
  </si>
  <si>
    <t>Terdapat bukti sahih tentang dipenuhinya 5 prinsip penilaian yang dilakukan secara terintegrasi.</t>
  </si>
  <si>
    <t>Terdapat bukti sahih tentang dipenuhinya 5 prinsip penilaian yang tidak dilakukan secara terintegrasi.</t>
  </si>
  <si>
    <t>Tidak terdapat bukti sahih tentang dipenuhinya 5 prinsip penilaian.</t>
  </si>
  <si>
    <t xml:space="preserve">Terdapat bukti sahih yang menunjukkan kesesuaian teknik dan instrumen penilaian terhadap capaian pembelajaran minimum 75% s.d. 100% dari jumlah matakuliah.  </t>
  </si>
  <si>
    <t xml:space="preserve">Terdapat bukti sahih yang menunjukkan kesesuaian teknik dan instrumen penilaian terhadap capaian pembelajaran minimum 50% s.d. &lt; 75% dari jumlah matakuliah.  </t>
  </si>
  <si>
    <t>Terdapat bukti sahih yang menunjukkan kesesuaian teknik dan instrumen penilaian terhadap capaian pembelajaran yang dinilai minimum 25% s.d. &lt; 50% dari jumlah matakuliah.</t>
  </si>
  <si>
    <t xml:space="preserve">Terdapat bukti sahih yang menunjukkan kesesuaian teknik dan instrumen penilaian terhadap capaian pembelajaran yang dinilai &lt; 25% dari jumlah matakuliah.   </t>
  </si>
  <si>
    <t>Tidak terdapat bukti sahih yang menunjukkan kesesuaian teknik dan instrumen penilaian terhadap capaian pembelajaran.</t>
  </si>
  <si>
    <t xml:space="preserve">Terdapat bukti sahih pelaksanaan penilaian mencakup 7 unsur.  </t>
  </si>
  <si>
    <t>Terdapat bukti sahih pelaksanaan penilaian mencakup minimum unsur 1, 4 dan 6 serta 2 unsur lainnya.</t>
  </si>
  <si>
    <t xml:space="preserve">Terdapat bukti sahih pelaksanaan penilaian mencakup minimum unsur 1, 4 dan 6.  </t>
  </si>
  <si>
    <t>Terdapat bukti sahih pelaksanaan penilaian hanya mencakup unsur 6.</t>
  </si>
  <si>
    <t>1.6.15</t>
  </si>
  <si>
    <t>Hasil pengukuran dianalisis dan ditindaklanjuti minimal 2 kali setiap semester, serta digunakan untuk perbaikan proses pembelajaran dan menunjukkan peningkatan hasil pembelajaran.</t>
  </si>
  <si>
    <t>Hasil pengukuran dianalisis dan ditindaklanjuti setiap semester, serta digunakan untuk perbaikan proses pembelajaran dan menunjukkan peningkatan hasil pembelajaran.</t>
  </si>
  <si>
    <t>Hasil pengukuran dianalisis dan ditindaklanjuti setiap tahun, serta digunakan untuk perbaikan proses pembelajaran</t>
  </si>
  <si>
    <t>Hasil pengukuran dianalisis dan ditindaklanjuti, serta digunakan untuk perbaikan proses pembelajaran, namun dilakukan secara insidentil.</t>
  </si>
  <si>
    <t>Tidak dilakukan analisis terhadap hasil pengukuran kepuasan terhadap proses pembelajaran.</t>
  </si>
  <si>
    <t>Program studi menganalisis hasil pengukuran kepuasan mahasiswa terhadap proses pendidikan, menindaklanjuti minimal 2 kali setiap semester, serta menggunakannya untuk perbaikan proses pembelajaran dan menunjukkan peningkatan hasil pembelajaran.</t>
  </si>
  <si>
    <t>1.6.17</t>
  </si>
  <si>
    <t>1.6.16</t>
  </si>
  <si>
    <t>Program studi mengukur kepuasan mahasiswa terhadap proses pendidikan tiap semester yang mencakup aspek keandalan, daya tanggap, kepastian, empati, dan tangible, serta hasilnya menunjukkan bahwa tingkat kepuasan mahasiswa lebih dari 75%.</t>
  </si>
  <si>
    <t>Program studi melaksanakan program dan kegiatan di luar pembelajaran terstruktur secara berkala untuk meningkatkan suasana akademik.</t>
  </si>
  <si>
    <t>Kegiatan ilmiah yang terjadwal dilaksanakan setiap bulan.</t>
  </si>
  <si>
    <t>Kegiatan ilmiah yang terjadwal dilaksanakan dua sampai dengan 3 bulan sekali.</t>
  </si>
  <si>
    <t>Kegiatan ilmiah yang dilaksanakan 4 sampai dengan 6 bulan sekali.</t>
  </si>
  <si>
    <t>Kegiatan ilmiah yang terjadwal dilaksanakan lebih dari 6 bulan sekali.</t>
  </si>
  <si>
    <t>Tidak ada skor kurang dari 1.</t>
  </si>
  <si>
    <t>Program studi menjamin terlaksananya proses pembelajaran yang bersifat interaktif, holistik, integratif, saintifik, kontekstual, tematik, efektif, kolaboratif, dan berpusat pada mahasiswa serta telah menghasilkan lulusan yang sesuai dengan capaian pembelajaran.</t>
  </si>
  <si>
    <t>Program studi telah menjamin terlaksananya proses pembelajaran yang bersifat interaktif, holistik, integratif, saintifik, kontekstual, tematik, efektif, kolaboratif, dan berpusat pada mahasiswa serta telah menghasilkan lulusan yang sesuai dengan capaian pembelajaran.</t>
  </si>
  <si>
    <t>Program studi memiliki struktur kurikulum yang sesuai dengan capaian pembelajaran lulusan yang ditetapkan.</t>
  </si>
  <si>
    <t>Program studi telah memiliki struktur kurikulum yang sesuai dengan capaian pembelajaran lulusan yang ditetapkan.</t>
  </si>
  <si>
    <t>Program studi memiliki capaian pembelajaran yang diturunkan dari profil lulusan yang mengacu pada hasil kesepakatan dengan asosiasi/ profesi dan memenuhi level KKNI.</t>
  </si>
  <si>
    <t>Program studi telah memiliki capaian pembelajaran yang diturunkan dari profil lulusan yang mengacu pada hasil kesepakatan dengan asosiasi/ profesi dan memenuhi level KKNI.</t>
  </si>
  <si>
    <t>Program studi memiliki dokumen Rencana Pembelajaran Semester (RPS) untuk semua mata kuliah yang direview secara berkala, dapat diakses oleh mahasiswa dan memuat target capaian pembelajaran, bahan kajian, metode pembelajaran, waktu, tahapan, dan asesmen hasil capaian pembelajaran.</t>
  </si>
  <si>
    <t>Program studi melaksanakan pembelajaran dalam bentuk praktikum, praktik, atau praktik lapangan.</t>
  </si>
  <si>
    <t>Program studi telah melaksanakan pembelajaran dalam bentuk praktikum, praktik, atau praktik lapangan.</t>
  </si>
  <si>
    <t>Terlaksananya pembelajaran dalam bentuk praktikum, praktik, atau praktik lapangan di program studi minimal 20% dari keseluruhan jam pembelajaran.</t>
  </si>
  <si>
    <t>RPS, Monev Pembelajaran, Panduan Pembelajaran Lapangan, Panduan Praktikum</t>
  </si>
  <si>
    <t>Program studi memiliki bukti sahih yang menunjukkan metode pembelajaran yang efektif dalam mendukung capaian pembelajaran pada mata kuliah.</t>
  </si>
  <si>
    <t xml:space="preserve">Program studi memiliki bukti sahih adanya sistem dan pelaksanaan pemantauan proses pembelajaran yang dilaksanakan secara periodik untuk menjamin kesesuaian dengan RPS dalam rangka menjaga mutu proses pembelajaran pada seluruh MK. Hasil monev terdokumentasi dengan baik dan digunakan untuk meningkatkan mutu proses pembelajaran.
</t>
  </si>
  <si>
    <t>Fakultas/ departemen melakukan monitoring dan evaluasi pelaksanaan proses pembelajaran mencakup karakteristik, perencanaan, pelaksanaan, proses pembelajaran dan beban belajar mahasiswa untuk memperoleh capaian pembelajaran lulusan.</t>
  </si>
  <si>
    <t>Fakultas/ departemen memiliki bukti sahih tentang sistem dan pelaksanaan monitoring dan evaluasi proses pembelajaran mencakup karakteristik, perencanaan, pelaksanaan, proses pembelajaran dan beban belajar mahasiswa yang dilaksanakan secara konsisten dan ditindak lanjuti.</t>
  </si>
  <si>
    <t>Fakultas/ departemen telah melakukan monitoring dan evaluasi pelaksanaan proses pembelajaran mencakup karakteristik, perencanaan, pelaksanaan, proses pembelajaran dan beban belajar mahasiswa untuk memperoleh capaian pembelajaran lulusan.</t>
  </si>
  <si>
    <t>Program studi menerapkan model pembelajaran blended learning dan terdokumentasi.</t>
  </si>
  <si>
    <t>Program studi telah menerapkan model pembelajaran blended learning dan terdokumentasi.</t>
  </si>
  <si>
    <t>Program studi menjamin kedalaman dan keluasan RPS sesuai dengan capaian pembelajaran lulusan.</t>
  </si>
  <si>
    <t>Program studi telah menjamin kedalaman dan keluasan RPS sesuai dengan capaian pembelajaran lulusan.</t>
  </si>
  <si>
    <t>Isi materi pembelajaran sesuai dengan RPS, memiliki kedalaman dan keluasan yang relevan untuk mencapai capaian pembelajaran lulusan, serta ditinjau ulang secara berkala.</t>
  </si>
  <si>
    <t>Program studi telah memiliki bukti sahih yang menunjukkan metode pembelajaran yang efektif dalam mendukung capaian pembelajaran pada mata kuliah.</t>
  </si>
  <si>
    <t>Terlaksananya survey kepuasan mahasiswa terhadap proses pendidikan tiap semester yang mencakup aspek keandalan, daya tanggap, kepastian, empati, dan tangible, serta hasilnya menunjukkan bahwa tingkat kepuasan mahasiswa lebih dari 75%.</t>
  </si>
  <si>
    <t>Program studi telah mengukur kepuasan mahasiswa terhadap proses pendidikan tiap semester yang mencakup aspek keandalan, daya tanggap, kepastian, empati, dan tangible, serta hasilnya menunjukkan bahwa tingkat kepuasan mahasiswa lebih dari 75%.</t>
  </si>
  <si>
    <t>Instrumen, Data dan Laporan Survey Kepuasan Mahasiswa terhadap Layanan Pembelajaran</t>
  </si>
  <si>
    <t>Terlaksananya program dan kegiatan diluar kegiatan pembelajaran terstruktur untuk meningkatkan suasana akademik secara terjadwal setiap bulan.</t>
  </si>
  <si>
    <t>Program studi telah melaksanakan program dan kegiatan di luar pembelajaran terstruktur secara berkala untuk meningkatkan suasana akademik.</t>
  </si>
  <si>
    <t>Laporan Kegiatan</t>
  </si>
  <si>
    <t>Program studi menjamin teritegrasinya hasil penelitian/PkM dalam kegiatan pembelajaran yang dibuktikan dengan dokumen yang memuat judul penelitian dan PkM, nama dosen yang melaksanakan, nama MK dan bentuk integrasi yang dilakukan dalam 3 tahun terakhir.</t>
  </si>
  <si>
    <t>Program studi telah menjamin teritegrasinya hasil penelitian/PkM dalam kegiatan pembelajaran yang dibuktikan dengan dokumen yang memuat judul penelitian dan PkM, nama dosen yang melaksanakan, nama MK dan bentuk integrasi yang dilakukan dalam 3 tahun terakhir.</t>
  </si>
  <si>
    <t>Terlaksananya pengintegrasian hasil penelitian dan PkM ke dalam pembelajaran minimal 1 matakuliah per dosen per semester</t>
  </si>
  <si>
    <t>Laporan integrasi penelitian dan PkM ke dalam Pembelajaran</t>
  </si>
  <si>
    <t>Program studi melaksanakan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t>
  </si>
  <si>
    <t>Program studi telah melaksanakan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t>
  </si>
  <si>
    <t xml:space="preserve">Terlaksananya penilaian pembelajaran yang memuat unsur-unsur:
1. Mempunyai kontrak penilaian,
2. Melaksanakan penilaian sesuai kontrak atau kesepakatan, 
3. Memberikan umpan balik dan memberi kesempatan untuk mempertanyakan hasil kepada mahasiswa,
4. Mempunyai dokumentasi penilaian proses dan hasil belajar mahasiswa,
5. Mempunyai prosedur yang mencakup tahap perencanaan, kegiatan pemberian tugas atau soal, observasi kinerja, dan pemberian nilai akhir,
6. Pelaporan penilaian berupa kualifikasi keberhasilan mahasiswa dalam menempuh suatu mata kuliah dalam bentuk huruf dan angka, dan
7. Mempunyai bukti-bukti rencana dan telah melakukan proses perbaikan berdasar hasil monev penilaian.
</t>
  </si>
  <si>
    <t>RPS, Laporan Monev Pembelajaran, Prosedur penilaian pembelajaran</t>
  </si>
  <si>
    <t>Program studi melaksanakan penilaian dengan menggunakan teknik penilaian yang terdiri dari observasi, partisipasi, unjuk kerja, tes tertulis, tes lisan dan angket, serta menggunakan instrumen penilaian yang terdiri dari penilaian proses dalam bentuk rubrik dan/atau penilaian hasil dalam bentuk portofolio atau karya disain.</t>
  </si>
  <si>
    <t xml:space="preserve">Terlaksananya penilaian pembelajaran di program studi dengan teknik penilaian yang terdiri dari observasi, partisipasi, unjuk kerja, tes tertulis, tes lisan dan angket, serta menggunakan instrumen penilaian yang terdiri dari penilaian proses dalam bentuk rubrik dan/atau penilaian hasil dalam bentuk portofolio atau karya disain.
</t>
  </si>
  <si>
    <t>Program studi telah melaksanakan penilaian dengan menggunakan teknik penilaian yang terdiri dari observasi, partisipasi, unjuk kerja, tes tertulis, tes lisan dan angket, serta menggunakan instrumen penilaian yang terdiri dari penilaian proses dalam bentuk rubrik dan/atau penilaian hasil dalam bentuk portofolio atau karya disain.</t>
  </si>
  <si>
    <t>Instrumen Penilaian</t>
  </si>
  <si>
    <t>Laporan Monev Pembelajaran</t>
  </si>
  <si>
    <t>Program studi menjamin lebih dari 70% dari jumlah mata kuliah menerapkan metode penilaian yang edukatif, otentik, objektif, akuntabel dan transparan, terintegrasi dan dilengkapi dengan rubrik/portofolio yang memuat unsur-unsur pendokumentasian pelaksanaan proses pembelajaran yang memenuhi SNPT.</t>
  </si>
  <si>
    <t>Program studi telah menjamin lebih dari 70% dari jumlah mata kuliah menerapkan metode penilaian yang edukatif, otentik, objektif, akuntabel dan transparan, terintegrasi dan dilengkapi dengan rubrik/portofolio yang memuat unsur-unsur pendokumentasian pelaksanaan proses pembelajaran yang memenuhi SNPT.</t>
  </si>
  <si>
    <t xml:space="preserve">Terimplementasinya metode penilaian yang edukatif, otentik, objektif, akuntabel dan transparan, terintegrasi dan dilengkapi dengan rubrik/portofolio yang memuat unsur-unsur pendokumentasian pelaksanaan proses pembelajaran yang memenuhi SNPT paling sedikit pada 70% matakuliah program studi.
</t>
  </si>
  <si>
    <t>Program studi telah menganalisis hasil pengukuran kepuasan mahasiswa terhadap proses pendidikan, menindaklanjuti minimal 2 kali setiap semester, serta menggunakannya untuk perbaikan proses pembelajaran dan menunjukkan peningkatan hasil pembelajaran.</t>
  </si>
  <si>
    <t>Terlaksananya analisis hasil survey kepuasan mahasiswa terhadap proses pendidikan dan pembelajaran tiap semester dan hasilnya digunakan untuk peningkatan hasil pembelajaran</t>
  </si>
  <si>
    <t>Laporan survey kepuasan mahasiswa terhadap proses pembelajaran</t>
  </si>
  <si>
    <t>Tingkat kepuasan pengguna</t>
  </si>
  <si>
    <t>Jumlah matakuliah yang dikembangkan dari penelitian/PkM</t>
  </si>
  <si>
    <t>Fakultas/ departemen menyediakan dana dan sarana prasarana yang sangat memadai untuk pelaksanaan semua penelitian dosen dan mahasiswa.</t>
  </si>
  <si>
    <t>Fakultas/ departemen menyediakan dana dan sarana prasarana yang sangat memadai untuk pelaksanaan penelitian dosen dan mahasiswa.</t>
  </si>
  <si>
    <t>Fakultas/ departemen menyediakan dana dan sarana prasarana untuk pelaksanaan penelitian dosen dan mahasiswa.</t>
  </si>
  <si>
    <t>Fakultas/ departemen menyediakan dana untuk pelaksanaan penelitian dosen dan mahasiswa.</t>
  </si>
  <si>
    <t>Fakultas/ departemen tidak menyediakan dana dan sarana prasarana untuk pelaksanaan penelitian dosen dan mahasiswa.</t>
  </si>
  <si>
    <t>Fakultas/ departemen memiliki instrument dan melakukan pengukuran kepuasan peneliti dan mitra penelitian dalam proses penelitian secara konsisten dan berkelanjutan, dan hasilnya telah dianalisis dan digunakan untuk memperbaiki pengelolaan penelitian secara berkala dan tersistem.</t>
  </si>
  <si>
    <t>Fakultas/ departemen memiliki instrumendan melakukan pengukuran kepuasan peneliti dan mitra penelitian dalam proses penelitian secara konsisten dan berkelanjutan, dan hasilnya telah dianalisis tetapi belum dimanfaatkan untuk perbaikan pengelolaan penelitian.</t>
  </si>
  <si>
    <t>Fakultas/ departemen memiliki instrumendan melakukan pengukuran kepuasan peneliti dan mitra penelitian dalam proses penelitian secara konsisten dan berkelanjutan tetapi tidak melakukan analisis.</t>
  </si>
  <si>
    <t>Fakultas/ departemen tidak memiliki instrumendan tidak melakukan pengukuran kepuasan peneliti dan mitra penelitian dalam proses penelitian.</t>
  </si>
  <si>
    <t>Fakultas/ departemen memiliki instrumendan melakukan pengukuran kepuasan peneliti dan mitra penelitian dalam proses penelitian secara insidental.</t>
  </si>
  <si>
    <t>Pengelolaan penelitian di program studi dilaksanakan sesuai dengan tahap penjaminan mutu (PPEPP).</t>
  </si>
  <si>
    <t>Pengelolaan penelitian di program studi dilaksanakan sesuai dengan tahap perencanaan, pelaksanaan, monitoring dan evaluasi, serta pengendalian.</t>
  </si>
  <si>
    <t>Pengelolaan penelitian di program studi dilaksanakan sesuai dengan tahap perencanaan, pelaksanaan, serta monitoring dan evaluasi.</t>
  </si>
  <si>
    <t>Pengelolaan penelitian di program studi dilaksanakan hanya sampai tahap pelaksanaan.</t>
  </si>
  <si>
    <t>Pengelolaan penelitian di program studi tidak dilaksanakan sesuai dengan tahap penjaminan mutu (PPEPP).</t>
  </si>
  <si>
    <t>Program studi memiliki daftar dan dokumentasi semua kegiatan penelitian dosen yang melibatkan mahasiswa dalam 3 tahun terakhir.</t>
  </si>
  <si>
    <t>Program studi memiliki daftar dan dokumentasi semua kegiatan penelitian dosen yang melibatkan mahasiswadalam 2 tahun terakhir.</t>
  </si>
  <si>
    <t>Program studi memiliki daftar dan dokumentasi kegiatan penelitian dosen yang melibatkan mahasiswa dalam 1 tahun terakhir.</t>
  </si>
  <si>
    <t>Program studi tidak memiliki daftar atau dokumentasi kegiatan penelitian dosen yang melibatkan mahasiswa.</t>
  </si>
  <si>
    <t>Program studi memiliki rekap dan bukti terdokumentasi karya dosen yang disitasi dalam 3 tahun terakhir.</t>
  </si>
  <si>
    <t>Program studi memiliki rekap dan bukti terdokumentasi karya dosen yang disitasi selama 2 tahun terakhir.</t>
  </si>
  <si>
    <t>Program studi memiliki rekap dan bukti terdokumentasi karya dosen yang disitasi dalam 1 tahun terakhir.</t>
  </si>
  <si>
    <t>Program studi tidak memiliki rekap atau bukti terdokumentasi karya dosen.</t>
  </si>
  <si>
    <t>Program studi menghasilkan dan mendokumentasikan penelitian dasar dan terapan yang memuat prinsip-prinsip kemanfaatan, kemutakhiran dan mengantisipasi kebutuhan di masa mendatang yang layak untuk dipublikasikan pada tingkat internasional.</t>
  </si>
  <si>
    <t>Program studi menghasilkan dan mendokumentasikan penelitian dasar dan terapan yang memuat prinsip-prinsip kemanfaatan, kemutakhiran dan mengantisipasi kebutuhan di masa mendatang yang layak untuk dipublikasikan pada tingkat nasional.</t>
  </si>
  <si>
    <t>Program studi menghasilkan dan mendokumentasikan penelitian dasar dan terapan yang memuat prinsip-prinsip kemanfaatan, kemutakhiran dan mengantisipasi kebutuhan di masa mendatang.</t>
  </si>
  <si>
    <t>Program studi menghasilkan dan mendokumentasikan penelitian dasar dan terapan yang memuat prinsip-prinsip kemanfaatan dan kemutakhiran.</t>
  </si>
  <si>
    <t>Program studi tidak menghasilkan dan mendokumentasikan penelitian dasar dan terapan.</t>
  </si>
  <si>
    <t>Fakultas/ departemen memenuhi 4 unsur relevansi penelitian dosen dan mahasiswa</t>
  </si>
  <si>
    <t>Fakultas/ departemen memenuhi unsur 1, 2, dan 3 relevansi penelitian dosen dan mahasiswa.</t>
  </si>
  <si>
    <t>Fakultas/ departemen memenuhi unsur 1 dan 2 relevansi penelitian dosen dan mahasiswa.</t>
  </si>
  <si>
    <t>Fakultas/ departemen memenuhi unsur pertama namun penelitian dosen dan mahasiswa tidak sesuai dengan peta jalan.</t>
  </si>
  <si>
    <t>Fakultas/ departemen tidak mempunyai peta jalan penelitian dosen dan mahasiswa.</t>
  </si>
  <si>
    <t xml:space="preserve">Relevansi penelitian pada fakultas/ departemen mencakup:
1. Memiliki peta jalan yang memayungi tema penelitian dosen dan mahasiswa,
2. Penelitian dosen &amp; mahasiswa  sesuai dengan  agenda dosen yang merujuk pada peta jalan penelitian,
3. Melakukan evaluasi kesesuaian penelitian dengan peta jalan penelitian serta
4. Menggunakan hasil evaluasi untuk perbaikan relevansi penelitian &amp; pengembangan keilmuan program studi
</t>
  </si>
  <si>
    <t>Program studi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</si>
  <si>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Program studi memiliki rekap dan bukti terdokumentasi karya dosen tetap Program studi yang disitasi setiap tahun</t>
  </si>
  <si>
    <t>Program studi mendokumentasikan secara baik semua kegiatan penelitian dosen yang melibatkan mahasiswa setiap tahun</t>
  </si>
  <si>
    <t>Program studi melaksanakan penjaminan mutu (PPEPP) terhadap pengelolaan penelitian program studi.</t>
  </si>
  <si>
    <t>Fakultas/ departemen memiliki instrumen dan menjamin keterlaksanaan pengukuran kepuasan peneliti dan mitra penelitian dalam proses penelitian secara konsisten dan berkelanjutan, dan hasilnya telah dianalisis dan digunakan untuk memperbaiki pengelolaan penelitian secara berkala dan tersistem.</t>
  </si>
  <si>
    <t>Fakultas/ departemen menyediakan dana dan sarana prasarana yang sangat memadai untuk pelaksanaan penelitian dosen dan mahasiswa, untuk menjamin semua proposal penelitian dapat dilaksanakan.</t>
  </si>
  <si>
    <t>Fakultas/ departemen telah menyediakan dana dan sarana prasarana yang sangat memadai untuk pelaksanaan penelitian dosen dan mahasiswa, untuk menjamin semua proposal penelitian dapat dilaksanakan.</t>
  </si>
  <si>
    <t>Fakultas/ departemen telah memiliki instrumen dan menjamin keterlaksanaan pengukuran kepuasan peneliti dan mitra penelitian dalam proses penelitian secara konsisten dan berkelanjutan, dan hasilnya telah dianalisis dan digunakan untuk memperbaiki pengelolaan penelitian secara berkala dan tersistem.</t>
  </si>
  <si>
    <t>Program studi telah melaksanakan penjaminan mutu (PPEPP) terhadap pengelolaan penelitian program studi.</t>
  </si>
  <si>
    <t>Program studi telah mendokumentasikan secara baik semua kegiatan penelitian dosen yang melibatkan mahasiswa setiap tahun</t>
  </si>
  <si>
    <t>Program studi telah memiliki rekap dan bukti terdokumentasi karya dosen tetap Program studi yang disitasi setiap tahun</t>
  </si>
  <si>
    <t>Program studi telah menghasilkan dan mendokumentasikan penelitian dasar dan terapan yang memiliki manfaat teoritis dan praktis, memuat prinsip-prinsip kemanfaatan, kemutakhiran dan mengantisipasi kebutuhan di masa mendatang yang layak untuk dipublikasikan pada tingkat nasional dan internasional.</t>
  </si>
  <si>
    <t>Peta jalan penelitian; Laporan penelitian dosen program studi; Laporan monev peta jalan penelitian; Formulir tindak lanjut monev peta jalan penelitian.</t>
  </si>
  <si>
    <t>Peta jalan penelitian; Laporan penelitian dosen.</t>
  </si>
  <si>
    <t>Rekap sitasi dosen; Bukti sitasi dosen.</t>
  </si>
  <si>
    <t>Rekap judul dan laporan penelitian dosen bersama mahasiswa</t>
  </si>
  <si>
    <t>Dokumen SPMI; Bukti upaya pencapaian standar, Laporan AMI; Formulir tindak lanjut AMI; Bukti peningkatan standar</t>
  </si>
  <si>
    <t>Instrumen survey kepuasan peneliti dan mitra penelitian terhadap pengelolaan penelitian; Laporan survey kepuasan peneliti dan mitra penelitian terhadap pengelolaan penelitian; Formulir tindak lanjut survey kepuasan peneliti dan mitra penelitian terhadap pengelolaan penelitian.</t>
  </si>
  <si>
    <t>Rencana anggaran pengadaan sarana prasarana penelitian; Realisasi pengadaan sarana prasarana penelitian; Rekap sarana prasrana penelitian.</t>
  </si>
  <si>
    <t>Fakultas/ departemen memenuhi 4 unsur relevansi PkM dosen dan mahasiswa</t>
  </si>
  <si>
    <t>Fakultas/ departemen memenuhi unsur 1, 2, dan 3 relevansi PkM dosen dan mahasiswa.</t>
  </si>
  <si>
    <t>Fakultas/ departemen memenuhi unsur 1 dan 2 relevansi PkM dosen dan mahasiswa.</t>
  </si>
  <si>
    <t>Fakultas/ departemen memenuhi unsur pertama namun PkM dosen dan mahasiswa tidak sesuai dengan peta jalan.</t>
  </si>
  <si>
    <t>Fakultas/ departemen tidak mempunyai peta jalan PkM dosen dan mahasiswa.</t>
  </si>
  <si>
    <t>Program studi menghasilkan dan mendokumentasikan PkM yang memuat prinsip kemanfaatan, kemutakhiran dan mengantisipasi kebutuhan di masa mendatang yang layak untuk dipublikasikan pada tingkat nasional dan internasional.</t>
  </si>
  <si>
    <t>Program studi telah menghasilkan dan mendokumentasikan PkM yang memuat prinsip kemanfaatan, kemutakhiran dan mengantisipasi kebutuhan di masa mendatang yang layak untuk dipublikasikan pada tingkat nasional dan internasional.</t>
  </si>
  <si>
    <t>Fakultas/ departemen menyediakan sarana prasarana yang sangat memadai untuk menjamin terlaksananya semua PkM dosen dan mahasiswa.</t>
  </si>
  <si>
    <t>Fakultas/ departemen menyediakan sarana prasarana yang memadai untuk menjamin terlaksananya PkM dosen dan mahasiswa.</t>
  </si>
  <si>
    <t>Fakultas/ departemen menyediakan sarana prasarana untuk menjamin terlaksananya PkM dosen dan mahasiswa.</t>
  </si>
  <si>
    <t>Fakultas/ departemen menyediakan sarana prasarana untuk menjamin terlaksananya PkM dosen.</t>
  </si>
  <si>
    <t>Fakultas/ departemen tidak menyediakan sarana prasarana yang memadai untuk menjamin terlaksananya PkM dosen dan mahasiswa.</t>
  </si>
  <si>
    <t>Fakultas/ departemen menyediakan sarana prasarana yang sangat memadai untuk pelaksanaan PkM dosen dan mahasiswa.</t>
  </si>
  <si>
    <t>Fakultas/ departemen telah menyediakan sarana prasarana yang sangat memadai untuk pelaksanaan PkM dosen dan mahasiswa.</t>
  </si>
  <si>
    <t>Tidak ada nilai kurang dari 3</t>
  </si>
  <si>
    <t>Program studimemiliki dosen yang memiliki kemampuan dan kualifikasi yang memenuhi semua persyaratan dalam melaksanakan kegiatan PkM, dengan dana internal dan eksternal UKSW.</t>
  </si>
  <si>
    <t>Program studimemiliki dosen yang memiliki kemampuan dan kualifikasi yang memenuhi persyaratan dalam melaksanakan kegiatan PkM, internal atau eksternal UKSW.</t>
  </si>
  <si>
    <t>Program studi memiliki dosen yang memiliki kemampuan dan kualifikasi yang memenuhi berbagai persyaratan dalam melaksanakan kegiatan PkM, dengan dana internal maupun eksternal UKSW.</t>
  </si>
  <si>
    <t>Program studi telah memiliki dosen yang memiliki kemampuan dan kualifikasi yang memenuhi berbagai persyaratan dalam melaksanakan kegiatan PkM, dengan dana internal maupun eksternal UKSW.</t>
  </si>
  <si>
    <t>Fakultas/ departemen menyediakan dana yang memadai untuk menjamin terlaksananya semua PkM dosen dan mahasiswa.</t>
  </si>
  <si>
    <t>Fakultas/ departemen menyediakan dana yang memadai untuk menjamin terlaksananya PkM dosen dan mahasiswa.</t>
  </si>
  <si>
    <t>Fakultas/ departemen menyediakan dana untuk menjamin terlaksananya PkM dosen dan mahasiswa.</t>
  </si>
  <si>
    <t>Fakultas/ departemen menyediakan dana untuk menjamin terlaksananya PkM dosen.</t>
  </si>
  <si>
    <t>Fakultas/ departemen tidak menyediakan dana yang memadai untuk menjamin terlaksananya PkM dosen dan mahasiswa.</t>
  </si>
  <si>
    <t>Fakultas/ departemen menyediakan dana yang sangat memadai untuk pelaksanaan PkM dosen dan/atau mahasiswa serta pendanaan PkM dengan mitra eksternal untuk menjamin semua PkM dapat dilaksanakan.</t>
  </si>
  <si>
    <t>Fakultas/ departemen telah menyediakan dana yang sangat memadai untuk pelaksanaan PkM dosen dan/atau mahasiswa serta pendanaan PkM dengan mitra eksternal untuk menjamin semua PkM dapat dilaksanakan.</t>
  </si>
  <si>
    <t>Fakultas/ departemen melakukan pengukuran kepuasan pelaksanaan PkM bagi pelaksanadan mitra serta hasilnya telah dianalisis dan digunakan untuk memperbaiki pengelolaan PkM secara konsisten, berkala dan tersistem.</t>
  </si>
  <si>
    <t>Fakultas/ departemen melakukan pengukuran kepuasan pelaksanaan PkM bagi pelaksanadan mitra serta hasilnya telah dianalisis dan digunakan untuk memperbaiki pengelolaan PkM secara konsisten dan berkala.</t>
  </si>
  <si>
    <t>Fakultas/ departemen melakukan pengukuran kepuasan pelaksanaan PkM bagi pelaksanadan mitra serta hasilnya telah dianalisis dan digunakan untuk memperbaiki pengelolaan PkM secara konsisten.</t>
  </si>
  <si>
    <t>Fakultas/ departemen melakukan pengukuran kepuasan pelaksanaan PkM bagi pelaksanadan mitra serta hasilnya telah dianalisis dan digunakan untuk memperbaiki pengelolaan PkM.</t>
  </si>
  <si>
    <t>Fakultas/ departemen melakukan pengukuran kepuasan pelaksanaan PkM bagi pelaksanadan mitra.</t>
  </si>
  <si>
    <t>Fakultas/ departemen memiliki instrumen dan menjamin keterlaksanaan pengukuran kepuasan pengguna proses PkM (pelaksana dan mitra PkM) secara konsisten dan berkelanjutan, dan hasilnya telah dianalisis dan digunakan untuk memperbaiki pengelolaan PkM secara konsisten, berkala dan tersistem.</t>
  </si>
  <si>
    <t>Fakultas/ departemen telah memiliki instrumen dan menjamin keterlaksanaan pengukuran kepuasan pengguna proses PkM (pelaksana dan mitra PkM) secara konsisten dan berkelanjutan, dan hasilnya telah dianalisis dan digunakan untuk memperbaiki pengelolaan PkM secara konsisten, berkala dan tersistem.</t>
  </si>
  <si>
    <t>Pengelolaan PkM di Fakultas/ departemen dilaksanakan sesuai dengan tahap perencanaan, pelaksanaan, monitoring dan evaluasi, pengendalian, dan peningkatan.</t>
  </si>
  <si>
    <t>Pengelolaan PkM di Fakultas/ departemen dilaksanakan sesuai dengan tahap perencanaan, pelaksanaan, monitoring dan evaluasi, dan pengendalian.</t>
  </si>
  <si>
    <t>Pengelolaan PkM di Fakultas/ departemen dilaksanakan sesuai dengan tahap perencanaan, pelaksanaan, dan monitoring dan evaluasi.</t>
  </si>
  <si>
    <t>Pengelolaan PkM di Fakultas/ departemen dilaksanakan hanya sampai tahap pelaksanaan.</t>
  </si>
  <si>
    <t>Pengelolaan PkM di Fakultas/ departemen tidak dilaksanakan sesuai dengan tahap penjaminan mutu (PPEPP).</t>
  </si>
  <si>
    <t xml:space="preserve">Fakultas/ departemen melaksanakan penjaminan mutu (PPEPP) terhadap pengelolaan PkM </t>
  </si>
  <si>
    <t xml:space="preserve">Fakultas/ departemen telah melaksanakan penjaminan mutu (PPEPP) terhadap pengelolaan PkM </t>
  </si>
  <si>
    <t>Program studi mendokumentasikan hasil PkM yang bermanfaat, mutakhir dan berorientasi pada kebutuhan masa datang, yang telah dipublikasikan pada tingkat nasional dan internasional.</t>
  </si>
  <si>
    <t>Program studi mendokumentasikan hasil PkM yang bermanfaat, mutakhir dan berorientasi pada kebutuhan masa datang, yang telah dipublikasikan pada tingkat nasional.</t>
  </si>
  <si>
    <t>Program studi mendokumentasikan hasil PkM yang bermanfaat, mutakhir dan berorientasi pada kebutuhan masa datang,yang telah dipublikasikan pada tingkat lokal.</t>
  </si>
  <si>
    <t>Program studi mendokumentasikan hasil PkM yang bermanfaat, mutakhir dan berorientasi pada kebutuhan masa datang, tetapi belum dipublikasikan.</t>
  </si>
  <si>
    <t>Program studi tidak mendokumentasikan hasil PkM.</t>
  </si>
  <si>
    <t xml:space="preserve">Relevansi PkM pada Fakultas/ departemen mencakup unsur-unsur sebagai berikut:
1. Memiliki peta jalan yang memayungi tema PkM dosen dan mahasiswa serta hilirisasi/penerapan keilmuan program studi,
2. Dosen dan mahasiswa melaksanakan PkM sesuai dengan peta jalan PkM,
3. Melakukan evaluasi kesesuaian PkM dosen dan mahasiswa dengan peta jalan, dan
4. Menggunakan hasil evaluasi untuk perbaikan relevansi PkM dan pengembangan keilmuan program studi.
</t>
  </si>
  <si>
    <t>Peta jalan PKM; Laporan PKM dosen dan mahasiswa; Laporan monev kesesuaian PKM dosen dan mahasiswa dengan peta jalan PKM; dan Formulir tindak lanjut hasil monev kesesuaian PKM dosen dan mahasiswa dengan peta jalan PKM.</t>
  </si>
  <si>
    <t>Rekap dan bukti PKM dosen dan mahasiswa</t>
  </si>
  <si>
    <t>Program studi melibatkan mahasiswa dalam kegiatan PkM dalam 3 tahun terakhir.</t>
  </si>
  <si>
    <t>Program studi telah melibatkan mahasiswa dalam kegiatan PkM dalam 3 tahun terakhir.</t>
  </si>
  <si>
    <t>Program studi telah melibatkan mahasiswa dalam kegiatan PkM dalam 3 tahun terakhir, minimal untuk 25% PKM yang dilakukan dosen</t>
  </si>
  <si>
    <t>Rekap dan bukti PKM dosen yang melibatkan mahasiswa</t>
  </si>
  <si>
    <t>Jumlah keseluruhan PKM dosen</t>
  </si>
  <si>
    <t>Jumlah PKM dosen yang melibatkan mahasiswa</t>
  </si>
  <si>
    <t>Persentase</t>
  </si>
  <si>
    <t>Analisis capaian pembelajaran lulusan memenuhi 3 aspek, antara lain aspek keserbacukupan, kedalaman, dan kebermanfaatan analisis yang ditujukkan dengan peningkatan CPL dalam 3 tahun terakhir.</t>
  </si>
  <si>
    <t>Analisis capaian pembelajaran lulusan memenuhi 2 aspek diantara aspek keserbacukupan, kedalaman, dan kebermanfaatan analisis.</t>
  </si>
  <si>
    <t>Analisis capaian pembelajaran lulusan memenuhi 1 aspek diantara aspek keserbacukupan, kedalaman, dan kebermanfaatan analisis.</t>
  </si>
  <si>
    <t>Analisis capaian pembelajaran lulusan tidak memenuhi ketiga aspek diantara aspek keserbacukupan, kedalaman, dan kebermanfaatan analisis.</t>
  </si>
  <si>
    <t>Tidak dilakukan analisis capaian pembelajaran lulusan.</t>
  </si>
  <si>
    <t>Rata-rata IPK lulusan (TS)</t>
  </si>
  <si>
    <t>Rata-rata IPK lulusan (TS-1)</t>
  </si>
  <si>
    <t>Rata-rata IPK lulusan (TS-2)</t>
  </si>
  <si>
    <t>Rata-rata IPK</t>
  </si>
  <si>
    <t>Jumlah Mahasiswa pada saat TS</t>
  </si>
  <si>
    <t>Jumlah prestasi akademik internasional (NI)</t>
  </si>
  <si>
    <t>Jumlah prestasi akademik nasional (NN)</t>
  </si>
  <si>
    <t>Jumlah prestasi akademik wilayah/lokal (NW)</t>
  </si>
  <si>
    <t>Faktor a</t>
  </si>
  <si>
    <t>Faktor b</t>
  </si>
  <si>
    <t>Faktor c</t>
  </si>
  <si>
    <t>RI</t>
  </si>
  <si>
    <t>RN</t>
  </si>
  <si>
    <t>RW</t>
  </si>
  <si>
    <t>Jumlah prestasi nonakademik internasional (NI)</t>
  </si>
  <si>
    <t>Jumlah prestasi nonakademik nasional (NN)</t>
  </si>
  <si>
    <t>Jumlah prestasi nonakademik wilayah/lokal (NW)</t>
  </si>
  <si>
    <t>Jumlah Total Mahasiswa</t>
  </si>
  <si>
    <t>Jumlah Mahasiswa Lulus dengan masa studi 3.5 s.d 4.5</t>
  </si>
  <si>
    <t>Jumlah Mahasiswa Lulus dengan masa studi 3 s.d 3.5</t>
  </si>
  <si>
    <t>Jumlah Mahasiswa Lulus dengan masa studi 4.5 s.d 7</t>
  </si>
  <si>
    <t>Rata-rata Masa Studi (TS)</t>
  </si>
  <si>
    <t>Prosentase Mahasiswa Lulus dengan masa studi 3.5 s.d 4.5</t>
  </si>
  <si>
    <t>Prosentase Mahasiswa Lulus dengan masa studi 3 s.d 3.5</t>
  </si>
  <si>
    <t>Prosentase Mahasiswa Lulus dengan masa studi 4.5 s.d 7</t>
  </si>
  <si>
    <t>Program studi mencapai persentase kelulusan tepat waktu minimal 50%.</t>
  </si>
  <si>
    <t>Program studi mencapai persentase keberhasilan studi minimal 85% dari total seluruh mahasiswa.</t>
  </si>
  <si>
    <t>Jumlah Mahasiswa Lulus</t>
  </si>
  <si>
    <t>Persentase Keberhasilan Studi</t>
  </si>
  <si>
    <t>Fakultas/ departemen melakukan tracer study yang telah mencakup 5 aspek berikut:
1. Tracer study terkoordinasi di tingkat PT
2. Dilakukan berkala setiap tahun dan terdokumentasi
3. Pertanyaan mencakup pertanyaan inti tracer study DIKTI
4. Ditargetkan pada seluruh populasi (lulusan TS-2 s.d. TS-4)
5. Hasilnya disosialisasikan dan digunakan untuk pengembangan kurikulum untuk pengembangan kurikulum dan pembelajaran.</t>
  </si>
  <si>
    <t>Tracer study yang dilakukan program studidan fakultas telah mencakup 5 aspek yang ditetapkan BAN PT.</t>
  </si>
  <si>
    <t>Tracer study yang dilakukan program studidan fakultas telah mencakup aspek 1-4 dari 5 aspek yang ditetapkan BAN PT.</t>
  </si>
  <si>
    <t>Waktu tunggu lulusan mendapat pekerjaan yang relevan dengan bidang studi (bulan)</t>
  </si>
  <si>
    <t>Jumlah Lulusan</t>
  </si>
  <si>
    <t>Jumlah Lulusan yang dapat pekerjaan sesuai bidang studi</t>
  </si>
  <si>
    <t>PBS</t>
  </si>
  <si>
    <t>Lulusan program studi bekerja pada perusahaan tingkat internasional, nasional, lokal, berwirausaha dengan izin usaha, atau berwirausaha tanpa izin usaha.</t>
  </si>
  <si>
    <t>EVALUASI 1.9.13</t>
  </si>
  <si>
    <t>Jumlah Lulusan (NL)</t>
  </si>
  <si>
    <t>Jumlah Lulusan yang bekerja di badan usaha tingkat multi nasional/internasional (NI)</t>
  </si>
  <si>
    <t>Jumlah Lulusan yang bekerja di badan usaha tingkat nasional atau berwirausaha yang berizin (NN)</t>
  </si>
  <si>
    <t>Jumlah Lulusan yang bekerja di badan usaha tingkat wilayah/lokal atau berwirausaha tidak berizin (NW)</t>
  </si>
  <si>
    <t>1.9.12</t>
  </si>
  <si>
    <t>Pengguna lulusan mencapai tingkat kepuasan minimal 75% untuk ketujuh aspek penilaian kinerja lulusan.</t>
  </si>
  <si>
    <t>Pengguna lulusan mencapai tingkat kepuasan antara 50% hingga 75% untuk ketujuh aspek penilaian kinerja lulusan.</t>
  </si>
  <si>
    <t>Pengguna lulusan mencapai tingkat kepuasan antara 25% hingga 50% untuk ketujuh aspek penilaian kinerja lulusan.</t>
  </si>
  <si>
    <t>Tidak ada nilai di bawah 2</t>
  </si>
  <si>
    <t>1.9.13</t>
  </si>
  <si>
    <t>Program studi memiliki publikasi ilmiah mahasiswa, yang dihasilkan secara mandiri atau bersama dosen tetap program studi (DTPS), dengan judul yang relevan dengan bidang program studi dalam 3 tahun terakhir.</t>
  </si>
  <si>
    <t>Jumlah mahasiswa pada saat TS (NM)</t>
  </si>
  <si>
    <t>Jumlah publikasi mahasiswa di jurnal nasional tidak terakreditasi (NA1)</t>
  </si>
  <si>
    <t>Jumlah publikasi mahasiswa di jurnal nasional terakreditasi (NA2)</t>
  </si>
  <si>
    <t>Jumlah publikasi mahasiswa di jurnal internasional (NA3)</t>
  </si>
  <si>
    <t>Jumlah publikasi mahasiswa di jurnal internasional bereputasi (NA4)</t>
  </si>
  <si>
    <t>Jumlah publikasi mahasiswa di seminar wilayah/lokal/PT (NB1)</t>
  </si>
  <si>
    <t>Jumlah publikasi mahasiswa di seminar nasional (NB2)</t>
  </si>
  <si>
    <t>Jumlah publikasi mahasiswa di seminar internasional (NB3)</t>
  </si>
  <si>
    <t>Jumlah tulisan mahasiswa di media massa wilayah (NC1)</t>
  </si>
  <si>
    <t>Jumlah tulisan mahasiswa di media massa nasional (NC2)</t>
  </si>
  <si>
    <t>Jumlah tulisan mahasiswa di media massa internasional (NC3)</t>
  </si>
  <si>
    <t>RL</t>
  </si>
  <si>
    <t>1.9.14</t>
  </si>
  <si>
    <t>Program studi memiliki luaran penelitian dan PkM lain yang dihasilkan mahasiswa, baik secara mandiri atau bersama-sama dengan dosen tetap program studi (DTPS) dalam 3 tahun terakhir.</t>
  </si>
  <si>
    <t>Jumlah luaran penelitian/PkM mahasiswa yang mendapat pengakuan HKI (Paten, Paten Sederhana) (NA)</t>
  </si>
  <si>
    <t>Jumlah luaran penelitian/PkM mahasiswa yang mendapat pengakuan HKI (Hak Cipta, Desain Produk Industri, Perlindungan Varietas Tanaman, Desain Tata Letak Sirkuit Terpadu, dll.) (NB)</t>
  </si>
  <si>
    <t>Jumlah luaran penelitian/PkM mahasiswa dalam bentuk Teknologi Tepat Guna, Produk (Produk Terstandarisasi, Produk Tersertifikasi), Karya Seni, Rekayasa Sosial (NC)</t>
  </si>
  <si>
    <t>Jumlah luaran penelitian/PkM mahasiswa yang diterbitkan dalam bentuk Buku ber-ISBN, Book Chapter (ND)</t>
  </si>
  <si>
    <t>NLP</t>
  </si>
  <si>
    <t>Program studi melakukan analisis pemenuhan Capaian Pembelajaran Lulusan (CPL) yang diukur dengan metode yang sahih dan relevan terkait dengan  keserbacukupan, kedalaman, dan kebermanfaatan analisis yang ditujukkan dengan peningkatan CPL dalam 3 tahun terakhir</t>
  </si>
  <si>
    <t>Program studi telah melakukan analisis pemenuhan Capaian Pembelajaran Lulusan (CPL) yang diukur dengan metode yang sahih dan relevan terkait dengan  keserbacukupan, kedalaman, dan kebermanfaatan analisis yang ditujukkan dengan peningkatan CPL dalam 3 tahun terakhir</t>
  </si>
  <si>
    <t>Program studi menghasilkan lulusan dengan IPK rata-rata minimal 3,25 dalam 3 tahun terakhir</t>
  </si>
  <si>
    <t>Program studi menghasilkan mahasiswa yang memiliki prestasi akademik dalam 3 tahun terakhir.</t>
  </si>
  <si>
    <t>Terdapat mahasiswa prodi yang memiliki prestasi akademik dalam jumlah yang memadai</t>
  </si>
  <si>
    <t>Program studi telah menghasilkan mahasiswa yang memiliki prestasi akademik dalam 3 tahun terakhir.</t>
  </si>
  <si>
    <t>Program studi menghasilkan mahasiswa yang memiliki prestasi non akademik dalam 3 tahun terakhir.</t>
  </si>
  <si>
    <t>Program studi telah menghasilkan mahasiswa yang memiliki prestasi non akademik dalam 3 tahun terakhir.</t>
  </si>
  <si>
    <t>Terdapat mahasiswa prodi yang memiliki prestasi non akademik dalam jumlah yang memadai</t>
  </si>
  <si>
    <t>Program studi menghasilkan lulusan dengan masa studi tepat waktu antara 3,5 hingga 4,5 tahun, minimal 50% dari keseluruhan jumlah lulusan.</t>
  </si>
  <si>
    <t>Program studi telah menghasilkan lulusan dengan masa studi tepat waktu antara 3,5 hingga 4,5 tahun, minimal 50% dari keseluruhan jumlah lulusan.</t>
  </si>
  <si>
    <t>Tracer study yang dilakukan program studidan fakultas telah mencakup aspek 1-3 dari 5 aspek yang ditetapkan BAN PT.</t>
  </si>
  <si>
    <t>Tracer study yang dilakukan program studidan fakultas telah mencakup aspek 1-2 dari 5 aspek yang ditetapkan BAN PT.</t>
  </si>
  <si>
    <t>Program studitidak melaksanakan tracer study.</t>
  </si>
  <si>
    <t>Terpenuhinya target agar lulusan program studi bekerja pada perusahaan tingkat internasional, nasional, lokal, berwirausaha dengan izin usaha, atau berwirausaha tanpa izin usaha.</t>
  </si>
  <si>
    <t>EVALUASI 1.9.11</t>
  </si>
  <si>
    <t>Program studi telah memiliki publikasi ilmiah mahasiswa, yang dihasilkan secara mandiri atau bersama dosen tetap program studi (DTPS), dengan judul yang relevan dengan bidang program studi dalam 3 tahun terakhir dalam jumlah yang memadai.</t>
  </si>
  <si>
    <t>Program studi telah memiliki publikasi ilmiah mahasiswa, yang dihasilkan secara mandiri atau bersama dosen tetap program studi (DTPS), dengan judul yang relevan dengan bidang program studi dalam 3 tahun terakhir.</t>
  </si>
  <si>
    <t>Data publikasi ilmiah mahasiswa, baik secara mandiri maupun bersama dosen</t>
  </si>
  <si>
    <t>Program studi telah memiliki luaran penelitian dan PkM lain yang dihasilkan mahasiswa, baik secara mandiri atau bersama-sama dengan dosen tetap program studi (DTPS) dalam 3 tahun terakhir.</t>
  </si>
  <si>
    <t>Data luaran PKM mahasiswa secara mandiri dan bersama dengan dosen.</t>
  </si>
  <si>
    <t>EVALUASI 1.9.14</t>
  </si>
  <si>
    <t>EVALUASI 1.9.1</t>
  </si>
  <si>
    <t>EVALUASI 1.9.2</t>
  </si>
  <si>
    <t>EVALUASI 1.9.3</t>
  </si>
  <si>
    <t>EVALUASI 1.9.4</t>
  </si>
  <si>
    <t>EVALUASI 1.9.5</t>
  </si>
  <si>
    <t>EVALUASI 1.9.6</t>
  </si>
  <si>
    <t>EVALUASI 1.9.7</t>
  </si>
  <si>
    <t>EVALUASI 1.9.8</t>
  </si>
  <si>
    <t>EVALUASI 1.9.9</t>
  </si>
  <si>
    <t>EVALUASI 1.9.10</t>
  </si>
  <si>
    <t>EVALUASI 1.9.12</t>
  </si>
  <si>
    <t>Rekomendasi dari auditor internal adalah...</t>
  </si>
  <si>
    <t>Rekomendasi dari auditor internal adalah…</t>
  </si>
  <si>
    <t>EVALUASI 1.6.1</t>
  </si>
  <si>
    <t>EVALUASI 1.6.2</t>
  </si>
  <si>
    <t>EVALUASI 1.6.3</t>
  </si>
  <si>
    <t>EVALUASI 1.6.4</t>
  </si>
  <si>
    <t>EVALUASI 1.6.5</t>
  </si>
  <si>
    <t>EVALUASI 1.6.6</t>
  </si>
  <si>
    <t>EVALUASI 1.6.7</t>
  </si>
  <si>
    <t>EVALUASI 1.6.8</t>
  </si>
  <si>
    <t>EVALUASI 1.6.9</t>
  </si>
  <si>
    <t>EVALUASI 1.6.10</t>
  </si>
  <si>
    <t>EVALUASI 1.6.11</t>
  </si>
  <si>
    <t>EVALUASI 1.6.12</t>
  </si>
  <si>
    <t>EVALUASI 1.6.13</t>
  </si>
  <si>
    <t>EVALUASI 1.6.14</t>
  </si>
  <si>
    <t>EVALUASI 1.6.15</t>
  </si>
  <si>
    <t>EVALUASI 1.6.16</t>
  </si>
  <si>
    <t>EVALUASI 1.6.17</t>
  </si>
  <si>
    <t>EVALUASI 1.7.1</t>
  </si>
  <si>
    <t>EVALUASI 1.7.2</t>
  </si>
  <si>
    <t>EVALUASI 1.7.3</t>
  </si>
  <si>
    <t>EVALUASI 1.7.4</t>
  </si>
  <si>
    <t>EVALUASI 1.7.5</t>
  </si>
  <si>
    <t>EVALUASI 1.7.6</t>
  </si>
  <si>
    <t>EVALUASI 1.7.7</t>
  </si>
  <si>
    <t>EVALUASI 1.8.1</t>
  </si>
  <si>
    <t>EVALUASI 1.8.2</t>
  </si>
  <si>
    <t>EVALUASI 1.8.3</t>
  </si>
  <si>
    <t>EVALUASI 1.8.4</t>
  </si>
  <si>
    <t>EVALUASI 1.8.5</t>
  </si>
  <si>
    <t>EVALUASI 1.8.6</t>
  </si>
  <si>
    <t>EVALUASI 1.8.7</t>
  </si>
  <si>
    <t>EVALUASI 1.8.8</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</si>
</sst>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1"/>
      <color rgb="FFFF0000"/>
      <name val="Calibri"/>
      <family val="2"/>
      <scheme val="minor"/>
    </font>
    <font>
      <b/>
      <sz val="11"/>
      <color theme="1"/>
      <name val="Calibri"/>
      <family val="2"/>
      <scheme val="minor"/>
    </font>
    <font>
      <b/>
      <sz val="44"/>
      <color theme="1"/>
      <name val="Calibri"/>
      <family val="2"/>
      <scheme val="minor"/>
    </font>
    <font>
      <sz val="11"/>
      <color theme="1"/>
      <name val="Calibri"/>
      <family val="2"/>
      <scheme val="minor"/>
    </font>
    <font>
      <b/>
      <vertAlign val="superscript"/>
      <sz val="11"/>
      <color theme="1"/>
      <name val="Calibri"/>
      <family val="2"/>
      <scheme val="minor"/>
    </font>
    <font>
      <sz val="22"/>
      <color theme="1"/>
      <name val="Calibri"/>
      <family val="2"/>
      <scheme val="minor"/>
    </font>
    <font>
      <sz val="11"/>
      <color rgb="FF000000"/>
      <name val="Calibri"/>
      <family val="2"/>
      <scheme val="minor"/>
    </font>
    <font>
      <b/>
      <sz val="22"/>
      <color theme="1"/>
      <name val="Calibri"/>
      <family val="2"/>
      <scheme val="minor"/>
    </font>
    <font>
      <b/>
      <sz val="20"/>
      <color theme="1"/>
      <name val="Calibri"/>
      <family val="2"/>
      <scheme val="minor"/>
    </font>
    <font>
      <sz val="10"/>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3" tint="0.59999389629810485"/>
        <bgColor indexed="64"/>
      </patternFill>
    </fill>
    <fill>
      <patternFill patternType="solid">
        <fgColor rgb="FFD9D9D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9" fontId="4" fillId="0" borderId="0" applyFont="0" applyFill="0" applyBorder="0" applyAlignment="0" applyProtection="0"/>
  </cellStyleXfs>
  <cellXfs count="160">
    <xf numFmtId="0" fontId="0" fillId="0" borderId="0" xfId="0"/>
    <xf numFmtId="0" fontId="0" fillId="0" borderId="0" xfId="0" applyAlignment="1">
      <alignment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0" borderId="0" xfId="0" applyAlignment="1">
      <alignment horizontal="center" vertical="center"/>
    </xf>
    <xf numFmtId="0" fontId="0" fillId="0" borderId="0" xfId="0" applyBorder="1" applyAlignment="1">
      <alignment horizontal="center" vertical="center"/>
    </xf>
    <xf numFmtId="0" fontId="0" fillId="0" borderId="1" xfId="0" applyBorder="1" applyAlignment="1">
      <alignment horizontal="left" vertical="top" wrapText="1"/>
    </xf>
    <xf numFmtId="0" fontId="3" fillId="0" borderId="0" xfId="0" applyFont="1" applyAlignment="1">
      <alignment horizontal="left"/>
    </xf>
    <xf numFmtId="0" fontId="0" fillId="0" borderId="1" xfId="0" applyBorder="1" applyAlignment="1">
      <alignment horizontal="left" vertical="top" wrapText="1"/>
    </xf>
    <xf numFmtId="0" fontId="0" fillId="0" borderId="0" xfId="0" applyFont="1"/>
    <xf numFmtId="0" fontId="0" fillId="0" borderId="1" xfId="0" applyBorder="1" applyAlignment="1">
      <alignment wrapText="1"/>
    </xf>
    <xf numFmtId="0" fontId="0" fillId="0" borderId="0" xfId="0" applyBorder="1" applyAlignment="1">
      <alignment wrapText="1"/>
    </xf>
    <xf numFmtId="0" fontId="0" fillId="0" borderId="6" xfId="0" applyBorder="1" applyAlignment="1">
      <alignment wrapText="1"/>
    </xf>
    <xf numFmtId="0" fontId="0" fillId="0" borderId="1" xfId="0" applyFont="1" applyBorder="1" applyAlignment="1">
      <alignment horizontal="justify" vertical="top"/>
    </xf>
    <xf numFmtId="0" fontId="0"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0" fillId="5" borderId="6"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2" borderId="1" xfId="0" applyFont="1" applyFill="1" applyBorder="1" applyAlignment="1">
      <alignment horizontal="center" vertical="center" wrapText="1"/>
    </xf>
    <xf numFmtId="0" fontId="0" fillId="2" borderId="6"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0" fillId="0" borderId="1" xfId="0" applyBorder="1" applyAlignment="1">
      <alignment horizontal="right" wrapText="1"/>
    </xf>
    <xf numFmtId="49" fontId="3" fillId="0" borderId="0" xfId="0" applyNumberFormat="1" applyFont="1" applyAlignment="1">
      <alignment horizontal="left"/>
    </xf>
    <xf numFmtId="0" fontId="0" fillId="0" borderId="1" xfId="0" applyBorder="1" applyAlignment="1">
      <alignment horizontal="justify" vertical="top"/>
    </xf>
    <xf numFmtId="0" fontId="0" fillId="0" borderId="6" xfId="0" applyBorder="1" applyAlignment="1">
      <alignment vertical="center" wrapText="1"/>
    </xf>
    <xf numFmtId="0" fontId="0" fillId="0" borderId="1" xfId="0" applyBorder="1" applyAlignment="1">
      <alignment horizontal="right" vertical="center"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0" borderId="1" xfId="0" applyBorder="1" applyAlignment="1">
      <alignment horizontal="justify" vertical="top" wrapText="1"/>
    </xf>
    <xf numFmtId="0" fontId="7" fillId="0" borderId="1" xfId="0" applyFont="1" applyBorder="1" applyAlignment="1">
      <alignment horizontal="justify" vertical="top"/>
    </xf>
    <xf numFmtId="0" fontId="7" fillId="0" borderId="9" xfId="0" applyFont="1" applyBorder="1" applyAlignment="1">
      <alignment horizontal="justify" vertical="top"/>
    </xf>
    <xf numFmtId="0" fontId="0" fillId="0" borderId="0" xfId="0" applyBorder="1" applyAlignment="1">
      <alignment horizontal="justify" vertical="top" wrapText="1"/>
    </xf>
    <xf numFmtId="0" fontId="0" fillId="0" borderId="1" xfId="0" applyBorder="1" applyAlignment="1">
      <alignment horizontal="left" vertical="top" wrapText="1"/>
    </xf>
    <xf numFmtId="0" fontId="0" fillId="0" borderId="0" xfId="0" applyFill="1" applyBorder="1" applyAlignment="1">
      <alignment horizontal="left" vertical="top" wrapText="1"/>
    </xf>
    <xf numFmtId="0" fontId="0" fillId="0" borderId="0" xfId="0" applyFill="1" applyBorder="1" applyAlignment="1">
      <alignment horizontal="center" vertical="top" wrapText="1"/>
    </xf>
    <xf numFmtId="0" fontId="1" fillId="0" borderId="0"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center"/>
    </xf>
    <xf numFmtId="0" fontId="0" fillId="2" borderId="1" xfId="0" applyFill="1" applyBorder="1" applyAlignment="1">
      <alignment horizontal="center" vertical="center"/>
    </xf>
    <xf numFmtId="0" fontId="0" fillId="0" borderId="0" xfId="0" applyAlignment="1">
      <alignment horizontal="left" vertical="top"/>
    </xf>
    <xf numFmtId="0" fontId="0" fillId="0" borderId="0" xfId="0" applyFont="1" applyBorder="1" applyAlignment="1">
      <alignment vertical="top" wrapText="1"/>
    </xf>
    <xf numFmtId="0" fontId="2" fillId="0" borderId="3" xfId="0" applyFont="1" applyBorder="1" applyAlignment="1">
      <alignment horizontal="center"/>
    </xf>
    <xf numFmtId="0" fontId="0" fillId="0" borderId="1" xfId="0" applyFont="1" applyBorder="1" applyAlignment="1">
      <alignment vertical="top" wrapText="1"/>
    </xf>
    <xf numFmtId="0" fontId="0" fillId="0" borderId="0" xfId="0" applyBorder="1" applyAlignment="1">
      <alignment horizontal="left" vertical="top" wrapText="1"/>
    </xf>
    <xf numFmtId="0" fontId="0" fillId="0" borderId="1" xfId="0" applyBorder="1" applyAlignment="1">
      <alignment horizontal="left" vertical="center" wrapText="1"/>
    </xf>
    <xf numFmtId="0" fontId="2" fillId="0" borderId="1" xfId="0" applyFont="1" applyBorder="1" applyAlignment="1">
      <alignment horizontal="center" vertical="center"/>
    </xf>
    <xf numFmtId="49" fontId="0" fillId="2" borderId="1" xfId="0" applyNumberFormat="1" applyFill="1" applyBorder="1" applyAlignment="1">
      <alignment horizontal="left" vertical="top" wrapText="1"/>
    </xf>
    <xf numFmtId="49" fontId="0" fillId="2" borderId="1" xfId="0" applyNumberFormat="1" applyFill="1" applyBorder="1" applyAlignment="1">
      <alignment vertical="top" wrapText="1"/>
    </xf>
    <xf numFmtId="0" fontId="3" fillId="0" borderId="0" xfId="0" applyFont="1" applyAlignment="1">
      <alignment horizontal="left" wrapText="1"/>
    </xf>
    <xf numFmtId="0" fontId="0" fillId="2" borderId="1" xfId="0" applyFill="1" applyBorder="1" applyAlignment="1">
      <alignment horizontal="center" vertical="center" wrapText="1"/>
    </xf>
    <xf numFmtId="0" fontId="0" fillId="2" borderId="1" xfId="0" applyFill="1" applyBorder="1" applyAlignment="1">
      <alignment horizontal="left" vertical="top" wrapText="1"/>
    </xf>
    <xf numFmtId="0" fontId="0" fillId="0" borderId="1" xfId="0" applyBorder="1" applyAlignment="1">
      <alignment horizontal="left" vertical="top" wrapText="1"/>
    </xf>
    <xf numFmtId="0" fontId="0" fillId="2" borderId="1" xfId="0" applyFill="1" applyBorder="1" applyAlignment="1">
      <alignment horizontal="left" vertical="top" wrapText="1"/>
    </xf>
    <xf numFmtId="0" fontId="0" fillId="0" borderId="3" xfId="0" applyBorder="1" applyAlignment="1">
      <alignment horizontal="left" vertical="top" wrapText="1"/>
    </xf>
    <xf numFmtId="0" fontId="2" fillId="0" borderId="1" xfId="0" applyFont="1" applyBorder="1" applyAlignment="1">
      <alignment horizontal="center"/>
    </xf>
    <xf numFmtId="0" fontId="0" fillId="2" borderId="1" xfId="0" applyFill="1" applyBorder="1" applyAlignment="1">
      <alignment horizontal="center" vertical="center"/>
    </xf>
    <xf numFmtId="0" fontId="1" fillId="2" borderId="1" xfId="0" applyFont="1" applyFill="1" applyBorder="1" applyAlignment="1">
      <alignment horizontal="center" vertical="top" wrapText="1"/>
    </xf>
    <xf numFmtId="0" fontId="0" fillId="2" borderId="1" xfId="0" applyFill="1" applyBorder="1"/>
    <xf numFmtId="0" fontId="0" fillId="3" borderId="1" xfId="0" applyFill="1" applyBorder="1"/>
    <xf numFmtId="0" fontId="0" fillId="2" borderId="1" xfId="0" applyFill="1" applyBorder="1" applyAlignment="1">
      <alignment horizontal="center"/>
    </xf>
    <xf numFmtId="9" fontId="0" fillId="3" borderId="1" xfId="1" applyFont="1" applyFill="1" applyBorder="1" applyAlignment="1">
      <alignment horizontal="center"/>
    </xf>
    <xf numFmtId="0" fontId="0" fillId="3" borderId="1" xfId="0" applyFill="1" applyBorder="1" applyAlignment="1">
      <alignment horizontal="center"/>
    </xf>
    <xf numFmtId="2" fontId="0" fillId="3" borderId="1" xfId="0" applyNumberFormat="1" applyFill="1" applyBorder="1" applyAlignment="1">
      <alignment horizontal="center"/>
    </xf>
    <xf numFmtId="2" fontId="8" fillId="3" borderId="1" xfId="0" applyNumberFormat="1" applyFont="1" applyFill="1" applyBorder="1" applyAlignment="1">
      <alignment horizontal="center" vertical="center"/>
    </xf>
    <xf numFmtId="0" fontId="9" fillId="0" borderId="1" xfId="0" applyFont="1" applyBorder="1" applyAlignment="1">
      <alignment horizontal="left" vertical="center" wrapText="1"/>
    </xf>
    <xf numFmtId="10" fontId="0" fillId="3" borderId="1" xfId="1" applyNumberFormat="1" applyFont="1" applyFill="1" applyBorder="1"/>
    <xf numFmtId="2" fontId="0" fillId="3" borderId="1" xfId="0" applyNumberFormat="1" applyFill="1" applyBorder="1"/>
    <xf numFmtId="0" fontId="0" fillId="3" borderId="1" xfId="0" applyFill="1" applyBorder="1" applyAlignment="1">
      <alignment horizontal="center" vertical="center"/>
    </xf>
    <xf numFmtId="0" fontId="7" fillId="0" borderId="1" xfId="0" applyFont="1" applyBorder="1" applyAlignment="1">
      <alignment horizontal="left" vertical="top" wrapText="1"/>
    </xf>
    <xf numFmtId="0" fontId="10" fillId="0" borderId="0" xfId="0" applyFont="1"/>
    <xf numFmtId="9" fontId="0" fillId="2" borderId="1" xfId="0" applyNumberFormat="1" applyFill="1" applyBorder="1" applyAlignment="1">
      <alignment horizontal="center"/>
    </xf>
    <xf numFmtId="0" fontId="0" fillId="2" borderId="1" xfId="0" applyNumberFormat="1" applyFill="1" applyBorder="1" applyAlignment="1">
      <alignment horizontal="center"/>
    </xf>
    <xf numFmtId="2" fontId="0" fillId="2" borderId="1" xfId="0" applyNumberFormat="1" applyFill="1" applyBorder="1" applyAlignment="1">
      <alignment horizontal="center"/>
    </xf>
    <xf numFmtId="2" fontId="0" fillId="2" borderId="1" xfId="0" applyNumberFormat="1" applyFill="1" applyBorder="1" applyAlignment="1">
      <alignment horizontal="center" vertical="center"/>
    </xf>
    <xf numFmtId="10" fontId="0" fillId="3" borderId="1" xfId="1" applyNumberFormat="1" applyFont="1" applyFill="1" applyBorder="1" applyAlignment="1">
      <alignment horizontal="center" vertical="center"/>
    </xf>
    <xf numFmtId="9" fontId="0" fillId="3" borderId="1" xfId="1" applyFont="1" applyFill="1" applyBorder="1" applyAlignment="1">
      <alignment horizontal="center" vertical="center"/>
    </xf>
    <xf numFmtId="0" fontId="0" fillId="0" borderId="0" xfId="0" applyFill="1" applyBorder="1" applyAlignment="1">
      <alignment horizontal="justify" vertical="top" wrapText="1"/>
    </xf>
    <xf numFmtId="2" fontId="0" fillId="2" borderId="3" xfId="0" applyNumberFormat="1" applyFill="1" applyBorder="1" applyAlignment="1"/>
    <xf numFmtId="2" fontId="0" fillId="0" borderId="0" xfId="0" applyNumberFormat="1"/>
    <xf numFmtId="2" fontId="0" fillId="3" borderId="1" xfId="1" applyNumberFormat="1" applyFont="1" applyFill="1" applyBorder="1" applyAlignment="1">
      <alignment horizontal="center" vertical="center"/>
    </xf>
    <xf numFmtId="0" fontId="8"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0" fillId="3" borderId="1" xfId="0" applyFill="1" applyBorder="1" applyAlignment="1" applyProtection="1">
      <alignment horizontal="center" wrapText="1"/>
    </xf>
    <xf numFmtId="0" fontId="0" fillId="3" borderId="1" xfId="0" applyFill="1" applyBorder="1" applyAlignment="1">
      <alignment horizontal="center" vertical="center" wrapText="1"/>
    </xf>
    <xf numFmtId="10" fontId="0" fillId="3" borderId="1" xfId="1" applyNumberFormat="1" applyFont="1" applyFill="1" applyBorder="1" applyAlignment="1">
      <alignment horizontal="center"/>
    </xf>
    <xf numFmtId="2" fontId="0" fillId="3" borderId="1" xfId="0" applyNumberFormat="1" applyFill="1" applyBorder="1" applyAlignment="1">
      <alignment horizontal="center" vertical="center"/>
    </xf>
    <xf numFmtId="0" fontId="0" fillId="0" borderId="0" xfId="0" applyFont="1" applyBorder="1" applyAlignment="1">
      <alignment horizontal="left" vertical="top" wrapText="1"/>
    </xf>
    <xf numFmtId="0" fontId="1" fillId="2" borderId="1" xfId="0" applyFont="1" applyFill="1" applyBorder="1" applyAlignment="1">
      <alignment horizontal="left" vertical="top" wrapText="1"/>
    </xf>
    <xf numFmtId="0" fontId="8" fillId="2" borderId="1" xfId="0" applyNumberFormat="1" applyFont="1" applyFill="1" applyBorder="1" applyAlignment="1">
      <alignment horizontal="center" vertical="center"/>
    </xf>
    <xf numFmtId="0" fontId="8" fillId="0" borderId="6" xfId="0" applyFont="1" applyBorder="1" applyAlignment="1">
      <alignment horizontal="center" vertical="center"/>
    </xf>
    <xf numFmtId="0" fontId="8" fillId="0" borderId="8" xfId="0" applyFont="1" applyBorder="1" applyAlignment="1">
      <alignment horizontal="center" vertical="center"/>
    </xf>
    <xf numFmtId="0" fontId="8" fillId="0" borderId="7" xfId="0" applyFont="1" applyBorder="1" applyAlignment="1">
      <alignment horizontal="center" vertical="center"/>
    </xf>
    <xf numFmtId="0" fontId="0" fillId="3" borderId="6" xfId="0" applyFill="1" applyBorder="1" applyAlignment="1">
      <alignment horizontal="left" vertical="top" wrapText="1"/>
    </xf>
    <xf numFmtId="0" fontId="0" fillId="3" borderId="8" xfId="0" applyFont="1" applyFill="1" applyBorder="1" applyAlignment="1">
      <alignment horizontal="left" vertical="top" wrapText="1"/>
    </xf>
    <xf numFmtId="0" fontId="0" fillId="3" borderId="7" xfId="0" applyFont="1" applyFill="1" applyBorder="1" applyAlignment="1">
      <alignment horizontal="left" vertical="top" wrapText="1"/>
    </xf>
    <xf numFmtId="0" fontId="3" fillId="0" borderId="0" xfId="0" applyFont="1" applyAlignment="1">
      <alignment horizontal="right"/>
    </xf>
    <xf numFmtId="0" fontId="2" fillId="0" borderId="2" xfId="0" applyFont="1" applyBorder="1" applyAlignment="1">
      <alignment horizontal="left" vertical="top"/>
    </xf>
    <xf numFmtId="0" fontId="2" fillId="0" borderId="0" xfId="0" applyFont="1" applyBorder="1" applyAlignment="1">
      <alignment horizontal="left" vertical="top"/>
    </xf>
    <xf numFmtId="0" fontId="2" fillId="0" borderId="0" xfId="0" applyFont="1" applyAlignment="1">
      <alignment horizontal="left" vertical="top"/>
    </xf>
    <xf numFmtId="0" fontId="8" fillId="0" borderId="1" xfId="0" applyFont="1" applyBorder="1" applyAlignment="1">
      <alignment horizontal="center" vertical="center"/>
    </xf>
    <xf numFmtId="0" fontId="0" fillId="0" borderId="0" xfId="0" applyFill="1" applyBorder="1" applyAlignment="1">
      <alignment horizontal="center" vertical="center"/>
    </xf>
    <xf numFmtId="0" fontId="0" fillId="0" borderId="1" xfId="0" applyBorder="1" applyAlignment="1">
      <alignment horizontal="left" vertical="top" wrapText="1"/>
    </xf>
    <xf numFmtId="0" fontId="0" fillId="2" borderId="3" xfId="0" applyFill="1" applyBorder="1" applyAlignment="1">
      <alignment horizontal="left" vertical="top" wrapText="1"/>
    </xf>
    <xf numFmtId="0" fontId="0" fillId="2" borderId="5" xfId="0" applyFont="1" applyFill="1" applyBorder="1" applyAlignment="1">
      <alignment horizontal="left" vertical="top" wrapText="1"/>
    </xf>
    <xf numFmtId="0" fontId="0" fillId="2" borderId="1" xfId="0" applyFill="1" applyBorder="1" applyAlignment="1">
      <alignment horizontal="left" vertical="top" wrapText="1"/>
    </xf>
    <xf numFmtId="0" fontId="0" fillId="2" borderId="1" xfId="0" applyFont="1" applyFill="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2" borderId="4" xfId="0" applyFont="1" applyFill="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6" fillId="3" borderId="1"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right"/>
    </xf>
    <xf numFmtId="0" fontId="2" fillId="0" borderId="8" xfId="0" applyFont="1" applyBorder="1" applyAlignment="1">
      <alignment horizontal="right"/>
    </xf>
    <xf numFmtId="0" fontId="2" fillId="0" borderId="7" xfId="0" applyFont="1" applyBorder="1" applyAlignment="1">
      <alignment horizontal="right"/>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0" borderId="1" xfId="0" applyFont="1" applyBorder="1" applyAlignment="1">
      <alignment horizont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8" fillId="0" borderId="1" xfId="0" applyFont="1" applyBorder="1" applyAlignment="1">
      <alignment horizontal="center" vertical="center" wrapText="1"/>
    </xf>
    <xf numFmtId="0" fontId="2" fillId="0" borderId="2" xfId="0" applyFont="1" applyBorder="1" applyAlignment="1">
      <alignment horizontal="center" wrapText="1"/>
    </xf>
    <xf numFmtId="0" fontId="3" fillId="0" borderId="0" xfId="0" applyFont="1" applyAlignment="1">
      <alignment horizontal="right" wrapText="1"/>
    </xf>
    <xf numFmtId="0" fontId="2" fillId="0" borderId="2" xfId="0" applyFont="1" applyBorder="1" applyAlignment="1">
      <alignment horizontal="left" vertical="top" wrapText="1"/>
    </xf>
    <xf numFmtId="0" fontId="2" fillId="0" borderId="2" xfId="0" applyFont="1" applyBorder="1" applyAlignment="1">
      <alignment horizontal="center"/>
    </xf>
    <xf numFmtId="0" fontId="2" fillId="0" borderId="0" xfId="0" applyFont="1" applyBorder="1" applyAlignment="1">
      <alignment horizontal="center"/>
    </xf>
    <xf numFmtId="0" fontId="0" fillId="2" borderId="1" xfId="0" applyFill="1" applyBorder="1" applyAlignment="1">
      <alignment horizontal="center" vertical="center"/>
    </xf>
    <xf numFmtId="0" fontId="0" fillId="0" borderId="6" xfId="0" applyBorder="1" applyAlignment="1">
      <alignment horizontal="center" wrapText="1"/>
    </xf>
    <xf numFmtId="0" fontId="0" fillId="0" borderId="7" xfId="0" applyBorder="1" applyAlignment="1">
      <alignment horizontal="center" wrapText="1"/>
    </xf>
    <xf numFmtId="2" fontId="0" fillId="0" borderId="1" xfId="0" applyNumberFormat="1" applyFill="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1" xfId="0" applyFill="1" applyBorder="1" applyAlignment="1">
      <alignment horizontal="center" vertical="center"/>
    </xf>
    <xf numFmtId="0" fontId="0" fillId="0" borderId="2" xfId="0" applyBorder="1" applyAlignment="1">
      <alignment horizontal="left" wrapText="1"/>
    </xf>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6" xfId="0" applyBorder="1" applyAlignment="1">
      <alignment horizontal="left" wrapText="1"/>
    </xf>
    <xf numFmtId="0" fontId="0" fillId="0" borderId="7" xfId="0" applyBorder="1" applyAlignment="1">
      <alignment horizontal="left" wrapText="1"/>
    </xf>
    <xf numFmtId="0" fontId="6" fillId="3" borderId="6" xfId="0" applyFont="1" applyFill="1" applyBorder="1" applyAlignment="1">
      <alignment horizontal="center"/>
    </xf>
    <xf numFmtId="0" fontId="6" fillId="3" borderId="8" xfId="0" applyFont="1" applyFill="1" applyBorder="1" applyAlignment="1">
      <alignment horizontal="center"/>
    </xf>
    <xf numFmtId="0" fontId="6" fillId="3" borderId="7" xfId="0" applyFont="1" applyFill="1" applyBorder="1" applyAlignment="1">
      <alignment horizontal="center"/>
    </xf>
    <xf numFmtId="0" fontId="0" fillId="0" borderId="6" xfId="0" applyBorder="1" applyAlignment="1">
      <alignment horizontal="center" vertical="top" wrapText="1"/>
    </xf>
    <xf numFmtId="0" fontId="0" fillId="0" borderId="7" xfId="0" applyBorder="1" applyAlignment="1">
      <alignment horizontal="center" vertical="top" wrapText="1"/>
    </xf>
    <xf numFmtId="0" fontId="1" fillId="2" borderId="1" xfId="0" applyFont="1" applyFill="1" applyBorder="1" applyAlignment="1">
      <alignment horizontal="left" vertical="top" wrapText="1"/>
    </xf>
    <xf numFmtId="0" fontId="0" fillId="0" borderId="8" xfId="0" applyBorder="1" applyAlignment="1">
      <alignment horizontal="center" vertical="top" wrapText="1"/>
    </xf>
    <xf numFmtId="0" fontId="0" fillId="0" borderId="2" xfId="0" applyFill="1" applyBorder="1" applyAlignment="1">
      <alignment horizontal="center"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07" Type="http://schemas.openxmlformats.org/officeDocument/2006/relationships/calcChain" Target="calcChain.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102" Type="http://schemas.openxmlformats.org/officeDocument/2006/relationships/worksheet" Target="worksheets/sheet102.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E1" sqref="E1"/>
    </sheetView>
  </sheetViews>
  <sheetFormatPr defaultRowHeight="15" x14ac:dyDescent="0.25"/>
  <cols>
    <col min="1" max="5" width="25.7109375" customWidth="1"/>
  </cols>
  <sheetData>
    <row r="1" spans="1:5" ht="57" x14ac:dyDescent="0.85">
      <c r="A1" s="101" t="s">
        <v>14</v>
      </c>
      <c r="B1" s="101"/>
      <c r="C1" s="101"/>
      <c r="D1" s="101"/>
      <c r="E1" s="7" t="s">
        <v>303</v>
      </c>
    </row>
    <row r="3" spans="1:5" x14ac:dyDescent="0.25">
      <c r="A3" s="102" t="s">
        <v>4</v>
      </c>
      <c r="B3" s="102"/>
      <c r="C3" s="102"/>
      <c r="D3" s="102"/>
      <c r="E3" s="103"/>
    </row>
    <row r="4" spans="1:5" ht="30" x14ac:dyDescent="0.25">
      <c r="A4" s="50" t="s">
        <v>0</v>
      </c>
      <c r="B4" s="50" t="s">
        <v>1</v>
      </c>
      <c r="C4" s="50" t="s">
        <v>2</v>
      </c>
      <c r="D4" s="50" t="s">
        <v>3</v>
      </c>
      <c r="E4" s="15" t="s">
        <v>537</v>
      </c>
    </row>
    <row r="5" spans="1:5" ht="120" x14ac:dyDescent="0.25">
      <c r="A5" s="40" t="s">
        <v>477</v>
      </c>
      <c r="B5" s="30" t="s">
        <v>117</v>
      </c>
      <c r="C5" s="30" t="str">
        <f>A5</f>
        <v>Fakultas/ departemen memiliki kebijakan formal penyusunan, sosialisasi, implementasi dan evaluasi VMTS untuk pengembangan fakultas/ departemen dan Program studi.</v>
      </c>
      <c r="D5" s="30" t="s">
        <v>118</v>
      </c>
      <c r="E5" s="51" t="s">
        <v>538</v>
      </c>
    </row>
    <row r="7" spans="1:5" x14ac:dyDescent="0.25">
      <c r="A7" s="104" t="s">
        <v>7</v>
      </c>
      <c r="B7" s="104"/>
      <c r="C7" s="104"/>
      <c r="D7" s="104"/>
      <c r="E7" s="104"/>
    </row>
    <row r="8" spans="1:5" x14ac:dyDescent="0.25">
      <c r="A8" s="31" t="s">
        <v>8</v>
      </c>
      <c r="B8" s="31" t="s">
        <v>9</v>
      </c>
      <c r="C8" s="31" t="s">
        <v>10</v>
      </c>
      <c r="D8" s="31" t="s">
        <v>11</v>
      </c>
      <c r="E8" s="31" t="s">
        <v>12</v>
      </c>
    </row>
    <row r="9" spans="1:5" ht="135" x14ac:dyDescent="0.25">
      <c r="A9" s="14" t="s">
        <v>430</v>
      </c>
      <c r="B9" s="14" t="s">
        <v>426</v>
      </c>
      <c r="C9" s="14" t="s">
        <v>427</v>
      </c>
      <c r="D9" s="14" t="s">
        <v>428</v>
      </c>
      <c r="E9" s="14" t="s">
        <v>429</v>
      </c>
    </row>
    <row r="11" spans="1:5" s="5" customFormat="1" ht="28.5" x14ac:dyDescent="0.25">
      <c r="A11" s="95" t="s">
        <v>13</v>
      </c>
      <c r="B11" s="96"/>
      <c r="C11" s="96"/>
      <c r="D11" s="97"/>
      <c r="E11" s="85">
        <v>4</v>
      </c>
    </row>
    <row r="12" spans="1:5" x14ac:dyDescent="0.25">
      <c r="A12" s="9"/>
      <c r="B12" s="9"/>
      <c r="C12" s="9"/>
      <c r="D12" s="9"/>
      <c r="E12" s="9"/>
    </row>
    <row r="13" spans="1:5" ht="28.5" x14ac:dyDescent="0.25">
      <c r="A13" s="95" t="s">
        <v>187</v>
      </c>
      <c r="B13" s="96"/>
      <c r="C13" s="96"/>
      <c r="D13" s="97"/>
      <c r="E13" s="86">
        <v>3</v>
      </c>
    </row>
    <row r="14" spans="1:5" x14ac:dyDescent="0.25">
      <c r="A14" s="9"/>
      <c r="B14" s="9"/>
      <c r="C14" s="9"/>
      <c r="D14" s="9"/>
      <c r="E14" s="9"/>
    </row>
    <row r="15" spans="1:5" ht="78.75" x14ac:dyDescent="0.25">
      <c r="A15" s="69" t="s">
        <v>188</v>
      </c>
      <c r="B15" s="98" t="s">
        <v>1106</v>
      </c>
      <c r="C15" s="99"/>
      <c r="D15" s="99"/>
      <c r="E15" s="100"/>
    </row>
  </sheetData>
  <mergeCells count="6">
    <mergeCell ref="A13:D13"/>
    <mergeCell ref="B15:E15"/>
    <mergeCell ref="A1:D1"/>
    <mergeCell ref="A3:E3"/>
    <mergeCell ref="A7:E7"/>
    <mergeCell ref="A11:D1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E14" sqref="E14"/>
    </sheetView>
  </sheetViews>
  <sheetFormatPr defaultRowHeight="15" x14ac:dyDescent="0.25"/>
  <cols>
    <col min="1" max="5" width="25.7109375" customWidth="1"/>
  </cols>
  <sheetData>
    <row r="1" spans="1:5" ht="57" x14ac:dyDescent="0.85">
      <c r="A1" s="101" t="s">
        <v>14</v>
      </c>
      <c r="B1" s="101"/>
      <c r="C1" s="101"/>
      <c r="D1" s="101"/>
      <c r="E1" s="7" t="s">
        <v>304</v>
      </c>
    </row>
    <row r="3" spans="1:5" x14ac:dyDescent="0.25">
      <c r="A3" s="102" t="s">
        <v>4</v>
      </c>
      <c r="B3" s="102"/>
      <c r="C3" s="102"/>
      <c r="D3" s="102"/>
      <c r="E3" s="103"/>
    </row>
    <row r="4" spans="1:5" ht="30" x14ac:dyDescent="0.25">
      <c r="A4" s="50" t="s">
        <v>0</v>
      </c>
      <c r="B4" s="50" t="s">
        <v>1</v>
      </c>
      <c r="C4" s="50" t="s">
        <v>2</v>
      </c>
      <c r="D4" s="50" t="s">
        <v>3</v>
      </c>
      <c r="E4" s="15" t="s">
        <v>4</v>
      </c>
    </row>
    <row r="5" spans="1:5" ht="135" x14ac:dyDescent="0.25">
      <c r="A5" s="40" t="s">
        <v>478</v>
      </c>
      <c r="B5" s="30" t="s">
        <v>119</v>
      </c>
      <c r="C5" s="30" t="str">
        <f>A5</f>
        <v>Fakultas/ departemen memiliki VMTS yang disusun dengan latar belakang, tujuan, rasional, mekanisme dan kesesuaian dengan VMTS universitas dan mampu memayungi keunikan keilmuan program studi.</v>
      </c>
      <c r="D5" s="30" t="s">
        <v>120</v>
      </c>
      <c r="E5" s="52" t="s">
        <v>539</v>
      </c>
    </row>
    <row r="7" spans="1:5" x14ac:dyDescent="0.25">
      <c r="A7" s="104" t="s">
        <v>7</v>
      </c>
      <c r="B7" s="104"/>
      <c r="C7" s="104"/>
      <c r="D7" s="104"/>
      <c r="E7" s="104"/>
    </row>
    <row r="8" spans="1:5" x14ac:dyDescent="0.25">
      <c r="A8" s="31" t="s">
        <v>8</v>
      </c>
      <c r="B8" s="31" t="s">
        <v>9</v>
      </c>
      <c r="C8" s="31" t="s">
        <v>10</v>
      </c>
      <c r="D8" s="31" t="s">
        <v>11</v>
      </c>
      <c r="E8" s="31" t="s">
        <v>12</v>
      </c>
    </row>
    <row r="9" spans="1:5" s="44" customFormat="1" ht="270" x14ac:dyDescent="0.25">
      <c r="A9" s="40" t="s">
        <v>432</v>
      </c>
      <c r="B9" s="40" t="s">
        <v>433</v>
      </c>
      <c r="C9" s="40" t="s">
        <v>435</v>
      </c>
      <c r="D9" s="40" t="s">
        <v>434</v>
      </c>
      <c r="E9" s="40" t="s">
        <v>431</v>
      </c>
    </row>
    <row r="11" spans="1:5" s="5" customFormat="1" ht="28.5" x14ac:dyDescent="0.25">
      <c r="A11" s="95" t="s">
        <v>13</v>
      </c>
      <c r="B11" s="96"/>
      <c r="C11" s="96"/>
      <c r="D11" s="97"/>
      <c r="E11" s="85">
        <v>4</v>
      </c>
    </row>
    <row r="12" spans="1:5" x14ac:dyDescent="0.25">
      <c r="A12" s="9"/>
      <c r="B12" s="9"/>
      <c r="C12" s="9"/>
      <c r="D12" s="9"/>
      <c r="E12" s="9"/>
    </row>
    <row r="13" spans="1:5" ht="28.5" x14ac:dyDescent="0.25">
      <c r="A13" s="95" t="s">
        <v>187</v>
      </c>
      <c r="B13" s="96"/>
      <c r="C13" s="96"/>
      <c r="D13" s="97"/>
      <c r="E13" s="86">
        <v>3.5</v>
      </c>
    </row>
    <row r="14" spans="1:5" x14ac:dyDescent="0.25">
      <c r="A14" s="9"/>
      <c r="B14" s="9"/>
      <c r="C14" s="9"/>
      <c r="D14" s="9"/>
      <c r="E14" s="9"/>
    </row>
    <row r="15" spans="1:5" ht="78.75" x14ac:dyDescent="0.25">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G15" sqref="G15"/>
    </sheetView>
  </sheetViews>
  <sheetFormatPr defaultRowHeight="15" x14ac:dyDescent="0.25"/>
  <cols>
    <col min="1" max="5" width="25.7109375" customWidth="1"/>
  </cols>
  <sheetData>
    <row r="1" spans="1:5" ht="57" x14ac:dyDescent="0.85">
      <c r="A1" s="101" t="s">
        <v>14</v>
      </c>
      <c r="B1" s="101"/>
      <c r="C1" s="101"/>
      <c r="D1" s="101"/>
      <c r="E1" s="7" t="s">
        <v>305</v>
      </c>
    </row>
    <row r="3" spans="1:5" x14ac:dyDescent="0.25">
      <c r="A3" s="102" t="s">
        <v>4</v>
      </c>
      <c r="B3" s="102"/>
      <c r="C3" s="102"/>
      <c r="D3" s="102"/>
      <c r="E3" s="103"/>
    </row>
    <row r="4" spans="1:5" ht="30" x14ac:dyDescent="0.25">
      <c r="A4" s="50" t="s">
        <v>0</v>
      </c>
      <c r="B4" s="50" t="s">
        <v>1</v>
      </c>
      <c r="C4" s="50" t="s">
        <v>2</v>
      </c>
      <c r="D4" s="50" t="s">
        <v>3</v>
      </c>
      <c r="E4" s="15" t="s">
        <v>537</v>
      </c>
    </row>
    <row r="5" spans="1:5" ht="135" x14ac:dyDescent="0.25">
      <c r="A5" s="40" t="s">
        <v>479</v>
      </c>
      <c r="B5" s="30" t="s">
        <v>121</v>
      </c>
      <c r="C5" s="30" t="str">
        <f>A5</f>
        <v>Fakultas/ departemen memiliki mekanisme yang melibatkan semua pemangku kepentingan dalam penyusunan VMTS.</v>
      </c>
      <c r="D5" s="30" t="s">
        <v>122</v>
      </c>
      <c r="E5" s="52" t="s">
        <v>540</v>
      </c>
    </row>
    <row r="7" spans="1:5" x14ac:dyDescent="0.25">
      <c r="A7" s="104" t="s">
        <v>7</v>
      </c>
      <c r="B7" s="104"/>
      <c r="C7" s="104"/>
      <c r="D7" s="104"/>
      <c r="E7" s="104"/>
    </row>
    <row r="8" spans="1:5" x14ac:dyDescent="0.25">
      <c r="A8" s="46" t="s">
        <v>8</v>
      </c>
      <c r="B8" s="46" t="s">
        <v>9</v>
      </c>
      <c r="C8" s="46" t="s">
        <v>10</v>
      </c>
      <c r="D8" s="46" t="s">
        <v>11</v>
      </c>
      <c r="E8" s="46" t="s">
        <v>12</v>
      </c>
    </row>
    <row r="9" spans="1:5" s="4" customFormat="1" ht="210" x14ac:dyDescent="0.25">
      <c r="A9" s="47" t="s">
        <v>436</v>
      </c>
      <c r="B9" s="47" t="s">
        <v>440</v>
      </c>
      <c r="C9" s="47" t="s">
        <v>437</v>
      </c>
      <c r="D9" s="47" t="s">
        <v>438</v>
      </c>
      <c r="E9" s="47" t="s">
        <v>439</v>
      </c>
    </row>
    <row r="10" spans="1:5" s="4" customFormat="1" x14ac:dyDescent="0.25">
      <c r="A10" s="45"/>
      <c r="B10" s="45"/>
      <c r="C10" s="45"/>
      <c r="D10" s="45"/>
      <c r="E10" s="45"/>
    </row>
    <row r="11" spans="1:5" s="5" customFormat="1" ht="28.5" x14ac:dyDescent="0.25">
      <c r="A11" s="105" t="s">
        <v>13</v>
      </c>
      <c r="B11" s="105"/>
      <c r="C11" s="105"/>
      <c r="D11" s="105"/>
      <c r="E11" s="85">
        <v>4</v>
      </c>
    </row>
    <row r="12" spans="1:5" x14ac:dyDescent="0.25">
      <c r="A12" s="9"/>
      <c r="B12" s="9"/>
      <c r="C12" s="9"/>
      <c r="D12" s="9"/>
      <c r="E12" s="9"/>
    </row>
    <row r="13" spans="1:5" ht="28.5" x14ac:dyDescent="0.25">
      <c r="A13" s="105" t="s">
        <v>187</v>
      </c>
      <c r="B13" s="105"/>
      <c r="C13" s="105"/>
      <c r="D13" s="105"/>
      <c r="E13" s="86">
        <v>3.5</v>
      </c>
    </row>
    <row r="14" spans="1:5" x14ac:dyDescent="0.25">
      <c r="A14" s="9"/>
      <c r="B14" s="9"/>
      <c r="C14" s="9"/>
      <c r="D14" s="9"/>
      <c r="E14" s="9"/>
    </row>
    <row r="15" spans="1:5" ht="78.75" x14ac:dyDescent="0.25">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90" zoomScaleNormal="90" workbookViewId="0">
      <selection activeCell="B16" sqref="B16:E16"/>
    </sheetView>
  </sheetViews>
  <sheetFormatPr defaultRowHeight="15" x14ac:dyDescent="0.25"/>
  <cols>
    <col min="1" max="5" width="25.7109375" customWidth="1"/>
  </cols>
  <sheetData>
    <row r="1" spans="1:5" ht="57" x14ac:dyDescent="0.85">
      <c r="A1" s="101" t="s">
        <v>14</v>
      </c>
      <c r="B1" s="101"/>
      <c r="C1" s="101"/>
      <c r="D1" s="101"/>
      <c r="E1" s="26" t="s">
        <v>306</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20" x14ac:dyDescent="0.25">
      <c r="A5" s="107" t="s">
        <v>480</v>
      </c>
      <c r="B5" s="107" t="s">
        <v>123</v>
      </c>
      <c r="C5" s="107" t="str">
        <f>A5</f>
        <v>Fakultas/ departemen memiliki rencana strategis dan rencana operasional yang disusun berdasarkan analisis yang sistematis, serta pada pelaksanaannya dilakukan pemantauan dan evaluasi yang ditindaklanjuti.</v>
      </c>
      <c r="D5" s="32" t="s">
        <v>124</v>
      </c>
      <c r="E5" s="108" t="s">
        <v>541</v>
      </c>
    </row>
    <row r="6" spans="1:5" s="1" customFormat="1" ht="60" x14ac:dyDescent="0.25">
      <c r="A6" s="107"/>
      <c r="B6" s="107"/>
      <c r="C6" s="107"/>
      <c r="D6" s="27" t="s">
        <v>125</v>
      </c>
      <c r="E6" s="109"/>
    </row>
    <row r="8" spans="1:5" x14ac:dyDescent="0.25">
      <c r="A8" s="104" t="s">
        <v>7</v>
      </c>
      <c r="B8" s="104"/>
      <c r="C8" s="104"/>
      <c r="D8" s="104"/>
      <c r="E8" s="104"/>
    </row>
    <row r="9" spans="1:5" x14ac:dyDescent="0.25">
      <c r="A9" s="31" t="s">
        <v>8</v>
      </c>
      <c r="B9" s="31" t="s">
        <v>9</v>
      </c>
      <c r="C9" s="31" t="s">
        <v>10</v>
      </c>
      <c r="D9" s="31" t="s">
        <v>11</v>
      </c>
      <c r="E9" s="31" t="s">
        <v>12</v>
      </c>
    </row>
    <row r="10" spans="1:5" s="4" customFormat="1" ht="150" x14ac:dyDescent="0.25">
      <c r="A10" s="40" t="s">
        <v>441</v>
      </c>
      <c r="B10" s="40" t="s">
        <v>442</v>
      </c>
      <c r="C10" s="40" t="s">
        <v>443</v>
      </c>
      <c r="D10" s="40" t="s">
        <v>444</v>
      </c>
      <c r="E10" s="40" t="s">
        <v>445</v>
      </c>
    </row>
    <row r="11" spans="1:5" x14ac:dyDescent="0.25">
      <c r="A11" s="11"/>
      <c r="B11" s="106"/>
      <c r="C11" s="106"/>
    </row>
    <row r="12" spans="1:5" s="5" customFormat="1" ht="28.5" x14ac:dyDescent="0.25">
      <c r="A12" s="105" t="s">
        <v>126</v>
      </c>
      <c r="B12" s="105"/>
      <c r="C12" s="105"/>
      <c r="D12" s="105"/>
      <c r="E12" s="85">
        <v>4</v>
      </c>
    </row>
    <row r="13" spans="1:5" x14ac:dyDescent="0.25">
      <c r="A13" s="9"/>
      <c r="B13" s="9"/>
      <c r="C13" s="9"/>
      <c r="D13" s="9"/>
      <c r="E13" s="9"/>
    </row>
    <row r="14" spans="1:5" ht="28.5" x14ac:dyDescent="0.25">
      <c r="A14" s="105" t="s">
        <v>187</v>
      </c>
      <c r="B14" s="105"/>
      <c r="C14" s="105"/>
      <c r="D14" s="105"/>
      <c r="E14" s="86">
        <v>3.5</v>
      </c>
    </row>
    <row r="15" spans="1:5" x14ac:dyDescent="0.25">
      <c r="A15" s="9"/>
      <c r="B15" s="9"/>
      <c r="C15" s="9"/>
      <c r="D15" s="9"/>
      <c r="E15" s="9"/>
    </row>
    <row r="16" spans="1:5" ht="78.75" x14ac:dyDescent="0.25">
      <c r="A16" s="69" t="s">
        <v>188</v>
      </c>
      <c r="B16" s="98" t="s">
        <v>1107</v>
      </c>
      <c r="C16" s="99"/>
      <c r="D16" s="99"/>
      <c r="E16" s="100"/>
    </row>
  </sheetData>
  <mergeCells count="11">
    <mergeCell ref="A1:D1"/>
    <mergeCell ref="A3:E3"/>
    <mergeCell ref="A5:A6"/>
    <mergeCell ref="B5:B6"/>
    <mergeCell ref="C5:C6"/>
    <mergeCell ref="E5:E6"/>
    <mergeCell ref="A14:D14"/>
    <mergeCell ref="B16:E16"/>
    <mergeCell ref="B11:C11"/>
    <mergeCell ref="A12:D12"/>
    <mergeCell ref="A8:E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90" zoomScaleNormal="90" workbookViewId="0">
      <selection activeCell="E15" sqref="E15"/>
    </sheetView>
  </sheetViews>
  <sheetFormatPr defaultRowHeight="15" x14ac:dyDescent="0.25"/>
  <cols>
    <col min="1" max="5" width="25.7109375" customWidth="1"/>
  </cols>
  <sheetData>
    <row r="1" spans="1:5" ht="57" x14ac:dyDescent="0.85">
      <c r="A1" s="101" t="s">
        <v>14</v>
      </c>
      <c r="B1" s="101"/>
      <c r="C1" s="101"/>
      <c r="D1" s="101"/>
      <c r="E1" s="26" t="s">
        <v>307</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60" customHeight="1" x14ac:dyDescent="0.25">
      <c r="A5" s="107" t="s">
        <v>481</v>
      </c>
      <c r="B5" s="107" t="s">
        <v>308</v>
      </c>
      <c r="C5" s="107" t="str">
        <f>A5</f>
        <v>Fakultas/ departemen memiliki struktur organisasi dan tata kerja yang dilengkapi tugas dan fungsinya dan menjalankannya secara efektif dan efisien.</v>
      </c>
      <c r="D5" s="32" t="s">
        <v>127</v>
      </c>
      <c r="E5" s="108" t="s">
        <v>542</v>
      </c>
    </row>
    <row r="6" spans="1:5" s="1" customFormat="1" ht="60" customHeight="1" x14ac:dyDescent="0.25">
      <c r="A6" s="107"/>
      <c r="B6" s="107"/>
      <c r="C6" s="107"/>
      <c r="D6" s="32" t="s">
        <v>128</v>
      </c>
      <c r="E6" s="109"/>
    </row>
    <row r="8" spans="1:5" x14ac:dyDescent="0.25">
      <c r="A8" s="104" t="s">
        <v>7</v>
      </c>
      <c r="B8" s="104"/>
      <c r="C8" s="104"/>
      <c r="D8" s="104"/>
      <c r="E8" s="104"/>
    </row>
    <row r="9" spans="1:5" x14ac:dyDescent="0.25">
      <c r="A9" s="31" t="s">
        <v>8</v>
      </c>
      <c r="B9" s="31" t="s">
        <v>9</v>
      </c>
      <c r="C9" s="31" t="s">
        <v>10</v>
      </c>
      <c r="D9" s="31" t="s">
        <v>11</v>
      </c>
      <c r="E9" s="31" t="s">
        <v>12</v>
      </c>
    </row>
    <row r="10" spans="1:5" s="4" customFormat="1" ht="135" x14ac:dyDescent="0.25">
      <c r="A10" s="40" t="s">
        <v>446</v>
      </c>
      <c r="B10" s="40" t="s">
        <v>447</v>
      </c>
      <c r="C10" s="40" t="s">
        <v>448</v>
      </c>
      <c r="D10" s="40" t="s">
        <v>449</v>
      </c>
      <c r="E10" s="40" t="s">
        <v>450</v>
      </c>
    </row>
    <row r="11" spans="1:5" s="4" customFormat="1" x14ac:dyDescent="0.25">
      <c r="A11" s="48"/>
      <c r="B11" s="48"/>
      <c r="C11" s="48"/>
      <c r="D11" s="48"/>
      <c r="E11" s="48"/>
    </row>
    <row r="12" spans="1:5" s="5" customFormat="1" ht="28.5" x14ac:dyDescent="0.25">
      <c r="A12" s="105" t="s">
        <v>126</v>
      </c>
      <c r="B12" s="105"/>
      <c r="C12" s="105"/>
      <c r="D12" s="105"/>
      <c r="E12" s="85">
        <v>3</v>
      </c>
    </row>
    <row r="13" spans="1:5" x14ac:dyDescent="0.25">
      <c r="A13" s="9"/>
      <c r="B13" s="9"/>
      <c r="C13" s="9"/>
      <c r="D13" s="9"/>
      <c r="E13" s="9"/>
    </row>
    <row r="14" spans="1:5" ht="28.5" x14ac:dyDescent="0.25">
      <c r="A14" s="105" t="s">
        <v>187</v>
      </c>
      <c r="B14" s="105"/>
      <c r="C14" s="105"/>
      <c r="D14" s="105"/>
      <c r="E14" s="86">
        <v>4</v>
      </c>
    </row>
    <row r="15" spans="1:5" x14ac:dyDescent="0.25">
      <c r="A15" s="9"/>
      <c r="B15" s="9"/>
      <c r="C15" s="9"/>
      <c r="D15" s="9"/>
      <c r="E15" s="9"/>
    </row>
    <row r="16" spans="1:5" ht="78.75" x14ac:dyDescent="0.25">
      <c r="A16" s="69" t="s">
        <v>188</v>
      </c>
      <c r="B16" s="98" t="s">
        <v>1107</v>
      </c>
      <c r="C16" s="99"/>
      <c r="D16" s="99"/>
      <c r="E16" s="100"/>
    </row>
  </sheetData>
  <mergeCells count="10">
    <mergeCell ref="A14:D14"/>
    <mergeCell ref="B16:E16"/>
    <mergeCell ref="A1:D1"/>
    <mergeCell ref="A3:E3"/>
    <mergeCell ref="A8:E8"/>
    <mergeCell ref="A12:D12"/>
    <mergeCell ref="A5:A6"/>
    <mergeCell ref="B5:B6"/>
    <mergeCell ref="C5:C6"/>
    <mergeCell ref="E5:E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E1" sqref="E1"/>
    </sheetView>
  </sheetViews>
  <sheetFormatPr defaultRowHeight="15" x14ac:dyDescent="0.25"/>
  <cols>
    <col min="1" max="5" width="25.7109375" customWidth="1"/>
  </cols>
  <sheetData>
    <row r="1" spans="1:5" ht="57" x14ac:dyDescent="0.85">
      <c r="A1" s="101" t="s">
        <v>14</v>
      </c>
      <c r="B1" s="101"/>
      <c r="C1" s="101"/>
      <c r="D1" s="101"/>
      <c r="E1" s="26" t="s">
        <v>309</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95" x14ac:dyDescent="0.25">
      <c r="A5" s="40" t="s">
        <v>482</v>
      </c>
      <c r="B5" s="30" t="s">
        <v>129</v>
      </c>
      <c r="C5" s="30" t="str">
        <f>A5</f>
        <v xml:space="preserve">Fakultas/ departemen menerapkan prinsip good governance dan pemenuhan lima pilar sistem tata pamong yang mencakup: (1)Kredibel; (2)Transparan; (3)Akuntabel; (4)Bertanggung jawab; (5)Adil, untuk menjamin penyelenggaraan program studi yang bermutu.
</v>
      </c>
      <c r="D5" s="32" t="s">
        <v>130</v>
      </c>
      <c r="E5" s="52" t="s">
        <v>543</v>
      </c>
    </row>
    <row r="7" spans="1:5" x14ac:dyDescent="0.25">
      <c r="A7" s="104" t="s">
        <v>7</v>
      </c>
      <c r="B7" s="104"/>
      <c r="C7" s="104"/>
      <c r="D7" s="104"/>
      <c r="E7" s="104"/>
    </row>
    <row r="8" spans="1:5" x14ac:dyDescent="0.25">
      <c r="A8" s="31" t="s">
        <v>8</v>
      </c>
      <c r="B8" s="31" t="s">
        <v>9</v>
      </c>
      <c r="C8" s="31" t="s">
        <v>10</v>
      </c>
      <c r="D8" s="31" t="s">
        <v>11</v>
      </c>
      <c r="E8" s="31" t="s">
        <v>12</v>
      </c>
    </row>
    <row r="9" spans="1:5" s="4" customFormat="1" ht="135" x14ac:dyDescent="0.25">
      <c r="A9" s="40" t="s">
        <v>452</v>
      </c>
      <c r="B9" s="40" t="s">
        <v>453</v>
      </c>
      <c r="C9" s="40" t="s">
        <v>454</v>
      </c>
      <c r="D9" s="40" t="s">
        <v>455</v>
      </c>
      <c r="E9" s="40" t="s">
        <v>451</v>
      </c>
    </row>
    <row r="10" spans="1:5" x14ac:dyDescent="0.25">
      <c r="A10" s="11"/>
      <c r="B10" s="106"/>
      <c r="C10" s="106"/>
    </row>
    <row r="11" spans="1:5" s="5" customFormat="1" ht="28.5" x14ac:dyDescent="0.25">
      <c r="A11" s="105" t="s">
        <v>126</v>
      </c>
      <c r="B11" s="105"/>
      <c r="C11" s="105"/>
      <c r="D11" s="105"/>
      <c r="E11" s="85">
        <v>3</v>
      </c>
    </row>
    <row r="12" spans="1:5" x14ac:dyDescent="0.25">
      <c r="A12" s="9"/>
      <c r="B12" s="9"/>
      <c r="C12" s="9"/>
      <c r="D12" s="9"/>
      <c r="E12" s="9"/>
    </row>
    <row r="13" spans="1:5" ht="28.5" x14ac:dyDescent="0.25">
      <c r="A13" s="105" t="s">
        <v>187</v>
      </c>
      <c r="B13" s="105"/>
      <c r="C13" s="105"/>
      <c r="D13" s="105"/>
      <c r="E13" s="86">
        <v>3.2</v>
      </c>
    </row>
    <row r="14" spans="1:5" x14ac:dyDescent="0.25">
      <c r="A14" s="9"/>
      <c r="B14" s="9"/>
      <c r="C14" s="9"/>
      <c r="D14" s="9"/>
      <c r="E14" s="9"/>
    </row>
    <row r="15" spans="1:5" ht="78.75" x14ac:dyDescent="0.25">
      <c r="A15" s="69" t="s">
        <v>188</v>
      </c>
      <c r="B15" s="98" t="s">
        <v>1107</v>
      </c>
      <c r="C15" s="99"/>
      <c r="D15" s="99"/>
      <c r="E15" s="100"/>
    </row>
  </sheetData>
  <mergeCells count="7">
    <mergeCell ref="A13:D13"/>
    <mergeCell ref="B15:E15"/>
    <mergeCell ref="A1:D1"/>
    <mergeCell ref="A3:E3"/>
    <mergeCell ref="A7:E7"/>
    <mergeCell ref="B10:C10"/>
    <mergeCell ref="A11:D1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zoomScale="90" zoomScaleNormal="90" workbookViewId="0">
      <selection activeCell="E1" sqref="E1"/>
    </sheetView>
  </sheetViews>
  <sheetFormatPr defaultRowHeight="15" x14ac:dyDescent="0.25"/>
  <cols>
    <col min="1" max="5" width="25.7109375" customWidth="1"/>
  </cols>
  <sheetData>
    <row r="1" spans="1:5" ht="57" x14ac:dyDescent="0.85">
      <c r="A1" s="101" t="s">
        <v>14</v>
      </c>
      <c r="B1" s="101"/>
      <c r="C1" s="101"/>
      <c r="D1" s="101"/>
      <c r="E1" s="26" t="s">
        <v>310</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x14ac:dyDescent="0.25">
      <c r="A5" s="107" t="s">
        <v>483</v>
      </c>
      <c r="B5" s="107" t="s">
        <v>311</v>
      </c>
      <c r="C5" s="107" t="str">
        <f>A5</f>
        <v>Fakultas/ departemen mempunyai komitmen dalam menjalankan kepemimpinan operasional, organisasional, dan publik.</v>
      </c>
      <c r="D5" s="32" t="s">
        <v>131</v>
      </c>
      <c r="E5" s="110" t="s">
        <v>544</v>
      </c>
    </row>
    <row r="6" spans="1:5" s="1" customFormat="1" x14ac:dyDescent="0.25">
      <c r="A6" s="107"/>
      <c r="B6" s="107"/>
      <c r="C6" s="107"/>
      <c r="D6" s="32" t="s">
        <v>132</v>
      </c>
      <c r="E6" s="111"/>
    </row>
    <row r="7" spans="1:5" s="1" customFormat="1" ht="60" x14ac:dyDescent="0.25">
      <c r="A7" s="107"/>
      <c r="B7" s="107"/>
      <c r="C7" s="107"/>
      <c r="D7" s="30" t="s">
        <v>133</v>
      </c>
      <c r="E7" s="111"/>
    </row>
    <row r="9" spans="1:5" x14ac:dyDescent="0.25">
      <c r="A9" s="104" t="s">
        <v>7</v>
      </c>
      <c r="B9" s="104"/>
      <c r="C9" s="104"/>
      <c r="D9" s="104"/>
      <c r="E9" s="104"/>
    </row>
    <row r="10" spans="1:5" x14ac:dyDescent="0.25">
      <c r="A10" s="31" t="s">
        <v>8</v>
      </c>
      <c r="B10" s="31" t="s">
        <v>9</v>
      </c>
      <c r="C10" s="31" t="s">
        <v>10</v>
      </c>
      <c r="D10" s="31" t="s">
        <v>11</v>
      </c>
      <c r="E10" s="31" t="s">
        <v>12</v>
      </c>
    </row>
    <row r="11" spans="1:5" s="4" customFormat="1" ht="120" x14ac:dyDescent="0.25">
      <c r="A11" s="40" t="s">
        <v>456</v>
      </c>
      <c r="B11" s="40" t="s">
        <v>457</v>
      </c>
      <c r="C11" s="40" t="s">
        <v>458</v>
      </c>
      <c r="D11" s="112" t="s">
        <v>459</v>
      </c>
      <c r="E11" s="113"/>
    </row>
    <row r="12" spans="1:5" x14ac:dyDescent="0.25">
      <c r="A12" s="11"/>
      <c r="B12" s="106"/>
      <c r="C12" s="106"/>
    </row>
    <row r="13" spans="1:5" s="5" customFormat="1" ht="28.5" x14ac:dyDescent="0.25">
      <c r="A13" s="105" t="s">
        <v>126</v>
      </c>
      <c r="B13" s="105"/>
      <c r="C13" s="105"/>
      <c r="D13" s="105"/>
      <c r="E13" s="85">
        <v>3</v>
      </c>
    </row>
    <row r="14" spans="1:5" x14ac:dyDescent="0.25">
      <c r="A14" s="9"/>
      <c r="B14" s="9"/>
      <c r="C14" s="9"/>
      <c r="D14" s="9"/>
      <c r="E14" s="9"/>
    </row>
    <row r="15" spans="1:5" ht="28.5" x14ac:dyDescent="0.25">
      <c r="A15" s="105" t="s">
        <v>187</v>
      </c>
      <c r="B15" s="105"/>
      <c r="C15" s="105"/>
      <c r="D15" s="105"/>
      <c r="E15" s="86">
        <v>3.6</v>
      </c>
    </row>
    <row r="16" spans="1:5" x14ac:dyDescent="0.25">
      <c r="A16" s="9"/>
      <c r="B16" s="9"/>
      <c r="C16" s="9"/>
      <c r="D16" s="9"/>
      <c r="E16" s="9"/>
    </row>
    <row r="17" spans="1:5" ht="78.75" x14ac:dyDescent="0.25">
      <c r="A17" s="69" t="s">
        <v>188</v>
      </c>
      <c r="B17" s="98" t="s">
        <v>1107</v>
      </c>
      <c r="C17" s="99"/>
      <c r="D17" s="99"/>
      <c r="E17" s="100"/>
    </row>
  </sheetData>
  <mergeCells count="12">
    <mergeCell ref="A15:D15"/>
    <mergeCell ref="B17:E17"/>
    <mergeCell ref="A1:D1"/>
    <mergeCell ref="A3:E3"/>
    <mergeCell ref="A9:E9"/>
    <mergeCell ref="B12:C12"/>
    <mergeCell ref="A13:D13"/>
    <mergeCell ref="A5:A7"/>
    <mergeCell ref="B5:B7"/>
    <mergeCell ref="C5:C7"/>
    <mergeCell ref="E5:E7"/>
    <mergeCell ref="D11:E1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zoomScale="90" zoomScaleNormal="90" workbookViewId="0">
      <selection activeCell="E1" sqref="E1"/>
    </sheetView>
  </sheetViews>
  <sheetFormatPr defaultRowHeight="15" x14ac:dyDescent="0.25"/>
  <cols>
    <col min="1" max="5" width="25.7109375" customWidth="1"/>
  </cols>
  <sheetData>
    <row r="1" spans="1:5" ht="57" x14ac:dyDescent="0.85">
      <c r="A1" s="101" t="s">
        <v>14</v>
      </c>
      <c r="B1" s="101"/>
      <c r="C1" s="101"/>
      <c r="D1" s="101"/>
      <c r="E1" s="26" t="s">
        <v>312</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54.95" customHeight="1" x14ac:dyDescent="0.25">
      <c r="A5" s="107" t="s">
        <v>484</v>
      </c>
      <c r="B5" s="107" t="s">
        <v>134</v>
      </c>
      <c r="C5" s="107" t="str">
        <f>A5</f>
        <v>Pimpinan Fakultas/Departemen: (1)Melaksanakan 7 fungsi manajemen (perencanaan, pengorganisasian, penempatan personel, pelaksanaan, pengendalian dan pengawasan, koordinasi, dan pelaporan) secara efektif dan efisien; (2)Melaporkan kinerja fakultas/ departemen (LKPS) dan mengevaluasinya sebagai dasar perbaikan dan/atau tindak lanjut (LED) setiap tahun; dan (3)Melakukan inovasi untuk menghasilkan nilai tambah.</v>
      </c>
      <c r="D5" s="32" t="s">
        <v>135</v>
      </c>
      <c r="E5" s="108" t="s">
        <v>545</v>
      </c>
    </row>
    <row r="6" spans="1:5" s="1" customFormat="1" ht="54.95" customHeight="1" x14ac:dyDescent="0.25">
      <c r="A6" s="107"/>
      <c r="B6" s="107"/>
      <c r="C6" s="107"/>
      <c r="D6" s="32" t="s">
        <v>136</v>
      </c>
      <c r="E6" s="114"/>
    </row>
    <row r="7" spans="1:5" s="1" customFormat="1" ht="54.95" customHeight="1" x14ac:dyDescent="0.25">
      <c r="A7" s="107"/>
      <c r="B7" s="107"/>
      <c r="C7" s="107"/>
      <c r="D7" s="32" t="s">
        <v>137</v>
      </c>
      <c r="E7" s="114"/>
    </row>
    <row r="8" spans="1:5" s="1" customFormat="1" ht="54.95" customHeight="1" x14ac:dyDescent="0.25">
      <c r="A8" s="107"/>
      <c r="B8" s="107"/>
      <c r="C8" s="107"/>
      <c r="D8" s="32" t="s">
        <v>138</v>
      </c>
      <c r="E8" s="114"/>
    </row>
    <row r="9" spans="1:5" s="1" customFormat="1" ht="54.95" customHeight="1" x14ac:dyDescent="0.25">
      <c r="A9" s="107"/>
      <c r="B9" s="107"/>
      <c r="C9" s="107"/>
      <c r="D9" s="32" t="s">
        <v>139</v>
      </c>
      <c r="E9" s="109"/>
    </row>
    <row r="11" spans="1:5" x14ac:dyDescent="0.25">
      <c r="A11" s="104" t="s">
        <v>7</v>
      </c>
      <c r="B11" s="104"/>
      <c r="C11" s="104"/>
      <c r="D11" s="104"/>
      <c r="E11" s="104"/>
    </row>
    <row r="12" spans="1:5" x14ac:dyDescent="0.25">
      <c r="A12" s="31" t="s">
        <v>8</v>
      </c>
      <c r="B12" s="31" t="s">
        <v>9</v>
      </c>
      <c r="C12" s="31" t="s">
        <v>10</v>
      </c>
      <c r="D12" s="31" t="s">
        <v>11</v>
      </c>
      <c r="E12" s="31" t="s">
        <v>12</v>
      </c>
    </row>
    <row r="13" spans="1:5" s="4" customFormat="1" ht="200.1" customHeight="1" x14ac:dyDescent="0.25">
      <c r="A13" s="40" t="s">
        <v>460</v>
      </c>
      <c r="B13" s="40" t="s">
        <v>461</v>
      </c>
      <c r="C13" s="40" t="s">
        <v>462</v>
      </c>
      <c r="D13" s="40" t="s">
        <v>463</v>
      </c>
      <c r="E13" s="40" t="s">
        <v>451</v>
      </c>
    </row>
    <row r="14" spans="1:5" x14ac:dyDescent="0.25">
      <c r="A14" s="11"/>
      <c r="B14" s="106"/>
      <c r="C14" s="106"/>
    </row>
    <row r="15" spans="1:5" s="5" customFormat="1" ht="28.5" x14ac:dyDescent="0.25">
      <c r="A15" s="105" t="s">
        <v>126</v>
      </c>
      <c r="B15" s="105"/>
      <c r="C15" s="105"/>
      <c r="D15" s="105"/>
      <c r="E15" s="85">
        <v>3</v>
      </c>
    </row>
    <row r="16" spans="1:5" x14ac:dyDescent="0.25">
      <c r="A16" s="9"/>
      <c r="B16" s="9"/>
      <c r="C16" s="9"/>
      <c r="D16" s="9"/>
      <c r="E16" s="9"/>
    </row>
    <row r="17" spans="1:5" ht="28.5" x14ac:dyDescent="0.25">
      <c r="A17" s="105" t="s">
        <v>187</v>
      </c>
      <c r="B17" s="105"/>
      <c r="C17" s="105"/>
      <c r="D17" s="105"/>
      <c r="E17" s="86">
        <v>3.2</v>
      </c>
    </row>
    <row r="18" spans="1:5" x14ac:dyDescent="0.25">
      <c r="A18" s="9"/>
      <c r="B18" s="9"/>
      <c r="C18" s="9"/>
      <c r="D18" s="9"/>
      <c r="E18" s="9"/>
    </row>
    <row r="19" spans="1:5" ht="78.75" x14ac:dyDescent="0.25">
      <c r="A19" s="69" t="s">
        <v>188</v>
      </c>
      <c r="B19" s="98" t="s">
        <v>1107</v>
      </c>
      <c r="C19" s="99"/>
      <c r="D19" s="99"/>
      <c r="E19" s="100"/>
    </row>
  </sheetData>
  <mergeCells count="11">
    <mergeCell ref="A17:D17"/>
    <mergeCell ref="B19:E19"/>
    <mergeCell ref="A1:D1"/>
    <mergeCell ref="A3:E3"/>
    <mergeCell ref="A11:E11"/>
    <mergeCell ref="B14:C14"/>
    <mergeCell ref="A15:D15"/>
    <mergeCell ref="B5:B9"/>
    <mergeCell ref="C5:C9"/>
    <mergeCell ref="A5:A9"/>
    <mergeCell ref="E5:E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zoomScale="90" zoomScaleNormal="90" workbookViewId="0">
      <selection activeCell="E1" sqref="E1"/>
    </sheetView>
  </sheetViews>
  <sheetFormatPr defaultRowHeight="15" x14ac:dyDescent="0.25"/>
  <cols>
    <col min="1" max="5" width="25.7109375" customWidth="1"/>
  </cols>
  <sheetData>
    <row r="1" spans="1:5" ht="57" x14ac:dyDescent="0.85">
      <c r="A1" s="101" t="s">
        <v>14</v>
      </c>
      <c r="B1" s="101"/>
      <c r="C1" s="101"/>
      <c r="D1" s="101"/>
      <c r="E1" s="26" t="s">
        <v>314</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90" customHeight="1" x14ac:dyDescent="0.25">
      <c r="A5" s="107" t="s">
        <v>485</v>
      </c>
      <c r="B5" s="107" t="s">
        <v>313</v>
      </c>
      <c r="C5" s="107" t="str">
        <f>A5</f>
        <v xml:space="preserve">Fakultas/ departemen menjalin kerjasama kelembagaan dengan lembaga dari dalam dan luar negeri minimal sebanyak 3 kerjasama internasional dan 12 kerjasama nasional dalam 3 tahun terakhir yang memenuhi 3 aspek berikut: (1)Memberikan manfaat bagi program studi dalam pemenuhan proses pembelajaran, penelitian, PKM; (2)Memberikan peningkatan kinerja tridharma &amp; fasilitas pendukung program studi; dan (3)Memberikan kepuasan kepada mitra kerjasama, serta menjamin keberlanjutan kerjasama dan hasilnya.
</v>
      </c>
      <c r="D5" s="32" t="s">
        <v>140</v>
      </c>
      <c r="E5" s="110" t="s">
        <v>546</v>
      </c>
    </row>
    <row r="6" spans="1:5" s="1" customFormat="1" ht="90" customHeight="1" x14ac:dyDescent="0.25">
      <c r="A6" s="107"/>
      <c r="B6" s="107"/>
      <c r="C6" s="107"/>
      <c r="D6" s="32" t="s">
        <v>141</v>
      </c>
      <c r="E6" s="111"/>
    </row>
    <row r="7" spans="1:5" s="1" customFormat="1" ht="90" customHeight="1" x14ac:dyDescent="0.25">
      <c r="A7" s="107"/>
      <c r="B7" s="107"/>
      <c r="C7" s="107"/>
      <c r="D7" s="32" t="s">
        <v>142</v>
      </c>
      <c r="E7" s="111"/>
    </row>
    <row r="8" spans="1:5" s="1" customFormat="1" ht="90" customHeight="1" x14ac:dyDescent="0.25">
      <c r="A8" s="107"/>
      <c r="B8" s="107"/>
      <c r="C8" s="107"/>
      <c r="D8" s="32" t="s">
        <v>143</v>
      </c>
      <c r="E8" s="111"/>
    </row>
    <row r="10" spans="1:5" x14ac:dyDescent="0.25">
      <c r="A10" s="104" t="s">
        <v>7</v>
      </c>
      <c r="B10" s="104"/>
      <c r="C10" s="104"/>
      <c r="D10" s="104"/>
      <c r="E10" s="104"/>
    </row>
    <row r="11" spans="1:5" x14ac:dyDescent="0.25">
      <c r="A11" s="31" t="s">
        <v>8</v>
      </c>
      <c r="B11" s="31" t="s">
        <v>9</v>
      </c>
      <c r="C11" s="31" t="s">
        <v>10</v>
      </c>
      <c r="D11" s="31" t="s">
        <v>11</v>
      </c>
      <c r="E11" s="31" t="s">
        <v>12</v>
      </c>
    </row>
    <row r="12" spans="1:5" s="4" customFormat="1" ht="75" x14ac:dyDescent="0.25">
      <c r="A12" s="40" t="s">
        <v>464</v>
      </c>
      <c r="B12" s="40" t="s">
        <v>465</v>
      </c>
      <c r="C12" s="40" t="s">
        <v>466</v>
      </c>
      <c r="D12" s="40" t="s">
        <v>467</v>
      </c>
      <c r="E12" s="40" t="s">
        <v>451</v>
      </c>
    </row>
    <row r="13" spans="1:5" x14ac:dyDescent="0.25">
      <c r="A13" s="11"/>
      <c r="B13" s="106"/>
      <c r="C13" s="106"/>
    </row>
    <row r="14" spans="1:5" s="5" customFormat="1" ht="28.5" x14ac:dyDescent="0.25">
      <c r="A14" s="105" t="s">
        <v>126</v>
      </c>
      <c r="B14" s="105"/>
      <c r="C14" s="105"/>
      <c r="D14" s="105"/>
      <c r="E14" s="85">
        <v>3</v>
      </c>
    </row>
    <row r="15" spans="1:5" x14ac:dyDescent="0.25">
      <c r="A15" s="9"/>
      <c r="B15" s="9"/>
      <c r="C15" s="9"/>
      <c r="D15" s="9"/>
      <c r="E15" s="9"/>
    </row>
    <row r="16" spans="1:5" ht="28.5" x14ac:dyDescent="0.25">
      <c r="A16" s="105" t="s">
        <v>187</v>
      </c>
      <c r="B16" s="105"/>
      <c r="C16" s="105"/>
      <c r="D16" s="105"/>
      <c r="E16" s="86">
        <v>4</v>
      </c>
    </row>
    <row r="17" spans="1:5" x14ac:dyDescent="0.25">
      <c r="A17" s="9"/>
      <c r="B17" s="9"/>
      <c r="C17" s="9"/>
      <c r="D17" s="9"/>
      <c r="E17" s="9"/>
    </row>
    <row r="18" spans="1:5" ht="78.75" x14ac:dyDescent="0.25">
      <c r="A18" s="69" t="s">
        <v>188</v>
      </c>
      <c r="B18" s="98" t="s">
        <v>1107</v>
      </c>
      <c r="C18" s="99"/>
      <c r="D18" s="99"/>
      <c r="E18" s="100"/>
    </row>
  </sheetData>
  <mergeCells count="11">
    <mergeCell ref="A1:D1"/>
    <mergeCell ref="A3:E3"/>
    <mergeCell ref="A10:E10"/>
    <mergeCell ref="A16:D16"/>
    <mergeCell ref="B18:E18"/>
    <mergeCell ref="B13:C13"/>
    <mergeCell ref="A14:D14"/>
    <mergeCell ref="E5:E8"/>
    <mergeCell ref="C5:C8"/>
    <mergeCell ref="B5:B8"/>
    <mergeCell ref="A5:A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zoomScale="90" zoomScaleNormal="90" workbookViewId="0">
      <selection activeCell="E1" sqref="E1"/>
    </sheetView>
  </sheetViews>
  <sheetFormatPr defaultRowHeight="15" x14ac:dyDescent="0.25"/>
  <cols>
    <col min="1" max="5" width="25.7109375" customWidth="1"/>
  </cols>
  <sheetData>
    <row r="1" spans="1:5" ht="57" x14ac:dyDescent="0.85">
      <c r="A1" s="101" t="s">
        <v>14</v>
      </c>
      <c r="B1" s="101"/>
      <c r="C1" s="101"/>
      <c r="D1" s="101"/>
      <c r="E1" s="26" t="s">
        <v>315</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60" customHeight="1" x14ac:dyDescent="0.25">
      <c r="A5" s="107" t="s">
        <v>486</v>
      </c>
      <c r="B5" s="107" t="s">
        <v>144</v>
      </c>
      <c r="C5" s="107" t="str">
        <f>A5</f>
        <v>Fakultas/ departemen memiliki unit penjaminan mutu dan menerapkan SPMI (akademik dan non akademik) yang dibuktikan dengan 5 aspek: (1)Dokumen legal pembentukan unsur pelaksana penjaminan mutu; (2)Ketersediaan dokumen mutu: kebijakan SPMI, manual SPMI, Standar SPMI, dan formulir SPMI; (3)Terlaksananya siklus penjaminan mutu (siklus PPEPP); (4)Bukti sahih efektivitas pelaksanaan penjaminan mutu; (5)Memiliki external benchmarking dalam peningkatan mutu.</v>
      </c>
      <c r="D5" s="32" t="s">
        <v>145</v>
      </c>
      <c r="E5" s="110" t="s">
        <v>547</v>
      </c>
    </row>
    <row r="6" spans="1:5" s="1" customFormat="1" ht="60" customHeight="1" x14ac:dyDescent="0.25">
      <c r="A6" s="107"/>
      <c r="B6" s="107"/>
      <c r="C6" s="107"/>
      <c r="D6" s="32" t="s">
        <v>146</v>
      </c>
      <c r="E6" s="111"/>
    </row>
    <row r="7" spans="1:5" s="1" customFormat="1" ht="60" customHeight="1" x14ac:dyDescent="0.25">
      <c r="A7" s="107"/>
      <c r="B7" s="107"/>
      <c r="C7" s="107"/>
      <c r="D7" s="32" t="s">
        <v>147</v>
      </c>
      <c r="E7" s="111"/>
    </row>
    <row r="8" spans="1:5" s="1" customFormat="1" ht="60" customHeight="1" x14ac:dyDescent="0.25">
      <c r="A8" s="107"/>
      <c r="B8" s="107"/>
      <c r="C8" s="107"/>
      <c r="D8" s="32" t="s">
        <v>148</v>
      </c>
      <c r="E8" s="111"/>
    </row>
    <row r="9" spans="1:5" s="1" customFormat="1" ht="60" customHeight="1" x14ac:dyDescent="0.25">
      <c r="A9" s="107"/>
      <c r="B9" s="107"/>
      <c r="C9" s="107"/>
      <c r="D9" s="32" t="s">
        <v>149</v>
      </c>
      <c r="E9" s="111"/>
    </row>
    <row r="11" spans="1:5" x14ac:dyDescent="0.25">
      <c r="A11" s="104" t="s">
        <v>7</v>
      </c>
      <c r="B11" s="104"/>
      <c r="C11" s="104"/>
      <c r="D11" s="104"/>
      <c r="E11" s="104"/>
    </row>
    <row r="12" spans="1:5" x14ac:dyDescent="0.25">
      <c r="A12" s="31" t="s">
        <v>8</v>
      </c>
      <c r="B12" s="31" t="s">
        <v>9</v>
      </c>
      <c r="C12" s="31" t="s">
        <v>10</v>
      </c>
      <c r="D12" s="31" t="s">
        <v>11</v>
      </c>
      <c r="E12" s="31" t="s">
        <v>12</v>
      </c>
    </row>
    <row r="13" spans="1:5" s="4" customFormat="1" ht="135" x14ac:dyDescent="0.25">
      <c r="A13" s="40" t="s">
        <v>468</v>
      </c>
      <c r="B13" s="40" t="s">
        <v>469</v>
      </c>
      <c r="C13" s="40" t="s">
        <v>470</v>
      </c>
      <c r="D13" s="40" t="s">
        <v>471</v>
      </c>
      <c r="E13" s="40" t="s">
        <v>472</v>
      </c>
    </row>
    <row r="14" spans="1:5" x14ac:dyDescent="0.25">
      <c r="A14" s="11"/>
      <c r="B14" s="106"/>
      <c r="C14" s="106"/>
    </row>
    <row r="15" spans="1:5" s="5" customFormat="1" ht="28.5" x14ac:dyDescent="0.25">
      <c r="A15" s="105" t="s">
        <v>126</v>
      </c>
      <c r="B15" s="105"/>
      <c r="C15" s="105"/>
      <c r="D15" s="105"/>
      <c r="E15" s="85">
        <v>3</v>
      </c>
    </row>
    <row r="16" spans="1:5" x14ac:dyDescent="0.25">
      <c r="A16" s="9"/>
      <c r="B16" s="9"/>
      <c r="C16" s="9"/>
      <c r="D16" s="9"/>
      <c r="E16" s="9"/>
    </row>
    <row r="17" spans="1:5" ht="28.5" x14ac:dyDescent="0.25">
      <c r="A17" s="105" t="s">
        <v>187</v>
      </c>
      <c r="B17" s="105"/>
      <c r="C17" s="105"/>
      <c r="D17" s="105"/>
      <c r="E17" s="86">
        <v>4</v>
      </c>
    </row>
    <row r="18" spans="1:5" x14ac:dyDescent="0.25">
      <c r="A18" s="9"/>
      <c r="B18" s="9"/>
      <c r="C18" s="9"/>
      <c r="D18" s="9"/>
      <c r="E18" s="9"/>
    </row>
    <row r="19" spans="1:5" ht="78.75" x14ac:dyDescent="0.25">
      <c r="A19" s="69" t="s">
        <v>188</v>
      </c>
      <c r="B19" s="98" t="s">
        <v>1107</v>
      </c>
      <c r="C19" s="99"/>
      <c r="D19" s="99"/>
      <c r="E19" s="100"/>
    </row>
  </sheetData>
  <mergeCells count="11">
    <mergeCell ref="A17:D17"/>
    <mergeCell ref="B19:E19"/>
    <mergeCell ref="A1:D1"/>
    <mergeCell ref="A3:E3"/>
    <mergeCell ref="A11:E11"/>
    <mergeCell ref="B14:C14"/>
    <mergeCell ref="A15:D15"/>
    <mergeCell ref="A5:A9"/>
    <mergeCell ref="B5:B9"/>
    <mergeCell ref="C5:C9"/>
    <mergeCell ref="E5:E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E1" sqref="E1"/>
    </sheetView>
  </sheetViews>
  <sheetFormatPr defaultRowHeight="15" x14ac:dyDescent="0.25"/>
  <cols>
    <col min="1" max="5" width="25.7109375" customWidth="1"/>
  </cols>
  <sheetData>
    <row r="1" spans="1:5" ht="57" x14ac:dyDescent="0.85">
      <c r="A1" s="101" t="s">
        <v>14</v>
      </c>
      <c r="B1" s="101"/>
      <c r="C1" s="101"/>
      <c r="D1" s="101"/>
      <c r="E1" s="7" t="s">
        <v>316</v>
      </c>
    </row>
    <row r="3" spans="1:5" x14ac:dyDescent="0.25">
      <c r="A3" s="102" t="s">
        <v>4</v>
      </c>
      <c r="B3" s="102"/>
      <c r="C3" s="102"/>
      <c r="D3" s="102"/>
      <c r="E3" s="103"/>
    </row>
    <row r="4" spans="1:5" ht="30" x14ac:dyDescent="0.25">
      <c r="A4" s="50" t="s">
        <v>0</v>
      </c>
      <c r="B4" s="50" t="s">
        <v>1</v>
      </c>
      <c r="C4" s="50" t="s">
        <v>2</v>
      </c>
      <c r="D4" s="50" t="s">
        <v>3</v>
      </c>
      <c r="E4" s="15" t="s">
        <v>537</v>
      </c>
    </row>
    <row r="5" spans="1:5" ht="105" x14ac:dyDescent="0.25">
      <c r="A5" s="40" t="s">
        <v>487</v>
      </c>
      <c r="B5" s="2" t="s">
        <v>5</v>
      </c>
      <c r="C5" s="2" t="str">
        <f>A5</f>
        <v>Fakultas/ departemen menyusun perencanaan penjaminan mutu untuk unitnya masing-masing.</v>
      </c>
      <c r="D5" s="2" t="s">
        <v>6</v>
      </c>
      <c r="E5" s="52" t="s">
        <v>548</v>
      </c>
    </row>
    <row r="7" spans="1:5" x14ac:dyDescent="0.25">
      <c r="A7" s="104" t="s">
        <v>7</v>
      </c>
      <c r="B7" s="104"/>
      <c r="C7" s="104"/>
      <c r="D7" s="104"/>
      <c r="E7" s="104"/>
    </row>
    <row r="8" spans="1:5" x14ac:dyDescent="0.25">
      <c r="A8" s="3" t="s">
        <v>8</v>
      </c>
      <c r="B8" s="3" t="s">
        <v>9</v>
      </c>
      <c r="C8" s="3" t="s">
        <v>10</v>
      </c>
      <c r="D8" s="3" t="s">
        <v>11</v>
      </c>
      <c r="E8" s="3" t="s">
        <v>12</v>
      </c>
    </row>
    <row r="9" spans="1:5" s="4" customFormat="1" ht="135" x14ac:dyDescent="0.25">
      <c r="A9" s="40" t="s">
        <v>476</v>
      </c>
      <c r="B9" s="40" t="s">
        <v>473</v>
      </c>
      <c r="C9" s="40" t="s">
        <v>474</v>
      </c>
      <c r="D9" s="40" t="s">
        <v>475</v>
      </c>
      <c r="E9" s="40" t="s">
        <v>475</v>
      </c>
    </row>
    <row r="11" spans="1:5" s="5" customFormat="1" ht="28.5" x14ac:dyDescent="0.25">
      <c r="A11" s="105" t="s">
        <v>13</v>
      </c>
      <c r="B11" s="105"/>
      <c r="C11" s="105"/>
      <c r="D11" s="105"/>
      <c r="E11" s="85">
        <v>3</v>
      </c>
    </row>
    <row r="12" spans="1:5" x14ac:dyDescent="0.25">
      <c r="A12" s="9"/>
      <c r="B12" s="9"/>
      <c r="C12" s="9"/>
      <c r="D12" s="9"/>
      <c r="E12" s="9"/>
    </row>
    <row r="13" spans="1:5" ht="28.5" x14ac:dyDescent="0.25">
      <c r="A13" s="105" t="s">
        <v>187</v>
      </c>
      <c r="B13" s="105"/>
      <c r="C13" s="105"/>
      <c r="D13" s="105"/>
      <c r="E13" s="86">
        <v>3</v>
      </c>
    </row>
    <row r="14" spans="1:5" x14ac:dyDescent="0.25">
      <c r="A14" s="9"/>
      <c r="B14" s="9"/>
      <c r="C14" s="9"/>
      <c r="D14" s="9"/>
      <c r="E14" s="9"/>
    </row>
    <row r="15" spans="1:5" ht="78.75" x14ac:dyDescent="0.25">
      <c r="A15" s="69" t="s">
        <v>188</v>
      </c>
      <c r="B15" s="98" t="s">
        <v>1107</v>
      </c>
      <c r="C15" s="99"/>
      <c r="D15" s="99"/>
      <c r="E15" s="100"/>
    </row>
  </sheetData>
  <mergeCells count="6">
    <mergeCell ref="B15:E15"/>
    <mergeCell ref="A1:D1"/>
    <mergeCell ref="A3:E3"/>
    <mergeCell ref="A7:E7"/>
    <mergeCell ref="A11:D11"/>
    <mergeCell ref="A13:D13"/>
  </mergeCells>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4" workbookViewId="0">
      <selection activeCell="E18" sqref="E18"/>
    </sheetView>
  </sheetViews>
  <sheetFormatPr defaultRowHeight="15" x14ac:dyDescent="0.25"/>
  <cols>
    <col min="1" max="5" width="25.7109375" customWidth="1"/>
  </cols>
  <sheetData>
    <row r="1" spans="1:5" ht="57" x14ac:dyDescent="0.85">
      <c r="A1" s="101" t="s">
        <v>14</v>
      </c>
      <c r="B1" s="101"/>
      <c r="C1" s="101"/>
      <c r="D1" s="101"/>
      <c r="E1" s="7" t="s">
        <v>317</v>
      </c>
    </row>
    <row r="3" spans="1:5" x14ac:dyDescent="0.25">
      <c r="A3" s="102" t="s">
        <v>4</v>
      </c>
      <c r="B3" s="102"/>
      <c r="C3" s="102"/>
      <c r="D3" s="102"/>
      <c r="E3" s="102"/>
    </row>
    <row r="4" spans="1:5" ht="30" x14ac:dyDescent="0.25">
      <c r="A4" s="50" t="s">
        <v>0</v>
      </c>
      <c r="B4" s="50" t="s">
        <v>1</v>
      </c>
      <c r="C4" s="50" t="s">
        <v>2</v>
      </c>
      <c r="D4" s="50" t="s">
        <v>3</v>
      </c>
      <c r="E4" s="15" t="s">
        <v>537</v>
      </c>
    </row>
    <row r="5" spans="1:5" x14ac:dyDescent="0.25">
      <c r="A5" s="107" t="s">
        <v>488</v>
      </c>
      <c r="B5" s="107" t="s">
        <v>15</v>
      </c>
      <c r="C5" s="107" t="str">
        <f>A5</f>
        <v>Fakultas/ departemen melaksanakan program dan kegiatan untuk mencapai standar SPMI sesuai dengan prosedur yang telah ditetapkan.</v>
      </c>
      <c r="D5" s="2" t="s">
        <v>6</v>
      </c>
      <c r="E5" s="108" t="s">
        <v>549</v>
      </c>
    </row>
    <row r="6" spans="1:5" ht="30" x14ac:dyDescent="0.25">
      <c r="A6" s="107"/>
      <c r="B6" s="107"/>
      <c r="C6" s="107"/>
      <c r="D6" s="2" t="s">
        <v>16</v>
      </c>
      <c r="E6" s="114"/>
    </row>
    <row r="7" spans="1:5" ht="60" x14ac:dyDescent="0.25">
      <c r="A7" s="107"/>
      <c r="B7" s="107"/>
      <c r="C7" s="107"/>
      <c r="D7" s="2" t="s">
        <v>17</v>
      </c>
      <c r="E7" s="109"/>
    </row>
    <row r="9" spans="1:5" x14ac:dyDescent="0.25">
      <c r="A9" s="104" t="s">
        <v>7</v>
      </c>
      <c r="B9" s="104"/>
      <c r="C9" s="104"/>
      <c r="D9" s="104"/>
      <c r="E9" s="104"/>
    </row>
    <row r="10" spans="1:5" x14ac:dyDescent="0.25">
      <c r="A10" s="3" t="s">
        <v>8</v>
      </c>
      <c r="B10" s="3" t="s">
        <v>9</v>
      </c>
      <c r="C10" s="3" t="s">
        <v>10</v>
      </c>
      <c r="D10" s="3" t="s">
        <v>11</v>
      </c>
      <c r="E10" s="3" t="s">
        <v>12</v>
      </c>
    </row>
    <row r="11" spans="1:5" s="4" customFormat="1" ht="180" x14ac:dyDescent="0.25">
      <c r="A11" s="40" t="s">
        <v>489</v>
      </c>
      <c r="B11" s="40" t="s">
        <v>490</v>
      </c>
      <c r="C11" s="40" t="s">
        <v>491</v>
      </c>
      <c r="D11" s="40" t="s">
        <v>492</v>
      </c>
      <c r="E11" s="40" t="s">
        <v>493</v>
      </c>
    </row>
    <row r="13" spans="1:5" s="5" customFormat="1" ht="28.5" x14ac:dyDescent="0.25">
      <c r="A13" s="105" t="s">
        <v>13</v>
      </c>
      <c r="B13" s="105"/>
      <c r="C13" s="105"/>
      <c r="D13" s="105"/>
      <c r="E13" s="85">
        <v>3</v>
      </c>
    </row>
    <row r="14" spans="1:5" x14ac:dyDescent="0.25">
      <c r="A14" s="9"/>
      <c r="B14" s="9"/>
      <c r="C14" s="9"/>
      <c r="D14" s="9"/>
      <c r="E14" s="9"/>
    </row>
    <row r="15" spans="1:5" ht="28.5" x14ac:dyDescent="0.25">
      <c r="A15" s="105" t="s">
        <v>187</v>
      </c>
      <c r="B15" s="105"/>
      <c r="C15" s="105"/>
      <c r="D15" s="105"/>
      <c r="E15" s="86">
        <v>3.2</v>
      </c>
    </row>
    <row r="16" spans="1:5" x14ac:dyDescent="0.25">
      <c r="A16" s="9"/>
      <c r="B16" s="9"/>
      <c r="C16" s="9"/>
      <c r="D16" s="9"/>
      <c r="E16" s="9"/>
    </row>
    <row r="17" spans="1:5" ht="78.75" x14ac:dyDescent="0.25">
      <c r="A17" s="69" t="s">
        <v>188</v>
      </c>
      <c r="B17" s="98" t="s">
        <v>1107</v>
      </c>
      <c r="C17" s="99"/>
      <c r="D17" s="99"/>
      <c r="E17" s="100"/>
    </row>
  </sheetData>
  <mergeCells count="10">
    <mergeCell ref="A15:D15"/>
    <mergeCell ref="B17:E17"/>
    <mergeCell ref="A1:D1"/>
    <mergeCell ref="A3:E3"/>
    <mergeCell ref="A9:E9"/>
    <mergeCell ref="A13:D13"/>
    <mergeCell ref="C5:C7"/>
    <mergeCell ref="B5:B7"/>
    <mergeCell ref="A5:A7"/>
    <mergeCell ref="E5:E7"/>
  </mergeCells>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E17" sqref="E17"/>
    </sheetView>
  </sheetViews>
  <sheetFormatPr defaultRowHeight="15" x14ac:dyDescent="0.25"/>
  <cols>
    <col min="1" max="5" width="25.7109375" customWidth="1"/>
  </cols>
  <sheetData>
    <row r="1" spans="1:5" ht="57" x14ac:dyDescent="0.85">
      <c r="A1" s="101" t="s">
        <v>14</v>
      </c>
      <c r="B1" s="101"/>
      <c r="C1" s="101"/>
      <c r="D1" s="101"/>
      <c r="E1" s="7" t="s">
        <v>318</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50.1" customHeight="1" x14ac:dyDescent="0.25">
      <c r="A5" s="107" t="s">
        <v>494</v>
      </c>
      <c r="B5" s="107" t="s">
        <v>18</v>
      </c>
      <c r="C5" s="107" t="str">
        <f>A5</f>
        <v>Fakultas/ departemen mengevaluasi pencapaian standar dan pelaksanaan prosedur secara berkala dan berkelanjutan minimal 1 siklus per tahun</v>
      </c>
      <c r="D5" s="2" t="s">
        <v>19</v>
      </c>
      <c r="E5" s="108" t="s">
        <v>550</v>
      </c>
    </row>
    <row r="6" spans="1:5" s="1" customFormat="1" ht="50.1" customHeight="1" x14ac:dyDescent="0.25">
      <c r="A6" s="107"/>
      <c r="B6" s="107"/>
      <c r="C6" s="107"/>
      <c r="D6" s="2" t="s">
        <v>16</v>
      </c>
      <c r="E6" s="109"/>
    </row>
    <row r="8" spans="1:5" x14ac:dyDescent="0.25">
      <c r="A8" s="104" t="s">
        <v>7</v>
      </c>
      <c r="B8" s="104"/>
      <c r="C8" s="104"/>
      <c r="D8" s="104"/>
      <c r="E8" s="104"/>
    </row>
    <row r="9" spans="1:5" x14ac:dyDescent="0.25">
      <c r="A9" s="3" t="s">
        <v>8</v>
      </c>
      <c r="B9" s="3" t="s">
        <v>9</v>
      </c>
      <c r="C9" s="3" t="s">
        <v>10</v>
      </c>
      <c r="D9" s="3" t="s">
        <v>11</v>
      </c>
      <c r="E9" s="3" t="s">
        <v>12</v>
      </c>
    </row>
    <row r="10" spans="1:5" s="4" customFormat="1" ht="120" x14ac:dyDescent="0.25">
      <c r="A10" s="40" t="s">
        <v>495</v>
      </c>
      <c r="B10" s="40" t="s">
        <v>496</v>
      </c>
      <c r="C10" s="40" t="s">
        <v>497</v>
      </c>
      <c r="D10" s="40" t="s">
        <v>498</v>
      </c>
      <c r="E10" s="40" t="s">
        <v>499</v>
      </c>
    </row>
    <row r="12" spans="1:5" s="5" customFormat="1" ht="28.5" x14ac:dyDescent="0.25">
      <c r="A12" s="105" t="s">
        <v>13</v>
      </c>
      <c r="B12" s="105"/>
      <c r="C12" s="105"/>
      <c r="D12" s="105"/>
      <c r="E12" s="85">
        <v>3</v>
      </c>
    </row>
    <row r="13" spans="1:5" x14ac:dyDescent="0.25">
      <c r="A13" s="9"/>
      <c r="B13" s="9"/>
      <c r="C13" s="9"/>
      <c r="D13" s="9"/>
      <c r="E13" s="9"/>
    </row>
    <row r="14" spans="1:5" ht="28.5" x14ac:dyDescent="0.25">
      <c r="A14" s="105" t="s">
        <v>187</v>
      </c>
      <c r="B14" s="105"/>
      <c r="C14" s="105"/>
      <c r="D14" s="105"/>
      <c r="E14" s="86">
        <v>4</v>
      </c>
    </row>
    <row r="15" spans="1:5" x14ac:dyDescent="0.25">
      <c r="A15" s="9"/>
      <c r="B15" s="9"/>
      <c r="C15" s="9"/>
      <c r="D15" s="9"/>
      <c r="E15" s="9"/>
    </row>
    <row r="16" spans="1:5" ht="78.75" x14ac:dyDescent="0.25">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90" zoomScaleNormal="90" workbookViewId="0">
      <selection activeCell="E17" sqref="E17"/>
    </sheetView>
  </sheetViews>
  <sheetFormatPr defaultRowHeight="15" x14ac:dyDescent="0.25"/>
  <cols>
    <col min="1" max="5" width="25.7109375" customWidth="1"/>
  </cols>
  <sheetData>
    <row r="1" spans="1:5" ht="57" x14ac:dyDescent="0.85">
      <c r="A1" s="101" t="s">
        <v>14</v>
      </c>
      <c r="B1" s="101"/>
      <c r="C1" s="101"/>
      <c r="D1" s="101"/>
      <c r="E1" s="7" t="s">
        <v>319</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50.1" customHeight="1" x14ac:dyDescent="0.25">
      <c r="A5" s="107" t="s">
        <v>500</v>
      </c>
      <c r="B5" s="107" t="s">
        <v>20</v>
      </c>
      <c r="C5" s="107" t="s">
        <v>500</v>
      </c>
      <c r="D5" s="2" t="s">
        <v>21</v>
      </c>
      <c r="E5" s="108" t="s">
        <v>551</v>
      </c>
    </row>
    <row r="6" spans="1:5" s="1" customFormat="1" ht="50.1" customHeight="1" x14ac:dyDescent="0.25">
      <c r="A6" s="107"/>
      <c r="B6" s="107"/>
      <c r="C6" s="107"/>
      <c r="D6" s="2" t="s">
        <v>22</v>
      </c>
      <c r="E6" s="109"/>
    </row>
    <row r="8" spans="1:5" x14ac:dyDescent="0.25">
      <c r="A8" s="104" t="s">
        <v>7</v>
      </c>
      <c r="B8" s="104"/>
      <c r="C8" s="104"/>
      <c r="D8" s="104"/>
      <c r="E8" s="104"/>
    </row>
    <row r="9" spans="1:5" x14ac:dyDescent="0.25">
      <c r="A9" s="3" t="s">
        <v>8</v>
      </c>
      <c r="B9" s="3" t="s">
        <v>9</v>
      </c>
      <c r="C9" s="3" t="s">
        <v>10</v>
      </c>
      <c r="D9" s="3" t="s">
        <v>11</v>
      </c>
      <c r="E9" s="3" t="s">
        <v>12</v>
      </c>
    </row>
    <row r="10" spans="1:5" s="4" customFormat="1" ht="135" x14ac:dyDescent="0.25">
      <c r="A10" s="40" t="s">
        <v>501</v>
      </c>
      <c r="B10" s="40" t="s">
        <v>502</v>
      </c>
      <c r="C10" s="40" t="s">
        <v>503</v>
      </c>
      <c r="D10" s="40" t="s">
        <v>504</v>
      </c>
      <c r="E10" s="40" t="s">
        <v>505</v>
      </c>
    </row>
    <row r="12" spans="1:5" s="5" customFormat="1" ht="28.5" x14ac:dyDescent="0.25">
      <c r="A12" s="105" t="s">
        <v>13</v>
      </c>
      <c r="B12" s="105"/>
      <c r="C12" s="105"/>
      <c r="D12" s="105"/>
      <c r="E12" s="85">
        <v>3</v>
      </c>
    </row>
    <row r="13" spans="1:5" x14ac:dyDescent="0.25">
      <c r="A13" s="9"/>
      <c r="B13" s="9"/>
      <c r="C13" s="9"/>
      <c r="D13" s="9"/>
      <c r="E13" s="9"/>
    </row>
    <row r="14" spans="1:5" ht="28.5" x14ac:dyDescent="0.25">
      <c r="A14" s="105" t="s">
        <v>187</v>
      </c>
      <c r="B14" s="105"/>
      <c r="C14" s="105"/>
      <c r="D14" s="105"/>
      <c r="E14" s="86">
        <v>3.4</v>
      </c>
    </row>
    <row r="15" spans="1:5" x14ac:dyDescent="0.25">
      <c r="A15" s="9"/>
      <c r="B15" s="9"/>
      <c r="C15" s="9"/>
      <c r="D15" s="9"/>
      <c r="E15" s="9"/>
    </row>
    <row r="16" spans="1:5" ht="78.75" x14ac:dyDescent="0.25">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90" zoomScaleNormal="90" workbookViewId="0">
      <selection activeCell="E1" sqref="E1"/>
    </sheetView>
  </sheetViews>
  <sheetFormatPr defaultRowHeight="15" x14ac:dyDescent="0.25"/>
  <cols>
    <col min="1" max="5" width="25.7109375" customWidth="1"/>
  </cols>
  <sheetData>
    <row r="1" spans="1:5" ht="57" x14ac:dyDescent="0.85">
      <c r="A1" s="101" t="s">
        <v>14</v>
      </c>
      <c r="B1" s="101"/>
      <c r="C1" s="101"/>
      <c r="D1" s="101"/>
      <c r="E1" s="7" t="s">
        <v>320</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39.950000000000003" customHeight="1" x14ac:dyDescent="0.25">
      <c r="A5" s="107" t="s">
        <v>506</v>
      </c>
      <c r="B5" s="107" t="s">
        <v>23</v>
      </c>
      <c r="C5" s="107" t="s">
        <v>506</v>
      </c>
      <c r="D5" s="2" t="s">
        <v>25</v>
      </c>
      <c r="E5" s="108" t="s">
        <v>552</v>
      </c>
    </row>
    <row r="6" spans="1:5" s="1" customFormat="1" ht="39.950000000000003" customHeight="1" x14ac:dyDescent="0.25">
      <c r="A6" s="107"/>
      <c r="B6" s="107"/>
      <c r="C6" s="107"/>
      <c r="D6" s="2" t="s">
        <v>24</v>
      </c>
      <c r="E6" s="109"/>
    </row>
    <row r="8" spans="1:5" x14ac:dyDescent="0.25">
      <c r="A8" s="104" t="s">
        <v>7</v>
      </c>
      <c r="B8" s="104"/>
      <c r="C8" s="104"/>
      <c r="D8" s="104"/>
      <c r="E8" s="104"/>
    </row>
    <row r="9" spans="1:5" x14ac:dyDescent="0.25">
      <c r="A9" s="3" t="s">
        <v>8</v>
      </c>
      <c r="B9" s="3" t="s">
        <v>9</v>
      </c>
      <c r="C9" s="3" t="s">
        <v>10</v>
      </c>
      <c r="D9" s="3" t="s">
        <v>11</v>
      </c>
      <c r="E9" s="3" t="s">
        <v>12</v>
      </c>
    </row>
    <row r="10" spans="1:5" s="4" customFormat="1" ht="45" x14ac:dyDescent="0.25">
      <c r="A10" s="40" t="s">
        <v>507</v>
      </c>
      <c r="B10" s="40" t="s">
        <v>508</v>
      </c>
      <c r="C10" s="40" t="s">
        <v>509</v>
      </c>
      <c r="D10" s="40" t="s">
        <v>510</v>
      </c>
      <c r="E10" s="40" t="s">
        <v>511</v>
      </c>
    </row>
    <row r="12" spans="1:5" s="5" customFormat="1" ht="28.5" x14ac:dyDescent="0.25">
      <c r="A12" s="105" t="s">
        <v>13</v>
      </c>
      <c r="B12" s="105"/>
      <c r="C12" s="105"/>
      <c r="D12" s="105"/>
      <c r="E12" s="85">
        <v>3</v>
      </c>
    </row>
    <row r="13" spans="1:5" x14ac:dyDescent="0.25">
      <c r="A13" s="9"/>
      <c r="B13" s="9"/>
      <c r="C13" s="9"/>
      <c r="D13" s="9"/>
      <c r="E13" s="9"/>
    </row>
    <row r="14" spans="1:5" ht="28.5" x14ac:dyDescent="0.25">
      <c r="A14" s="105" t="s">
        <v>187</v>
      </c>
      <c r="B14" s="105"/>
      <c r="C14" s="105"/>
      <c r="D14" s="105"/>
      <c r="E14" s="86">
        <v>2</v>
      </c>
    </row>
    <row r="15" spans="1:5" x14ac:dyDescent="0.25">
      <c r="A15" s="9"/>
      <c r="B15" s="9"/>
      <c r="C15" s="9"/>
      <c r="D15" s="9"/>
      <c r="E15" s="9"/>
    </row>
    <row r="16" spans="1:5" ht="78.75" x14ac:dyDescent="0.25">
      <c r="A16" s="69" t="s">
        <v>188</v>
      </c>
      <c r="B16" s="98" t="s">
        <v>1107</v>
      </c>
      <c r="C16" s="99"/>
      <c r="D16" s="99"/>
      <c r="E16" s="100"/>
    </row>
  </sheetData>
  <mergeCells count="10">
    <mergeCell ref="A14:D14"/>
    <mergeCell ref="B16:E16"/>
    <mergeCell ref="A1:D1"/>
    <mergeCell ref="A8:E8"/>
    <mergeCell ref="A12:D12"/>
    <mergeCell ref="A3:E3"/>
    <mergeCell ref="A5:A6"/>
    <mergeCell ref="B5:B6"/>
    <mergeCell ref="C5:C6"/>
    <mergeCell ref="E5:E6"/>
  </mergeCells>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zoomScale="90" zoomScaleNormal="90" workbookViewId="0">
      <selection activeCell="E1" sqref="E1"/>
    </sheetView>
  </sheetViews>
  <sheetFormatPr defaultRowHeight="15" x14ac:dyDescent="0.25"/>
  <cols>
    <col min="1" max="5" width="25.7109375" customWidth="1"/>
  </cols>
  <sheetData>
    <row r="1" spans="1:5" ht="57" x14ac:dyDescent="0.85">
      <c r="A1" s="101" t="s">
        <v>14</v>
      </c>
      <c r="B1" s="101"/>
      <c r="C1" s="101"/>
      <c r="D1" s="101"/>
      <c r="E1" s="26" t="s">
        <v>321</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20" customHeight="1" x14ac:dyDescent="0.25">
      <c r="A5" s="107" t="s">
        <v>512</v>
      </c>
      <c r="B5" s="107" t="s">
        <v>150</v>
      </c>
      <c r="C5" s="107" t="str">
        <f>A5</f>
        <v xml:space="preserve">Fakultas/ departemen melakukan pengukuran kepuasan layanan manajemen terhadap mahasiswa, dosen, tenaga kependidikan, lulusan, pengguna dan mitra terhadap layanan manajemen yang memenuhi aspek-aspek berikut: (1)Menggunakan instrumen kepuasan yang sahih, andal, mudah digunakan, (2)Dilaksanakan secara berkala, serta datanya terekam secara komprehensif, (3)Dianalisis dengan metode yang tepat serta bermanfaat untuk pengambilan keputusan, (4)Tingkat kepuasan dan umpan balik ditindaklanjuti untuk perbaikan dan peningkatan mutu luaran secara berkala dan tersistem, (5)Dilakukan review terhadap pelaksanaan pengukuran kepuasan dosen dan mahasiswa, serta (6)Hasilnya dipublikasikan dan mudah diakses oleh dosen dan mahasiswa dan menindaklanjuti hasilnya minimal satu kali setiap tahun. 
</v>
      </c>
      <c r="D5" s="32" t="s">
        <v>151</v>
      </c>
      <c r="E5" s="110" t="s">
        <v>553</v>
      </c>
    </row>
    <row r="6" spans="1:5" s="1" customFormat="1" ht="120" customHeight="1" x14ac:dyDescent="0.25">
      <c r="A6" s="107"/>
      <c r="B6" s="107"/>
      <c r="C6" s="107"/>
      <c r="D6" s="32" t="s">
        <v>152</v>
      </c>
      <c r="E6" s="111"/>
    </row>
    <row r="7" spans="1:5" s="1" customFormat="1" ht="120" customHeight="1" x14ac:dyDescent="0.25">
      <c r="A7" s="107"/>
      <c r="B7" s="107"/>
      <c r="C7" s="107"/>
      <c r="D7" s="32" t="s">
        <v>153</v>
      </c>
      <c r="E7" s="111"/>
    </row>
    <row r="8" spans="1:5" s="1" customFormat="1" ht="120" customHeight="1" x14ac:dyDescent="0.25">
      <c r="A8" s="107"/>
      <c r="B8" s="107"/>
      <c r="C8" s="107"/>
      <c r="D8" s="32" t="s">
        <v>154</v>
      </c>
      <c r="E8" s="111"/>
    </row>
    <row r="9" spans="1:5" s="1" customFormat="1" ht="120" customHeight="1" x14ac:dyDescent="0.25">
      <c r="A9" s="107"/>
      <c r="B9" s="107"/>
      <c r="C9" s="107"/>
      <c r="D9" s="32" t="s">
        <v>155</v>
      </c>
      <c r="E9" s="111"/>
    </row>
    <row r="11" spans="1:5" x14ac:dyDescent="0.25">
      <c r="A11" s="104" t="s">
        <v>7</v>
      </c>
      <c r="B11" s="104"/>
      <c r="C11" s="104"/>
      <c r="D11" s="104"/>
      <c r="E11" s="104"/>
    </row>
    <row r="12" spans="1:5" x14ac:dyDescent="0.25">
      <c r="A12" s="31" t="s">
        <v>8</v>
      </c>
      <c r="B12" s="31" t="s">
        <v>9</v>
      </c>
      <c r="C12" s="31" t="s">
        <v>10</v>
      </c>
      <c r="D12" s="31" t="s">
        <v>11</v>
      </c>
      <c r="E12" s="31" t="s">
        <v>12</v>
      </c>
    </row>
    <row r="13" spans="1:5" s="4" customFormat="1" ht="135" x14ac:dyDescent="0.25">
      <c r="A13" s="40" t="s">
        <v>513</v>
      </c>
      <c r="B13" s="40" t="s">
        <v>514</v>
      </c>
      <c r="C13" s="40" t="s">
        <v>515</v>
      </c>
      <c r="D13" s="40" t="s">
        <v>516</v>
      </c>
      <c r="E13" s="40" t="s">
        <v>517</v>
      </c>
    </row>
    <row r="14" spans="1:5" x14ac:dyDescent="0.25">
      <c r="A14" s="11"/>
      <c r="B14" s="106"/>
      <c r="C14" s="106"/>
    </row>
    <row r="15" spans="1:5" s="5" customFormat="1" ht="28.5" x14ac:dyDescent="0.25">
      <c r="A15" s="105" t="s">
        <v>126</v>
      </c>
      <c r="B15" s="105"/>
      <c r="C15" s="105"/>
      <c r="D15" s="105"/>
      <c r="E15" s="85">
        <v>3</v>
      </c>
    </row>
    <row r="16" spans="1:5" x14ac:dyDescent="0.25">
      <c r="A16" s="9"/>
      <c r="B16" s="9"/>
      <c r="C16" s="9"/>
      <c r="D16" s="9"/>
      <c r="E16" s="9"/>
    </row>
    <row r="17" spans="1:5" ht="28.5" x14ac:dyDescent="0.25">
      <c r="A17" s="105" t="s">
        <v>187</v>
      </c>
      <c r="B17" s="105"/>
      <c r="C17" s="105"/>
      <c r="D17" s="105"/>
      <c r="E17" s="86">
        <v>4</v>
      </c>
    </row>
    <row r="18" spans="1:5" x14ac:dyDescent="0.25">
      <c r="A18" s="9"/>
      <c r="B18" s="9"/>
      <c r="C18" s="9"/>
      <c r="D18" s="9"/>
      <c r="E18" s="9"/>
    </row>
    <row r="19" spans="1:5" ht="78.75" x14ac:dyDescent="0.25">
      <c r="A19" s="69" t="s">
        <v>188</v>
      </c>
      <c r="B19" s="98" t="s">
        <v>1107</v>
      </c>
      <c r="C19" s="99"/>
      <c r="D19" s="99"/>
      <c r="E19" s="100"/>
    </row>
  </sheetData>
  <mergeCells count="11">
    <mergeCell ref="A17:D17"/>
    <mergeCell ref="B19:E19"/>
    <mergeCell ref="A1:D1"/>
    <mergeCell ref="A3:E3"/>
    <mergeCell ref="A11:E11"/>
    <mergeCell ref="B14:C14"/>
    <mergeCell ref="A15:D15"/>
    <mergeCell ref="A5:A9"/>
    <mergeCell ref="B5:B9"/>
    <mergeCell ref="C5:C9"/>
    <mergeCell ref="E5:E9"/>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zoomScale="90" zoomScaleNormal="90" workbookViewId="0">
      <selection activeCell="B18" sqref="B18"/>
    </sheetView>
  </sheetViews>
  <sheetFormatPr defaultRowHeight="15" x14ac:dyDescent="0.25"/>
  <cols>
    <col min="1" max="5" width="25.7109375" customWidth="1"/>
  </cols>
  <sheetData>
    <row r="1" spans="1:5" ht="57" x14ac:dyDescent="0.85">
      <c r="A1" s="101" t="s">
        <v>14</v>
      </c>
      <c r="B1" s="101"/>
      <c r="C1" s="101"/>
      <c r="D1" s="101"/>
      <c r="E1" s="26" t="s">
        <v>322</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07" t="s">
        <v>518</v>
      </c>
      <c r="B5" s="107" t="s">
        <v>156</v>
      </c>
      <c r="C5" s="107" t="str">
        <f>A5</f>
        <v>Fakultas/ departemen mengimplementasikan manajemen risiko untuk menjamin keberlangsungan fakultas/ departemen dan program studi yang dibuktikan dengan dokumen yang sahih</v>
      </c>
      <c r="D5" s="30" t="s">
        <v>157</v>
      </c>
      <c r="E5" s="110" t="s">
        <v>554</v>
      </c>
    </row>
    <row r="6" spans="1:5" s="1" customFormat="1" ht="45" customHeight="1" x14ac:dyDescent="0.25">
      <c r="A6" s="107"/>
      <c r="B6" s="107"/>
      <c r="C6" s="107"/>
      <c r="D6" s="30" t="s">
        <v>158</v>
      </c>
      <c r="E6" s="111"/>
    </row>
    <row r="7" spans="1:5" s="1" customFormat="1" ht="45" customHeight="1" x14ac:dyDescent="0.25">
      <c r="A7" s="107"/>
      <c r="B7" s="107"/>
      <c r="C7" s="107"/>
      <c r="D7" s="30" t="s">
        <v>159</v>
      </c>
      <c r="E7" s="111"/>
    </row>
    <row r="9" spans="1:5" x14ac:dyDescent="0.25">
      <c r="A9" s="104" t="s">
        <v>7</v>
      </c>
      <c r="B9" s="104"/>
      <c r="C9" s="104"/>
      <c r="D9" s="104"/>
      <c r="E9" s="104"/>
    </row>
    <row r="10" spans="1:5" x14ac:dyDescent="0.25">
      <c r="A10" s="31" t="s">
        <v>8</v>
      </c>
      <c r="B10" s="31" t="s">
        <v>9</v>
      </c>
      <c r="C10" s="31" t="s">
        <v>10</v>
      </c>
      <c r="D10" s="31" t="s">
        <v>11</v>
      </c>
      <c r="E10" s="31" t="s">
        <v>12</v>
      </c>
    </row>
    <row r="11" spans="1:5" s="4" customFormat="1" ht="90" x14ac:dyDescent="0.25">
      <c r="A11" s="40" t="s">
        <v>519</v>
      </c>
      <c r="B11" s="40" t="s">
        <v>520</v>
      </c>
      <c r="C11" s="40" t="s">
        <v>521</v>
      </c>
      <c r="D11" s="40" t="s">
        <v>522</v>
      </c>
      <c r="E11" s="40" t="s">
        <v>523</v>
      </c>
    </row>
    <row r="12" spans="1:5" x14ac:dyDescent="0.25">
      <c r="A12" s="11"/>
      <c r="B12" s="106"/>
      <c r="C12" s="106"/>
    </row>
    <row r="13" spans="1:5" s="5" customFormat="1" ht="28.5" x14ac:dyDescent="0.25">
      <c r="A13" s="105" t="s">
        <v>126</v>
      </c>
      <c r="B13" s="105"/>
      <c r="C13" s="105"/>
      <c r="D13" s="105"/>
      <c r="E13" s="85">
        <v>3</v>
      </c>
    </row>
    <row r="14" spans="1:5" x14ac:dyDescent="0.25">
      <c r="A14" s="9"/>
      <c r="B14" s="9"/>
      <c r="C14" s="9"/>
      <c r="D14" s="9"/>
      <c r="E14" s="9"/>
    </row>
    <row r="15" spans="1:5" ht="28.5" x14ac:dyDescent="0.25">
      <c r="A15" s="105" t="s">
        <v>187</v>
      </c>
      <c r="B15" s="105"/>
      <c r="C15" s="105"/>
      <c r="D15" s="105"/>
      <c r="E15" s="86">
        <v>2</v>
      </c>
    </row>
    <row r="16" spans="1:5" x14ac:dyDescent="0.25">
      <c r="A16" s="9"/>
      <c r="B16" s="9"/>
      <c r="C16" s="9"/>
      <c r="D16" s="9"/>
      <c r="E16" s="9"/>
    </row>
    <row r="17" spans="1:5" ht="78.75" x14ac:dyDescent="0.25">
      <c r="A17" s="69" t="s">
        <v>188</v>
      </c>
      <c r="B17" s="98" t="s">
        <v>1107</v>
      </c>
      <c r="C17" s="99"/>
      <c r="D17" s="99"/>
      <c r="E17" s="100"/>
    </row>
  </sheetData>
  <mergeCells count="11">
    <mergeCell ref="A15:D15"/>
    <mergeCell ref="B17:E17"/>
    <mergeCell ref="A1:D1"/>
    <mergeCell ref="A3:E3"/>
    <mergeCell ref="A9:E9"/>
    <mergeCell ref="B12:C12"/>
    <mergeCell ref="A13:D13"/>
    <mergeCell ref="A5:A7"/>
    <mergeCell ref="B5:B7"/>
    <mergeCell ref="C5:C7"/>
    <mergeCell ref="E5:E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zoomScale="90" zoomScaleNormal="90" workbookViewId="0">
      <selection activeCell="E1" sqref="E1"/>
    </sheetView>
  </sheetViews>
  <sheetFormatPr defaultRowHeight="15" x14ac:dyDescent="0.25"/>
  <cols>
    <col min="1" max="5" width="25.7109375" customWidth="1"/>
  </cols>
  <sheetData>
    <row r="1" spans="1:5" ht="57" x14ac:dyDescent="0.85">
      <c r="A1" s="101" t="s">
        <v>14</v>
      </c>
      <c r="B1" s="101"/>
      <c r="C1" s="101"/>
      <c r="D1" s="101"/>
      <c r="E1" s="26" t="s">
        <v>323</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07" t="s">
        <v>524</v>
      </c>
      <c r="B5" s="107" t="s">
        <v>160</v>
      </c>
      <c r="C5" s="107" t="str">
        <f>A5</f>
        <v>Fakultas/ departemen mengalokasikan sumber daya yang sangat memadai dalam bentuk anggaran dana, fasilitas dan pelaksana untuk pencapaian standar mutu terkait tata kelola, tata pamong dan kerjasama kelembagaan.</v>
      </c>
      <c r="D5" s="32" t="s">
        <v>161</v>
      </c>
      <c r="E5" s="110" t="s">
        <v>555</v>
      </c>
    </row>
    <row r="6" spans="1:5" s="1" customFormat="1" ht="45" customHeight="1" x14ac:dyDescent="0.25">
      <c r="A6" s="107"/>
      <c r="B6" s="107"/>
      <c r="C6" s="107"/>
      <c r="D6" s="32" t="s">
        <v>162</v>
      </c>
      <c r="E6" s="111"/>
    </row>
    <row r="7" spans="1:5" s="1" customFormat="1" ht="45" customHeight="1" x14ac:dyDescent="0.25">
      <c r="A7" s="107"/>
      <c r="B7" s="107"/>
      <c r="C7" s="107"/>
      <c r="D7" s="32" t="s">
        <v>163</v>
      </c>
      <c r="E7" s="111"/>
    </row>
    <row r="8" spans="1:5" s="1" customFormat="1" ht="45" customHeight="1" x14ac:dyDescent="0.25">
      <c r="A8" s="107"/>
      <c r="B8" s="107"/>
      <c r="C8" s="107"/>
      <c r="D8" s="32" t="s">
        <v>164</v>
      </c>
      <c r="E8" s="111"/>
    </row>
    <row r="10" spans="1:5" x14ac:dyDescent="0.25">
      <c r="A10" s="104" t="s">
        <v>7</v>
      </c>
      <c r="B10" s="104"/>
      <c r="C10" s="104"/>
      <c r="D10" s="104"/>
      <c r="E10" s="104"/>
    </row>
    <row r="11" spans="1:5" x14ac:dyDescent="0.25">
      <c r="A11" s="31" t="s">
        <v>8</v>
      </c>
      <c r="B11" s="31" t="s">
        <v>9</v>
      </c>
      <c r="C11" s="31" t="s">
        <v>10</v>
      </c>
      <c r="D11" s="31" t="s">
        <v>11</v>
      </c>
      <c r="E11" s="31" t="s">
        <v>12</v>
      </c>
    </row>
    <row r="12" spans="1:5" s="4" customFormat="1" ht="135" x14ac:dyDescent="0.25">
      <c r="A12" s="40" t="s">
        <v>525</v>
      </c>
      <c r="B12" s="40" t="s">
        <v>526</v>
      </c>
      <c r="C12" s="40" t="s">
        <v>527</v>
      </c>
      <c r="D12" s="40" t="s">
        <v>528</v>
      </c>
      <c r="E12" s="40" t="s">
        <v>529</v>
      </c>
    </row>
    <row r="13" spans="1:5" x14ac:dyDescent="0.25">
      <c r="A13" s="11"/>
      <c r="B13" s="106"/>
      <c r="C13" s="106"/>
    </row>
    <row r="14" spans="1:5" s="5" customFormat="1" ht="28.5" x14ac:dyDescent="0.25">
      <c r="A14" s="105" t="s">
        <v>126</v>
      </c>
      <c r="B14" s="105"/>
      <c r="C14" s="105"/>
      <c r="D14" s="105"/>
      <c r="E14" s="85">
        <v>3</v>
      </c>
    </row>
    <row r="15" spans="1:5" x14ac:dyDescent="0.25">
      <c r="A15" s="9"/>
      <c r="B15" s="9"/>
      <c r="C15" s="9"/>
      <c r="D15" s="9"/>
      <c r="E15" s="9"/>
    </row>
    <row r="16" spans="1:5" ht="28.5" x14ac:dyDescent="0.25">
      <c r="A16" s="105" t="s">
        <v>187</v>
      </c>
      <c r="B16" s="105"/>
      <c r="C16" s="105"/>
      <c r="D16" s="105"/>
      <c r="E16" s="86">
        <v>3.4</v>
      </c>
    </row>
    <row r="17" spans="1:5" x14ac:dyDescent="0.25">
      <c r="A17" s="9"/>
      <c r="B17" s="9"/>
      <c r="C17" s="9"/>
      <c r="D17" s="9"/>
      <c r="E17" s="9"/>
    </row>
    <row r="18" spans="1:5" ht="78.75" x14ac:dyDescent="0.25">
      <c r="A18" s="69" t="s">
        <v>188</v>
      </c>
      <c r="B18" s="98" t="s">
        <v>1107</v>
      </c>
      <c r="C18" s="99"/>
      <c r="D18" s="99"/>
      <c r="E18" s="100"/>
    </row>
  </sheetData>
  <mergeCells count="11">
    <mergeCell ref="A16:D16"/>
    <mergeCell ref="B18:E18"/>
    <mergeCell ref="A1:D1"/>
    <mergeCell ref="A3:E3"/>
    <mergeCell ref="A10:E10"/>
    <mergeCell ref="B13:C13"/>
    <mergeCell ref="A14:D14"/>
    <mergeCell ref="A5:A8"/>
    <mergeCell ref="B5:B8"/>
    <mergeCell ref="C5:C8"/>
    <mergeCell ref="E5:E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zoomScale="90" zoomScaleNormal="90" workbookViewId="0">
      <selection activeCell="B19" sqref="B19"/>
    </sheetView>
  </sheetViews>
  <sheetFormatPr defaultRowHeight="15" x14ac:dyDescent="0.25"/>
  <cols>
    <col min="1" max="5" width="25.7109375" customWidth="1"/>
  </cols>
  <sheetData>
    <row r="1" spans="1:5" ht="57" x14ac:dyDescent="0.85">
      <c r="A1" s="101" t="s">
        <v>14</v>
      </c>
      <c r="B1" s="101"/>
      <c r="C1" s="101"/>
      <c r="D1" s="101"/>
      <c r="E1" s="26" t="s">
        <v>324</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530</v>
      </c>
      <c r="B5" s="115" t="s">
        <v>165</v>
      </c>
      <c r="C5" s="115" t="str">
        <f>A5</f>
        <v>Fakultas/ departemen melaporkan pencapaian kinerja yang telah ditetapkan di setiap kriteria (standar mutu yang  terkait dengan tata pamong, tata kelola, kerjasama kelembagaan dan penjaminan mutu) dan publikasi capaian kinerja dan hasil analisisnya.</v>
      </c>
      <c r="D5" s="40" t="s">
        <v>166</v>
      </c>
      <c r="E5" s="110" t="s">
        <v>556</v>
      </c>
    </row>
    <row r="6" spans="1:5" s="1" customFormat="1" ht="45" customHeight="1" x14ac:dyDescent="0.25">
      <c r="A6" s="116"/>
      <c r="B6" s="116"/>
      <c r="C6" s="116"/>
      <c r="D6" s="40" t="s">
        <v>167</v>
      </c>
      <c r="E6" s="111"/>
    </row>
    <row r="7" spans="1:5" s="1" customFormat="1" ht="45" customHeight="1" x14ac:dyDescent="0.25">
      <c r="A7" s="116"/>
      <c r="B7" s="116"/>
      <c r="C7" s="116"/>
      <c r="D7" s="40" t="s">
        <v>168</v>
      </c>
      <c r="E7" s="111"/>
    </row>
    <row r="8" spans="1:5" s="1" customFormat="1" ht="45" customHeight="1" x14ac:dyDescent="0.25">
      <c r="A8" s="117"/>
      <c r="B8" s="117"/>
      <c r="C8" s="117"/>
      <c r="D8" s="40" t="s">
        <v>169</v>
      </c>
      <c r="E8" s="111"/>
    </row>
    <row r="10" spans="1:5" x14ac:dyDescent="0.25">
      <c r="A10" s="104" t="s">
        <v>7</v>
      </c>
      <c r="B10" s="104"/>
      <c r="C10" s="104"/>
      <c r="D10" s="104"/>
      <c r="E10" s="104"/>
    </row>
    <row r="11" spans="1:5" x14ac:dyDescent="0.25">
      <c r="A11" s="31" t="s">
        <v>8</v>
      </c>
      <c r="B11" s="31" t="s">
        <v>9</v>
      </c>
      <c r="C11" s="31" t="s">
        <v>10</v>
      </c>
      <c r="D11" s="31" t="s">
        <v>11</v>
      </c>
      <c r="E11" s="31" t="s">
        <v>12</v>
      </c>
    </row>
    <row r="12" spans="1:5" s="4" customFormat="1" ht="135" x14ac:dyDescent="0.25">
      <c r="A12" s="40" t="s">
        <v>535</v>
      </c>
      <c r="B12" s="40" t="s">
        <v>531</v>
      </c>
      <c r="C12" s="40" t="s">
        <v>532</v>
      </c>
      <c r="D12" s="40" t="s">
        <v>533</v>
      </c>
      <c r="E12" s="40" t="s">
        <v>534</v>
      </c>
    </row>
    <row r="13" spans="1:5" x14ac:dyDescent="0.25">
      <c r="A13" s="11"/>
      <c r="B13" s="106"/>
      <c r="C13" s="106"/>
    </row>
    <row r="14" spans="1:5" s="5" customFormat="1" ht="28.5" x14ac:dyDescent="0.25">
      <c r="A14" s="105" t="s">
        <v>126</v>
      </c>
      <c r="B14" s="105"/>
      <c r="C14" s="105"/>
      <c r="D14" s="105"/>
      <c r="E14" s="85">
        <v>3</v>
      </c>
    </row>
    <row r="15" spans="1:5" x14ac:dyDescent="0.25">
      <c r="A15" s="9"/>
      <c r="B15" s="9"/>
      <c r="C15" s="9"/>
      <c r="D15" s="9"/>
      <c r="E15" s="9"/>
    </row>
    <row r="16" spans="1:5" ht="28.5" x14ac:dyDescent="0.25">
      <c r="A16" s="105" t="s">
        <v>187</v>
      </c>
      <c r="B16" s="105"/>
      <c r="C16" s="105"/>
      <c r="D16" s="105"/>
      <c r="E16" s="86">
        <v>3.5</v>
      </c>
    </row>
    <row r="17" spans="1:5" x14ac:dyDescent="0.25">
      <c r="A17" s="9"/>
      <c r="B17" s="9"/>
      <c r="C17" s="9"/>
      <c r="D17" s="9"/>
      <c r="E17" s="9"/>
    </row>
    <row r="18" spans="1:5" ht="78.75" x14ac:dyDescent="0.25">
      <c r="A18" s="69" t="s">
        <v>188</v>
      </c>
      <c r="B18" s="98" t="s">
        <v>1107</v>
      </c>
      <c r="C18" s="99"/>
      <c r="D18" s="99"/>
      <c r="E18" s="100"/>
    </row>
  </sheetData>
  <mergeCells count="11">
    <mergeCell ref="A1:D1"/>
    <mergeCell ref="A3:E3"/>
    <mergeCell ref="A5:A8"/>
    <mergeCell ref="B5:B8"/>
    <mergeCell ref="C5:C8"/>
    <mergeCell ref="E5:E8"/>
    <mergeCell ref="A16:D16"/>
    <mergeCell ref="B18:E18"/>
    <mergeCell ref="A10:E10"/>
    <mergeCell ref="B13:C13"/>
    <mergeCell ref="A14:D14"/>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zoomScale="90" zoomScaleNormal="90" workbookViewId="0">
      <selection activeCell="B26" sqref="B26"/>
    </sheetView>
  </sheetViews>
  <sheetFormatPr defaultRowHeight="15" x14ac:dyDescent="0.25"/>
  <cols>
    <col min="1" max="8" width="20.7109375" customWidth="1"/>
  </cols>
  <sheetData>
    <row r="1" spans="1:8" ht="57" x14ac:dyDescent="0.85">
      <c r="A1" s="101" t="s">
        <v>14</v>
      </c>
      <c r="B1" s="101"/>
      <c r="C1" s="101"/>
      <c r="D1" s="101"/>
      <c r="E1" s="7" t="s">
        <v>325</v>
      </c>
    </row>
    <row r="3" spans="1:8" x14ac:dyDescent="0.25">
      <c r="A3" s="102" t="s">
        <v>4</v>
      </c>
      <c r="B3" s="102"/>
      <c r="C3" s="102"/>
      <c r="D3" s="102"/>
      <c r="E3" s="102"/>
    </row>
    <row r="4" spans="1:8" ht="30" x14ac:dyDescent="0.25">
      <c r="A4" s="15" t="s">
        <v>0</v>
      </c>
      <c r="B4" s="15" t="s">
        <v>1</v>
      </c>
      <c r="C4" s="15" t="s">
        <v>2</v>
      </c>
      <c r="D4" s="15" t="s">
        <v>3</v>
      </c>
      <c r="E4" s="15" t="s">
        <v>537</v>
      </c>
    </row>
    <row r="5" spans="1:8" ht="60" customHeight="1" x14ac:dyDescent="0.25">
      <c r="A5" s="107" t="s">
        <v>558</v>
      </c>
      <c r="B5" s="107" t="s">
        <v>40</v>
      </c>
      <c r="C5" s="107" t="str">
        <f>A5</f>
        <v>Program studi menyerap jumlah calon mahasiswa hingga 5 kali kapasitas daya tampung program studi.</v>
      </c>
      <c r="D5" s="6" t="s">
        <v>25</v>
      </c>
      <c r="E5" s="108" t="s">
        <v>557</v>
      </c>
    </row>
    <row r="6" spans="1:8" ht="60" customHeight="1" x14ac:dyDescent="0.25">
      <c r="A6" s="107"/>
      <c r="B6" s="107"/>
      <c r="C6" s="107"/>
      <c r="D6" s="6" t="s">
        <v>24</v>
      </c>
      <c r="E6" s="109"/>
    </row>
    <row r="8" spans="1:8" x14ac:dyDescent="0.25">
      <c r="A8" s="119" t="s">
        <v>56</v>
      </c>
      <c r="B8" s="119"/>
      <c r="C8" s="119"/>
      <c r="D8" s="119"/>
      <c r="E8" s="119"/>
      <c r="F8" s="119"/>
      <c r="G8" s="119"/>
      <c r="H8" s="119"/>
    </row>
    <row r="9" spans="1:8" x14ac:dyDescent="0.25">
      <c r="A9" s="128" t="s">
        <v>26</v>
      </c>
      <c r="B9" s="128" t="s">
        <v>27</v>
      </c>
      <c r="C9" s="123" t="s">
        <v>28</v>
      </c>
      <c r="D9" s="124"/>
      <c r="E9" s="123" t="s">
        <v>29</v>
      </c>
      <c r="F9" s="124"/>
      <c r="G9" s="123" t="s">
        <v>30</v>
      </c>
      <c r="H9" s="124"/>
    </row>
    <row r="10" spans="1:8" ht="17.25" x14ac:dyDescent="0.25">
      <c r="A10" s="129"/>
      <c r="B10" s="129"/>
      <c r="C10" s="16" t="s">
        <v>31</v>
      </c>
      <c r="D10" s="16" t="s">
        <v>32</v>
      </c>
      <c r="E10" s="16" t="s">
        <v>33</v>
      </c>
      <c r="F10" s="16" t="s">
        <v>80</v>
      </c>
      <c r="G10" s="17" t="s">
        <v>33</v>
      </c>
      <c r="H10" s="16" t="s">
        <v>80</v>
      </c>
    </row>
    <row r="11" spans="1:8" x14ac:dyDescent="0.25">
      <c r="A11" s="18">
        <v>1</v>
      </c>
      <c r="B11" s="18">
        <v>2</v>
      </c>
      <c r="C11" s="18">
        <v>3</v>
      </c>
      <c r="D11" s="18">
        <v>4</v>
      </c>
      <c r="E11" s="18">
        <v>5</v>
      </c>
      <c r="F11" s="18">
        <v>6</v>
      </c>
      <c r="G11" s="19">
        <v>7</v>
      </c>
      <c r="H11" s="18">
        <v>8</v>
      </c>
    </row>
    <row r="12" spans="1:8" x14ac:dyDescent="0.25">
      <c r="A12" s="20" t="s">
        <v>34</v>
      </c>
      <c r="B12" s="21">
        <v>40</v>
      </c>
      <c r="C12" s="21">
        <v>200</v>
      </c>
      <c r="D12" s="21">
        <v>50</v>
      </c>
      <c r="E12" s="21">
        <v>40</v>
      </c>
      <c r="F12" s="21">
        <v>0</v>
      </c>
      <c r="G12" s="22">
        <v>190</v>
      </c>
      <c r="H12" s="21">
        <v>0</v>
      </c>
    </row>
    <row r="13" spans="1:8" x14ac:dyDescent="0.25">
      <c r="A13" s="20" t="s">
        <v>35</v>
      </c>
      <c r="B13" s="21">
        <v>40</v>
      </c>
      <c r="C13" s="21">
        <v>180</v>
      </c>
      <c r="D13" s="21">
        <v>50</v>
      </c>
      <c r="E13" s="21">
        <v>40</v>
      </c>
      <c r="F13" s="21">
        <v>1</v>
      </c>
      <c r="G13" s="22">
        <v>190</v>
      </c>
      <c r="H13" s="21">
        <v>1</v>
      </c>
    </row>
    <row r="14" spans="1:8" x14ac:dyDescent="0.25">
      <c r="A14" s="20" t="s">
        <v>36</v>
      </c>
      <c r="B14" s="21">
        <v>40</v>
      </c>
      <c r="C14" s="21">
        <v>200</v>
      </c>
      <c r="D14" s="21">
        <v>50</v>
      </c>
      <c r="E14" s="21">
        <v>40</v>
      </c>
      <c r="F14" s="21">
        <v>0</v>
      </c>
      <c r="G14" s="22">
        <v>180</v>
      </c>
      <c r="H14" s="21">
        <v>1</v>
      </c>
    </row>
    <row r="15" spans="1:8" x14ac:dyDescent="0.25">
      <c r="A15" s="20" t="s">
        <v>37</v>
      </c>
      <c r="B15" s="21">
        <v>40</v>
      </c>
      <c r="C15" s="21">
        <v>180</v>
      </c>
      <c r="D15" s="21">
        <v>50</v>
      </c>
      <c r="E15" s="21">
        <v>40</v>
      </c>
      <c r="F15" s="21">
        <v>1</v>
      </c>
      <c r="G15" s="22">
        <v>180</v>
      </c>
      <c r="H15" s="21">
        <v>2</v>
      </c>
    </row>
    <row r="16" spans="1:8" ht="45" customHeight="1" x14ac:dyDescent="0.25">
      <c r="A16" s="20" t="s">
        <v>38</v>
      </c>
      <c r="B16" s="21">
        <v>40</v>
      </c>
      <c r="C16" s="21">
        <v>200</v>
      </c>
      <c r="D16" s="21">
        <v>50</v>
      </c>
      <c r="E16" s="21">
        <v>40</v>
      </c>
      <c r="F16" s="21">
        <v>0</v>
      </c>
      <c r="G16" s="22">
        <v>200</v>
      </c>
      <c r="H16" s="21">
        <v>1</v>
      </c>
    </row>
    <row r="17" spans="1:8" x14ac:dyDescent="0.25">
      <c r="A17" s="23" t="s">
        <v>39</v>
      </c>
      <c r="B17" s="24"/>
      <c r="C17" s="15">
        <f t="shared" ref="C17:F17" si="0">SUM(C12:C16)</f>
        <v>960</v>
      </c>
      <c r="D17" s="15">
        <f t="shared" si="0"/>
        <v>250</v>
      </c>
      <c r="E17" s="15">
        <f t="shared" si="0"/>
        <v>200</v>
      </c>
      <c r="F17" s="15">
        <f t="shared" si="0"/>
        <v>2</v>
      </c>
      <c r="G17" s="126">
        <f>SUM(G16:H16)</f>
        <v>201</v>
      </c>
      <c r="H17" s="127"/>
    </row>
    <row r="18" spans="1:8" x14ac:dyDescent="0.25">
      <c r="A18" s="9"/>
      <c r="B18" s="9"/>
      <c r="C18" s="9"/>
      <c r="D18" s="9"/>
      <c r="E18" s="9"/>
      <c r="F18" s="9"/>
      <c r="G18" s="9"/>
      <c r="H18" s="9"/>
    </row>
    <row r="19" spans="1:8" x14ac:dyDescent="0.25">
      <c r="A19" s="120" t="s">
        <v>41</v>
      </c>
      <c r="B19" s="121"/>
      <c r="C19" s="121"/>
      <c r="D19" s="121"/>
      <c r="E19" s="121"/>
      <c r="F19" s="122"/>
      <c r="G19" s="125">
        <f>SUM(B12:B16)</f>
        <v>200</v>
      </c>
      <c r="H19" s="125"/>
    </row>
    <row r="20" spans="1:8" x14ac:dyDescent="0.25">
      <c r="A20" s="120" t="s">
        <v>42</v>
      </c>
      <c r="B20" s="121"/>
      <c r="C20" s="121"/>
      <c r="D20" s="121"/>
      <c r="E20" s="121"/>
      <c r="F20" s="122"/>
      <c r="G20" s="125">
        <f>C17</f>
        <v>960</v>
      </c>
      <c r="H20" s="125"/>
    </row>
    <row r="21" spans="1:8" x14ac:dyDescent="0.25">
      <c r="A21" s="120" t="s">
        <v>43</v>
      </c>
      <c r="B21" s="121"/>
      <c r="C21" s="121"/>
      <c r="D21" s="121"/>
      <c r="E21" s="121"/>
      <c r="F21" s="122"/>
      <c r="G21" s="125">
        <f>(4*(G20/G19))/5</f>
        <v>3.84</v>
      </c>
      <c r="H21" s="125"/>
    </row>
    <row r="23" spans="1:8" ht="28.5" x14ac:dyDescent="0.25">
      <c r="A23" s="95" t="s">
        <v>536</v>
      </c>
      <c r="B23" s="96"/>
      <c r="C23" s="96"/>
      <c r="D23" s="97"/>
      <c r="E23" s="86">
        <f>IF(G21&gt;=4,4,G21)</f>
        <v>3.84</v>
      </c>
    </row>
    <row r="25" spans="1:8" ht="105" x14ac:dyDescent="0.45">
      <c r="A25" s="69" t="s">
        <v>188</v>
      </c>
      <c r="B25" s="118" t="s">
        <v>1107</v>
      </c>
      <c r="C25" s="118"/>
      <c r="D25" s="118"/>
      <c r="E25" s="118"/>
    </row>
  </sheetData>
  <mergeCells count="21">
    <mergeCell ref="A1:D1"/>
    <mergeCell ref="A9:A10"/>
    <mergeCell ref="B9:B10"/>
    <mergeCell ref="C9:D9"/>
    <mergeCell ref="E9:F9"/>
    <mergeCell ref="A3:E3"/>
    <mergeCell ref="A5:A6"/>
    <mergeCell ref="B5:B6"/>
    <mergeCell ref="C5:C6"/>
    <mergeCell ref="E5:E6"/>
    <mergeCell ref="B25:E25"/>
    <mergeCell ref="A8:H8"/>
    <mergeCell ref="A21:F21"/>
    <mergeCell ref="A20:F20"/>
    <mergeCell ref="A19:F19"/>
    <mergeCell ref="G9:H9"/>
    <mergeCell ref="A23:D23"/>
    <mergeCell ref="G21:H21"/>
    <mergeCell ref="G20:H20"/>
    <mergeCell ref="G19:H19"/>
    <mergeCell ref="G17:H1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topLeftCell="A7" zoomScale="90" zoomScaleNormal="90" workbookViewId="0">
      <selection activeCell="E27" sqref="E27"/>
    </sheetView>
  </sheetViews>
  <sheetFormatPr defaultRowHeight="15" x14ac:dyDescent="0.25"/>
  <cols>
    <col min="1" max="5" width="20.7109375" style="1" customWidth="1"/>
  </cols>
  <sheetData>
    <row r="1" spans="1:5" ht="57" x14ac:dyDescent="0.85">
      <c r="A1" s="132" t="s">
        <v>14</v>
      </c>
      <c r="B1" s="132"/>
      <c r="C1" s="132"/>
      <c r="D1" s="132"/>
      <c r="E1" s="53" t="s">
        <v>327</v>
      </c>
    </row>
    <row r="3" spans="1:5" x14ac:dyDescent="0.25">
      <c r="A3" s="133" t="s">
        <v>4</v>
      </c>
      <c r="B3" s="133"/>
      <c r="C3" s="133"/>
      <c r="D3" s="133"/>
      <c r="E3" s="133"/>
    </row>
    <row r="4" spans="1:5" ht="30" x14ac:dyDescent="0.25">
      <c r="A4" s="15" t="s">
        <v>0</v>
      </c>
      <c r="B4" s="15" t="s">
        <v>1</v>
      </c>
      <c r="C4" s="15" t="s">
        <v>2</v>
      </c>
      <c r="D4" s="15" t="s">
        <v>3</v>
      </c>
      <c r="E4" s="15" t="s">
        <v>537</v>
      </c>
    </row>
    <row r="5" spans="1:5" s="1" customFormat="1" ht="150" customHeight="1" x14ac:dyDescent="0.25">
      <c r="A5" s="40" t="s">
        <v>326</v>
      </c>
      <c r="B5" s="40" t="s">
        <v>44</v>
      </c>
      <c r="C5" s="40" t="str">
        <f>A5</f>
        <v>Program studi memiliki data administrasi yang jelas dan dilengkapi dengan bukti tentang keberadaan mahasiswa asing di program studinya.</v>
      </c>
      <c r="D5" s="40" t="s">
        <v>45</v>
      </c>
      <c r="E5" s="55" t="s">
        <v>559</v>
      </c>
    </row>
    <row r="7" spans="1:5" x14ac:dyDescent="0.25">
      <c r="A7" s="131" t="s">
        <v>55</v>
      </c>
      <c r="B7" s="131"/>
    </row>
    <row r="8" spans="1:5" ht="30" x14ac:dyDescent="0.25">
      <c r="A8" s="49" t="s">
        <v>47</v>
      </c>
      <c r="B8" s="54">
        <v>1</v>
      </c>
    </row>
    <row r="9" spans="1:5" ht="30" x14ac:dyDescent="0.25">
      <c r="A9" s="49" t="s">
        <v>48</v>
      </c>
      <c r="B9" s="54">
        <v>1</v>
      </c>
    </row>
    <row r="10" spans="1:5" ht="30" x14ac:dyDescent="0.25">
      <c r="A10" s="49" t="s">
        <v>49</v>
      </c>
      <c r="B10" s="54">
        <v>1</v>
      </c>
    </row>
    <row r="11" spans="1:5" ht="30" x14ac:dyDescent="0.25">
      <c r="A11" s="49" t="s">
        <v>50</v>
      </c>
      <c r="B11" s="54">
        <v>1</v>
      </c>
    </row>
    <row r="12" spans="1:5" ht="30" x14ac:dyDescent="0.25">
      <c r="A12" s="49" t="s">
        <v>51</v>
      </c>
      <c r="B12" s="54">
        <v>1</v>
      </c>
    </row>
    <row r="13" spans="1:5" ht="30" x14ac:dyDescent="0.25">
      <c r="A13" s="49" t="s">
        <v>52</v>
      </c>
      <c r="B13" s="89">
        <f>SUM(B8:B12)</f>
        <v>5</v>
      </c>
    </row>
    <row r="14" spans="1:5" ht="30" x14ac:dyDescent="0.25">
      <c r="A14" s="49" t="s">
        <v>53</v>
      </c>
      <c r="B14" s="54">
        <v>190</v>
      </c>
    </row>
    <row r="15" spans="1:5" x14ac:dyDescent="0.25">
      <c r="A15" s="10" t="s">
        <v>54</v>
      </c>
      <c r="B15" s="88">
        <f>2+(200*(B13/B14))</f>
        <v>7.2631578947368416</v>
      </c>
    </row>
    <row r="17" spans="1:5" s="5" customFormat="1" ht="28.5" x14ac:dyDescent="0.25">
      <c r="A17" s="130" t="s">
        <v>536</v>
      </c>
      <c r="B17" s="130"/>
      <c r="C17" s="130"/>
      <c r="D17" s="130"/>
      <c r="E17" s="87">
        <f>IF(B15&lt;=4,B15,4)</f>
        <v>4</v>
      </c>
    </row>
    <row r="19" spans="1:5" ht="105" x14ac:dyDescent="0.45">
      <c r="A19" s="69" t="s">
        <v>188</v>
      </c>
      <c r="B19" s="118" t="s">
        <v>1107</v>
      </c>
      <c r="C19" s="118"/>
      <c r="D19" s="118"/>
      <c r="E19" s="118"/>
    </row>
  </sheetData>
  <mergeCells count="5">
    <mergeCell ref="A17:D17"/>
    <mergeCell ref="A7:B7"/>
    <mergeCell ref="A1:D1"/>
    <mergeCell ref="A3:E3"/>
    <mergeCell ref="B19:E1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topLeftCell="A10" zoomScale="90" zoomScaleNormal="90" workbookViewId="0">
      <selection activeCell="B24" sqref="B24:E24"/>
    </sheetView>
  </sheetViews>
  <sheetFormatPr defaultRowHeight="15" x14ac:dyDescent="0.25"/>
  <cols>
    <col min="1" max="5" width="20.7109375" customWidth="1"/>
  </cols>
  <sheetData>
    <row r="1" spans="1:5" ht="57" x14ac:dyDescent="0.85">
      <c r="A1" s="101" t="s">
        <v>14</v>
      </c>
      <c r="B1" s="101"/>
      <c r="C1" s="101"/>
      <c r="D1" s="101"/>
      <c r="E1" s="7" t="s">
        <v>328</v>
      </c>
    </row>
    <row r="3" spans="1:5" x14ac:dyDescent="0.25">
      <c r="A3" s="102" t="s">
        <v>4</v>
      </c>
      <c r="B3" s="102"/>
      <c r="C3" s="102"/>
      <c r="D3" s="102"/>
      <c r="E3" s="102"/>
    </row>
    <row r="4" spans="1:5" ht="30" x14ac:dyDescent="0.25">
      <c r="A4" s="15" t="s">
        <v>0</v>
      </c>
      <c r="B4" s="15" t="s">
        <v>1</v>
      </c>
      <c r="C4" s="15" t="s">
        <v>2</v>
      </c>
      <c r="D4" s="15" t="s">
        <v>3</v>
      </c>
      <c r="E4" s="15" t="s">
        <v>537</v>
      </c>
    </row>
    <row r="5" spans="1:5" s="1" customFormat="1" ht="30" x14ac:dyDescent="0.25">
      <c r="A5" s="107" t="s">
        <v>560</v>
      </c>
      <c r="B5" s="107" t="s">
        <v>57</v>
      </c>
      <c r="C5" s="107" t="str">
        <f>A5</f>
        <v>Fakultas/ departemen melakukan berbagai upaya untuk meningkatkan animo calon mahasiswa lebih besar 10% dalam 3 tahun terakhir.</v>
      </c>
      <c r="D5" s="14" t="s">
        <v>59</v>
      </c>
      <c r="E5" s="108" t="s">
        <v>561</v>
      </c>
    </row>
    <row r="6" spans="1:5" s="1" customFormat="1" ht="60" x14ac:dyDescent="0.25">
      <c r="A6" s="107"/>
      <c r="B6" s="107"/>
      <c r="C6" s="107"/>
      <c r="D6" s="14" t="s">
        <v>60</v>
      </c>
      <c r="E6" s="114"/>
    </row>
    <row r="7" spans="1:5" s="1" customFormat="1" x14ac:dyDescent="0.25">
      <c r="A7" s="107"/>
      <c r="B7" s="107"/>
      <c r="C7" s="107"/>
      <c r="D7" s="14" t="s">
        <v>61</v>
      </c>
      <c r="E7" s="114"/>
    </row>
    <row r="8" spans="1:5" s="1" customFormat="1" ht="30" x14ac:dyDescent="0.25">
      <c r="A8" s="107"/>
      <c r="B8" s="107"/>
      <c r="C8" s="107"/>
      <c r="D8" s="14" t="s">
        <v>62</v>
      </c>
      <c r="E8" s="114"/>
    </row>
    <row r="9" spans="1:5" s="1" customFormat="1" ht="60" x14ac:dyDescent="0.25">
      <c r="A9" s="107"/>
      <c r="B9" s="107"/>
      <c r="C9" s="107"/>
      <c r="D9" s="14" t="s">
        <v>58</v>
      </c>
      <c r="E9" s="109"/>
    </row>
    <row r="11" spans="1:5" x14ac:dyDescent="0.25">
      <c r="A11" s="134" t="s">
        <v>55</v>
      </c>
      <c r="B11" s="135"/>
    </row>
    <row r="12" spans="1:5" ht="30" x14ac:dyDescent="0.25">
      <c r="A12" s="12" t="s">
        <v>63</v>
      </c>
      <c r="B12" s="136">
        <v>150</v>
      </c>
      <c r="C12" s="136"/>
    </row>
    <row r="13" spans="1:5" ht="30" x14ac:dyDescent="0.25">
      <c r="A13" s="12" t="s">
        <v>64</v>
      </c>
      <c r="B13" s="136">
        <v>160</v>
      </c>
      <c r="C13" s="136"/>
    </row>
    <row r="14" spans="1:5" ht="30" x14ac:dyDescent="0.25">
      <c r="A14" s="12" t="s">
        <v>65</v>
      </c>
      <c r="B14" s="136">
        <v>170</v>
      </c>
      <c r="C14" s="136"/>
    </row>
    <row r="15" spans="1:5" ht="30" x14ac:dyDescent="0.25">
      <c r="A15" s="12" t="s">
        <v>66</v>
      </c>
      <c r="B15" s="136">
        <v>120</v>
      </c>
      <c r="C15" s="136"/>
    </row>
    <row r="16" spans="1:5" x14ac:dyDescent="0.25">
      <c r="A16" s="10" t="s">
        <v>67</v>
      </c>
      <c r="B16" s="72">
        <f>B14-B15</f>
        <v>50</v>
      </c>
      <c r="C16" s="90">
        <f>B16/B15</f>
        <v>0.41666666666666669</v>
      </c>
    </row>
    <row r="17" spans="1:5" x14ac:dyDescent="0.25">
      <c r="A17" s="10" t="s">
        <v>68</v>
      </c>
      <c r="B17" s="72">
        <f>B13-B14</f>
        <v>-10</v>
      </c>
      <c r="C17" s="90">
        <f>B17/B14</f>
        <v>-5.8823529411764705E-2</v>
      </c>
    </row>
    <row r="18" spans="1:5" x14ac:dyDescent="0.25">
      <c r="A18" s="10" t="s">
        <v>69</v>
      </c>
      <c r="B18" s="72">
        <f>B12-B13</f>
        <v>-10</v>
      </c>
      <c r="C18" s="90">
        <f>B18/B13</f>
        <v>-6.25E-2</v>
      </c>
    </row>
    <row r="19" spans="1:5" x14ac:dyDescent="0.25">
      <c r="A19" s="10" t="s">
        <v>70</v>
      </c>
      <c r="B19" s="91">
        <f>AVERAGE(B16:B18)</f>
        <v>10</v>
      </c>
      <c r="C19" s="79">
        <f>AVERAGE(C16:C18)</f>
        <v>9.8447712418300651E-2</v>
      </c>
    </row>
    <row r="20" spans="1:5" x14ac:dyDescent="0.25">
      <c r="A20" s="137" t="s">
        <v>71</v>
      </c>
      <c r="B20" s="138"/>
      <c r="C20" s="67">
        <f>4*(C19/0.1)</f>
        <v>3.9379084967320259</v>
      </c>
    </row>
    <row r="22" spans="1:5" s="5" customFormat="1" ht="28.5" x14ac:dyDescent="0.25">
      <c r="A22" s="105" t="s">
        <v>536</v>
      </c>
      <c r="B22" s="105"/>
      <c r="C22" s="105"/>
      <c r="D22" s="105"/>
      <c r="E22" s="68">
        <f>IF(C20&gt;=4,4,C20)</f>
        <v>3.9379084967320259</v>
      </c>
    </row>
    <row r="24" spans="1:5" ht="105" x14ac:dyDescent="0.45">
      <c r="A24" s="69" t="s">
        <v>188</v>
      </c>
      <c r="B24" s="118" t="s">
        <v>1107</v>
      </c>
      <c r="C24" s="118"/>
      <c r="D24" s="118"/>
      <c r="E24" s="118"/>
    </row>
  </sheetData>
  <mergeCells count="14">
    <mergeCell ref="B24:E24"/>
    <mergeCell ref="A1:D1"/>
    <mergeCell ref="A3:E3"/>
    <mergeCell ref="A11:B11"/>
    <mergeCell ref="A22:D22"/>
    <mergeCell ref="C5:C9"/>
    <mergeCell ref="B5:B9"/>
    <mergeCell ref="A5:A9"/>
    <mergeCell ref="E5:E9"/>
    <mergeCell ref="B15:C15"/>
    <mergeCell ref="A20:B20"/>
    <mergeCell ref="B14:C14"/>
    <mergeCell ref="B13:C13"/>
    <mergeCell ref="B12:C12"/>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7" zoomScale="90" zoomScaleNormal="90" workbookViewId="0">
      <selection activeCell="E16" sqref="E16"/>
    </sheetView>
  </sheetViews>
  <sheetFormatPr defaultRowHeight="15" x14ac:dyDescent="0.25"/>
  <cols>
    <col min="1" max="5" width="25.7109375" customWidth="1"/>
  </cols>
  <sheetData>
    <row r="1" spans="1:5" ht="57" x14ac:dyDescent="0.85">
      <c r="A1" s="101" t="s">
        <v>14</v>
      </c>
      <c r="B1" s="101"/>
      <c r="C1" s="101"/>
      <c r="D1" s="101"/>
      <c r="E1" s="7" t="s">
        <v>329</v>
      </c>
    </row>
    <row r="3" spans="1:5" x14ac:dyDescent="0.25">
      <c r="A3" s="102" t="s">
        <v>4</v>
      </c>
      <c r="B3" s="102"/>
      <c r="C3" s="102"/>
      <c r="D3" s="102"/>
      <c r="E3" s="102"/>
    </row>
    <row r="4" spans="1:5" ht="30" x14ac:dyDescent="0.25">
      <c r="A4" s="15" t="s">
        <v>0</v>
      </c>
      <c r="B4" s="15" t="s">
        <v>1</v>
      </c>
      <c r="C4" s="15" t="s">
        <v>2</v>
      </c>
      <c r="D4" s="15" t="s">
        <v>3</v>
      </c>
      <c r="E4" s="15" t="s">
        <v>537</v>
      </c>
    </row>
    <row r="5" spans="1:5" ht="75" customHeight="1" x14ac:dyDescent="0.25">
      <c r="A5" s="107" t="s">
        <v>562</v>
      </c>
      <c r="B5" s="107" t="s">
        <v>72</v>
      </c>
      <c r="C5" s="107" t="str">
        <f>A5</f>
        <v>Fakultas/ departemen menyediakan 
layanan kemahasiswaan di bidang: (1)Penalaran, minat dan bakat, (2)Kesejahteraan (bimbingan dan konseling, layanan beasiswa, dan layanan kesehatan), dan (3)Bimbingan karir dan kewirausahaan.</v>
      </c>
      <c r="D5" s="14" t="s">
        <v>74</v>
      </c>
      <c r="E5" s="108" t="s">
        <v>563</v>
      </c>
    </row>
    <row r="6" spans="1:5" ht="75" customHeight="1" x14ac:dyDescent="0.25">
      <c r="A6" s="107"/>
      <c r="B6" s="107"/>
      <c r="C6" s="107"/>
      <c r="D6" s="14" t="s">
        <v>75</v>
      </c>
      <c r="E6" s="114"/>
    </row>
    <row r="7" spans="1:5" ht="75" customHeight="1" x14ac:dyDescent="0.25">
      <c r="A7" s="107"/>
      <c r="B7" s="107"/>
      <c r="C7" s="107"/>
      <c r="D7" s="14" t="s">
        <v>73</v>
      </c>
      <c r="E7" s="109"/>
    </row>
    <row r="9" spans="1:5" x14ac:dyDescent="0.25">
      <c r="A9" s="104" t="s">
        <v>7</v>
      </c>
      <c r="B9" s="104"/>
      <c r="C9" s="104"/>
      <c r="D9" s="104"/>
      <c r="E9" s="104"/>
    </row>
    <row r="10" spans="1:5" x14ac:dyDescent="0.25">
      <c r="A10" s="3" t="s">
        <v>8</v>
      </c>
      <c r="B10" s="3" t="s">
        <v>9</v>
      </c>
      <c r="C10" s="3" t="s">
        <v>10</v>
      </c>
      <c r="D10" s="3" t="s">
        <v>11</v>
      </c>
      <c r="E10" s="3" t="s">
        <v>12</v>
      </c>
    </row>
    <row r="11" spans="1:5" s="4" customFormat="1" ht="120" x14ac:dyDescent="0.25">
      <c r="A11" s="40" t="s">
        <v>564</v>
      </c>
      <c r="B11" s="40" t="s">
        <v>565</v>
      </c>
      <c r="C11" s="40" t="s">
        <v>566</v>
      </c>
      <c r="D11" s="40" t="s">
        <v>567</v>
      </c>
      <c r="E11" s="40" t="s">
        <v>568</v>
      </c>
    </row>
    <row r="13" spans="1:5" s="5" customFormat="1" ht="28.5" x14ac:dyDescent="0.25">
      <c r="A13" s="105" t="s">
        <v>13</v>
      </c>
      <c r="B13" s="105"/>
      <c r="C13" s="105"/>
      <c r="D13" s="105"/>
      <c r="E13" s="85">
        <v>3</v>
      </c>
    </row>
    <row r="14" spans="1:5" x14ac:dyDescent="0.25">
      <c r="A14" s="9"/>
      <c r="B14" s="9"/>
      <c r="C14" s="9"/>
      <c r="D14" s="9"/>
      <c r="E14" s="9"/>
    </row>
    <row r="15" spans="1:5" ht="28.5" x14ac:dyDescent="0.25">
      <c r="A15" s="105" t="s">
        <v>187</v>
      </c>
      <c r="B15" s="105"/>
      <c r="C15" s="105"/>
      <c r="D15" s="105"/>
      <c r="E15" s="86">
        <v>2</v>
      </c>
    </row>
    <row r="16" spans="1:5" x14ac:dyDescent="0.25">
      <c r="A16" s="9"/>
      <c r="B16" s="9"/>
      <c r="C16" s="9"/>
      <c r="D16" s="9"/>
      <c r="E16" s="9"/>
    </row>
    <row r="17" spans="1:5" ht="78.75" x14ac:dyDescent="0.45">
      <c r="A17" s="69" t="s">
        <v>188</v>
      </c>
      <c r="B17" s="118" t="s">
        <v>1107</v>
      </c>
      <c r="C17" s="118"/>
      <c r="D17" s="118"/>
      <c r="E17" s="118"/>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zoomScale="90" zoomScaleNormal="90" workbookViewId="0">
      <selection activeCell="E1" sqref="E1"/>
    </sheetView>
  </sheetViews>
  <sheetFormatPr defaultRowHeight="15" x14ac:dyDescent="0.25"/>
  <cols>
    <col min="1" max="5" width="25.7109375" customWidth="1"/>
  </cols>
  <sheetData>
    <row r="1" spans="1:5" ht="57" x14ac:dyDescent="0.85">
      <c r="A1" s="101" t="s">
        <v>14</v>
      </c>
      <c r="B1" s="101"/>
      <c r="C1" s="101"/>
      <c r="D1" s="101"/>
      <c r="E1" s="7" t="s">
        <v>330</v>
      </c>
    </row>
    <row r="3" spans="1:5" x14ac:dyDescent="0.25">
      <c r="A3" s="102" t="s">
        <v>4</v>
      </c>
      <c r="B3" s="102"/>
      <c r="C3" s="102"/>
      <c r="D3" s="102"/>
      <c r="E3" s="102"/>
    </row>
    <row r="4" spans="1:5" ht="30" x14ac:dyDescent="0.25">
      <c r="A4" s="15" t="s">
        <v>0</v>
      </c>
      <c r="B4" s="15" t="s">
        <v>1</v>
      </c>
      <c r="C4" s="15" t="s">
        <v>2</v>
      </c>
      <c r="D4" s="15" t="s">
        <v>3</v>
      </c>
      <c r="E4" s="15" t="s">
        <v>537</v>
      </c>
    </row>
    <row r="5" spans="1:5" ht="75" customHeight="1" x14ac:dyDescent="0.25">
      <c r="A5" s="107" t="s">
        <v>569</v>
      </c>
      <c r="B5" s="107" t="s">
        <v>76</v>
      </c>
      <c r="C5" s="107" t="str">
        <f>A5</f>
        <v>Fakultas/ departemen menyediakan kemudahan akses dan menjaga mutu layanan yang baik untuk bidang penalaran, minat bakat mahasiswa, beasiswa dan semua jenis layanan kesehatan.</v>
      </c>
      <c r="D5" s="8" t="s">
        <v>78</v>
      </c>
      <c r="E5" s="108" t="s">
        <v>570</v>
      </c>
    </row>
    <row r="6" spans="1:5" ht="75" customHeight="1" x14ac:dyDescent="0.25">
      <c r="A6" s="107"/>
      <c r="B6" s="107"/>
      <c r="C6" s="107"/>
      <c r="D6" s="8" t="s">
        <v>79</v>
      </c>
      <c r="E6" s="114"/>
    </row>
    <row r="7" spans="1:5" ht="75" customHeight="1" x14ac:dyDescent="0.25">
      <c r="A7" s="107"/>
      <c r="B7" s="107"/>
      <c r="C7" s="107"/>
      <c r="D7" s="14" t="s">
        <v>77</v>
      </c>
      <c r="E7" s="109"/>
    </row>
    <row r="9" spans="1:5" x14ac:dyDescent="0.25">
      <c r="A9" s="104" t="s">
        <v>7</v>
      </c>
      <c r="B9" s="104"/>
      <c r="C9" s="104"/>
      <c r="D9" s="104"/>
      <c r="E9" s="104"/>
    </row>
    <row r="10" spans="1:5" x14ac:dyDescent="0.25">
      <c r="A10" s="3" t="s">
        <v>8</v>
      </c>
      <c r="B10" s="3" t="s">
        <v>9</v>
      </c>
      <c r="C10" s="3" t="s">
        <v>10</v>
      </c>
      <c r="D10" s="3" t="s">
        <v>11</v>
      </c>
      <c r="E10" s="3" t="s">
        <v>12</v>
      </c>
    </row>
    <row r="11" spans="1:5" s="4" customFormat="1" ht="90" x14ac:dyDescent="0.25">
      <c r="A11" s="40" t="s">
        <v>571</v>
      </c>
      <c r="B11" s="40" t="s">
        <v>572</v>
      </c>
      <c r="C11" s="40" t="s">
        <v>573</v>
      </c>
      <c r="D11" s="40" t="s">
        <v>574</v>
      </c>
      <c r="E11" s="40" t="s">
        <v>568</v>
      </c>
    </row>
    <row r="13" spans="1:5" s="5" customFormat="1" ht="28.5" x14ac:dyDescent="0.25">
      <c r="A13" s="105" t="s">
        <v>13</v>
      </c>
      <c r="B13" s="105"/>
      <c r="C13" s="105"/>
      <c r="D13" s="105"/>
      <c r="E13" s="85">
        <v>3</v>
      </c>
    </row>
    <row r="14" spans="1:5" x14ac:dyDescent="0.25">
      <c r="A14" s="9"/>
      <c r="B14" s="9"/>
      <c r="C14" s="9"/>
      <c r="D14" s="9"/>
      <c r="E14" s="9"/>
    </row>
    <row r="15" spans="1:5" ht="28.5" x14ac:dyDescent="0.25">
      <c r="A15" s="105" t="s">
        <v>187</v>
      </c>
      <c r="B15" s="105"/>
      <c r="C15" s="105"/>
      <c r="D15" s="105"/>
      <c r="E15" s="86">
        <v>3</v>
      </c>
    </row>
    <row r="16" spans="1:5" x14ac:dyDescent="0.25">
      <c r="A16" s="9"/>
      <c r="B16" s="9"/>
      <c r="C16" s="9"/>
      <c r="D16" s="9"/>
      <c r="E16" s="9"/>
    </row>
    <row r="17" spans="1:5" ht="78.75" x14ac:dyDescent="0.45">
      <c r="A17" s="69" t="s">
        <v>188</v>
      </c>
      <c r="B17" s="118" t="s">
        <v>1107</v>
      </c>
      <c r="C17" s="118"/>
      <c r="D17" s="118"/>
      <c r="E17" s="118"/>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7" zoomScale="90" zoomScaleNormal="90" workbookViewId="0">
      <selection activeCell="B18" sqref="B18"/>
    </sheetView>
  </sheetViews>
  <sheetFormatPr defaultRowHeight="15" x14ac:dyDescent="0.25"/>
  <cols>
    <col min="1" max="5" width="25.7109375" customWidth="1"/>
  </cols>
  <sheetData>
    <row r="1" spans="1:5" ht="57" x14ac:dyDescent="0.85">
      <c r="A1" s="101" t="s">
        <v>14</v>
      </c>
      <c r="B1" s="101"/>
      <c r="C1" s="101"/>
      <c r="D1" s="101"/>
      <c r="E1" s="7" t="s">
        <v>331</v>
      </c>
    </row>
    <row r="3" spans="1:5" x14ac:dyDescent="0.25">
      <c r="A3" s="102" t="s">
        <v>4</v>
      </c>
      <c r="B3" s="102"/>
      <c r="C3" s="102"/>
      <c r="D3" s="102"/>
      <c r="E3" s="102"/>
    </row>
    <row r="4" spans="1:5" ht="30" x14ac:dyDescent="0.25">
      <c r="A4" s="15" t="s">
        <v>0</v>
      </c>
      <c r="B4" s="15" t="s">
        <v>1</v>
      </c>
      <c r="C4" s="15" t="s">
        <v>2</v>
      </c>
      <c r="D4" s="15" t="s">
        <v>3</v>
      </c>
      <c r="E4" s="15" t="s">
        <v>537</v>
      </c>
    </row>
    <row r="5" spans="1:5" ht="75" customHeight="1" x14ac:dyDescent="0.25">
      <c r="A5" s="107" t="s">
        <v>576</v>
      </c>
      <c r="B5" s="107" t="s">
        <v>81</v>
      </c>
      <c r="C5" s="107" t="str">
        <f>A5</f>
        <v>Fakultas/ departemen memiliki standar dan prosedur seleksi mahasiswa dan telah menjalankannya secara konsisten selama 3 tahun terakhir.</v>
      </c>
      <c r="D5" s="8" t="s">
        <v>83</v>
      </c>
      <c r="E5" s="108" t="s">
        <v>575</v>
      </c>
    </row>
    <row r="6" spans="1:5" ht="75" customHeight="1" x14ac:dyDescent="0.25">
      <c r="A6" s="107"/>
      <c r="B6" s="107"/>
      <c r="C6" s="107"/>
      <c r="D6" s="8" t="s">
        <v>84</v>
      </c>
      <c r="E6" s="114"/>
    </row>
    <row r="7" spans="1:5" ht="75" customHeight="1" x14ac:dyDescent="0.25">
      <c r="A7" s="107"/>
      <c r="B7" s="107"/>
      <c r="C7" s="107"/>
      <c r="D7" s="14" t="s">
        <v>82</v>
      </c>
      <c r="E7" s="109"/>
    </row>
    <row r="9" spans="1:5" x14ac:dyDescent="0.25">
      <c r="A9" s="104" t="s">
        <v>7</v>
      </c>
      <c r="B9" s="104"/>
      <c r="C9" s="104"/>
      <c r="D9" s="104"/>
      <c r="E9" s="104"/>
    </row>
    <row r="10" spans="1:5" x14ac:dyDescent="0.25">
      <c r="A10" s="3" t="s">
        <v>8</v>
      </c>
      <c r="B10" s="3" t="s">
        <v>9</v>
      </c>
      <c r="C10" s="3" t="s">
        <v>10</v>
      </c>
      <c r="D10" s="3" t="s">
        <v>11</v>
      </c>
      <c r="E10" s="3" t="s">
        <v>12</v>
      </c>
    </row>
    <row r="11" spans="1:5" s="4" customFormat="1" ht="105" x14ac:dyDescent="0.25">
      <c r="A11" s="40" t="s">
        <v>577</v>
      </c>
      <c r="B11" s="40" t="s">
        <v>578</v>
      </c>
      <c r="C11" s="40" t="s">
        <v>579</v>
      </c>
      <c r="D11" s="40" t="s">
        <v>580</v>
      </c>
      <c r="E11" s="40" t="s">
        <v>581</v>
      </c>
    </row>
    <row r="13" spans="1:5" s="5" customFormat="1" ht="28.5" x14ac:dyDescent="0.25">
      <c r="A13" s="105" t="s">
        <v>13</v>
      </c>
      <c r="B13" s="105"/>
      <c r="C13" s="105"/>
      <c r="D13" s="105"/>
      <c r="E13" s="85">
        <v>3</v>
      </c>
    </row>
    <row r="14" spans="1:5" x14ac:dyDescent="0.25">
      <c r="A14" s="9"/>
      <c r="B14" s="9"/>
      <c r="C14" s="9"/>
      <c r="D14" s="9"/>
      <c r="E14" s="9"/>
    </row>
    <row r="15" spans="1:5" ht="28.5" x14ac:dyDescent="0.25">
      <c r="A15" s="105" t="s">
        <v>187</v>
      </c>
      <c r="B15" s="105"/>
      <c r="C15" s="105"/>
      <c r="D15" s="105"/>
      <c r="E15" s="86">
        <v>3.5</v>
      </c>
    </row>
    <row r="16" spans="1:5" x14ac:dyDescent="0.25">
      <c r="A16" s="9"/>
      <c r="B16" s="9"/>
      <c r="C16" s="9"/>
      <c r="D16" s="9"/>
      <c r="E16" s="9"/>
    </row>
    <row r="17" spans="1:5" ht="78.75" x14ac:dyDescent="0.45">
      <c r="A17" s="69" t="s">
        <v>188</v>
      </c>
      <c r="B17" s="118" t="s">
        <v>1107</v>
      </c>
      <c r="C17" s="118"/>
      <c r="D17" s="118"/>
      <c r="E17" s="118"/>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zoomScale="90" zoomScaleNormal="90" workbookViewId="0">
      <selection activeCell="E5" sqref="E5:E8"/>
    </sheetView>
  </sheetViews>
  <sheetFormatPr defaultRowHeight="15" x14ac:dyDescent="0.25"/>
  <cols>
    <col min="1" max="5" width="25.7109375" customWidth="1"/>
  </cols>
  <sheetData>
    <row r="1" spans="1:5" ht="57" x14ac:dyDescent="0.85">
      <c r="A1" s="101" t="s">
        <v>14</v>
      </c>
      <c r="B1" s="101"/>
      <c r="C1" s="101"/>
      <c r="D1" s="101"/>
      <c r="E1" s="7" t="s">
        <v>332</v>
      </c>
    </row>
    <row r="3" spans="1:5" x14ac:dyDescent="0.25">
      <c r="A3" s="102" t="s">
        <v>4</v>
      </c>
      <c r="B3" s="102"/>
      <c r="C3" s="102"/>
      <c r="D3" s="102"/>
      <c r="E3" s="102"/>
    </row>
    <row r="4" spans="1:5" ht="30" x14ac:dyDescent="0.25">
      <c r="A4" s="15" t="s">
        <v>0</v>
      </c>
      <c r="B4" s="15" t="s">
        <v>1</v>
      </c>
      <c r="C4" s="15" t="s">
        <v>2</v>
      </c>
      <c r="D4" s="15" t="s">
        <v>3</v>
      </c>
      <c r="E4" s="15" t="s">
        <v>537</v>
      </c>
    </row>
    <row r="5" spans="1:5" ht="75" customHeight="1" x14ac:dyDescent="0.25">
      <c r="A5" s="107" t="s">
        <v>582</v>
      </c>
      <c r="B5" s="107" t="s">
        <v>85</v>
      </c>
      <c r="C5" s="107" t="str">
        <f>A5</f>
        <v>Fakultas/ departemen melakukan monitoring dan evaluasi seleksi mahasiswa serta semua jenis pelayanan yang diberikan kepada mahasiswa secara konsisten.</v>
      </c>
      <c r="D5" s="8" t="s">
        <v>87</v>
      </c>
      <c r="E5" s="108" t="s">
        <v>588</v>
      </c>
    </row>
    <row r="6" spans="1:5" ht="75" customHeight="1" x14ac:dyDescent="0.25">
      <c r="A6" s="107"/>
      <c r="B6" s="107"/>
      <c r="C6" s="107"/>
      <c r="D6" s="8" t="s">
        <v>88</v>
      </c>
      <c r="E6" s="114"/>
    </row>
    <row r="7" spans="1:5" ht="75" customHeight="1" x14ac:dyDescent="0.25">
      <c r="A7" s="107"/>
      <c r="B7" s="107"/>
      <c r="C7" s="107"/>
      <c r="D7" s="8" t="s">
        <v>89</v>
      </c>
      <c r="E7" s="114"/>
    </row>
    <row r="8" spans="1:5" ht="75" customHeight="1" x14ac:dyDescent="0.25">
      <c r="A8" s="107"/>
      <c r="B8" s="107"/>
      <c r="C8" s="107"/>
      <c r="D8" s="14" t="s">
        <v>86</v>
      </c>
      <c r="E8" s="109"/>
    </row>
    <row r="10" spans="1:5" x14ac:dyDescent="0.25">
      <c r="A10" s="104" t="s">
        <v>7</v>
      </c>
      <c r="B10" s="104"/>
      <c r="C10" s="104"/>
      <c r="D10" s="104"/>
      <c r="E10" s="104"/>
    </row>
    <row r="11" spans="1:5" x14ac:dyDescent="0.25">
      <c r="A11" s="3" t="s">
        <v>8</v>
      </c>
      <c r="B11" s="3" t="s">
        <v>9</v>
      </c>
      <c r="C11" s="3" t="s">
        <v>10</v>
      </c>
      <c r="D11" s="3" t="s">
        <v>11</v>
      </c>
      <c r="E11" s="3" t="s">
        <v>12</v>
      </c>
    </row>
    <row r="12" spans="1:5" s="4" customFormat="1" ht="180" x14ac:dyDescent="0.25">
      <c r="A12" s="40" t="s">
        <v>583</v>
      </c>
      <c r="B12" s="40" t="s">
        <v>584</v>
      </c>
      <c r="C12" s="40" t="s">
        <v>585</v>
      </c>
      <c r="D12" s="40" t="s">
        <v>586</v>
      </c>
      <c r="E12" s="40" t="s">
        <v>587</v>
      </c>
    </row>
    <row r="14" spans="1:5" s="5" customFormat="1" ht="28.5" x14ac:dyDescent="0.25">
      <c r="A14" s="105" t="s">
        <v>13</v>
      </c>
      <c r="B14" s="105"/>
      <c r="C14" s="105"/>
      <c r="D14" s="105"/>
      <c r="E14" s="85">
        <v>3</v>
      </c>
    </row>
    <row r="15" spans="1:5" x14ac:dyDescent="0.25">
      <c r="A15" s="9"/>
      <c r="B15" s="9"/>
      <c r="C15" s="9"/>
      <c r="D15" s="9"/>
      <c r="E15" s="9"/>
    </row>
    <row r="16" spans="1:5" ht="28.5" x14ac:dyDescent="0.25">
      <c r="A16" s="105" t="s">
        <v>187</v>
      </c>
      <c r="B16" s="105"/>
      <c r="C16" s="105"/>
      <c r="D16" s="105"/>
      <c r="E16" s="86">
        <v>3.4</v>
      </c>
    </row>
    <row r="17" spans="1:5" x14ac:dyDescent="0.25">
      <c r="A17" s="9"/>
      <c r="B17" s="9"/>
      <c r="C17" s="9"/>
      <c r="D17" s="9"/>
      <c r="E17" s="9"/>
    </row>
    <row r="18" spans="1:5" ht="78.75" x14ac:dyDescent="0.45">
      <c r="A18" s="69" t="s">
        <v>188</v>
      </c>
      <c r="B18" s="118" t="s">
        <v>1107</v>
      </c>
      <c r="C18" s="118"/>
      <c r="D18" s="118"/>
      <c r="E18" s="118"/>
    </row>
  </sheetData>
  <mergeCells count="10">
    <mergeCell ref="A16:D16"/>
    <mergeCell ref="B18:E18"/>
    <mergeCell ref="A10:E10"/>
    <mergeCell ref="A14:D14"/>
    <mergeCell ref="A1:D1"/>
    <mergeCell ref="A3:E3"/>
    <mergeCell ref="A5:A8"/>
    <mergeCell ref="B5:B8"/>
    <mergeCell ref="C5:C8"/>
    <mergeCell ref="E5:E8"/>
  </mergeCells>
  <pageMargins left="0.7" right="0.7" top="0.75" bottom="0.75" header="0.3" footer="0.3"/>
  <pageSetup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10" zoomScale="90" zoomScaleNormal="90" workbookViewId="0">
      <selection activeCell="B18" sqref="B18"/>
    </sheetView>
  </sheetViews>
  <sheetFormatPr defaultRowHeight="15" x14ac:dyDescent="0.25"/>
  <cols>
    <col min="1" max="5" width="25.7109375" customWidth="1"/>
  </cols>
  <sheetData>
    <row r="1" spans="1:5" ht="57" x14ac:dyDescent="0.85">
      <c r="A1" s="101" t="s">
        <v>14</v>
      </c>
      <c r="B1" s="101"/>
      <c r="C1" s="101"/>
      <c r="D1" s="101"/>
      <c r="E1" s="7" t="s">
        <v>333</v>
      </c>
    </row>
    <row r="3" spans="1:5" x14ac:dyDescent="0.25">
      <c r="A3" s="102" t="s">
        <v>4</v>
      </c>
      <c r="B3" s="102"/>
      <c r="C3" s="102"/>
      <c r="D3" s="102"/>
      <c r="E3" s="102"/>
    </row>
    <row r="4" spans="1:5" ht="30" x14ac:dyDescent="0.25">
      <c r="A4" s="15" t="s">
        <v>0</v>
      </c>
      <c r="B4" s="15" t="s">
        <v>1</v>
      </c>
      <c r="C4" s="15" t="s">
        <v>2</v>
      </c>
      <c r="D4" s="15" t="s">
        <v>3</v>
      </c>
      <c r="E4" s="15" t="s">
        <v>537</v>
      </c>
    </row>
    <row r="5" spans="1:5" ht="75" customHeight="1" x14ac:dyDescent="0.25">
      <c r="A5" s="107" t="s">
        <v>590</v>
      </c>
      <c r="B5" s="107" t="s">
        <v>90</v>
      </c>
      <c r="C5" s="107" t="str">
        <f>A5</f>
        <v>Fakultas dan/atau program studi memiliki dokumen kebijakan mutu, standar mutu, prosedur mutu dan instruksi kerja dalam rangka penjaminan mutu metode rekrutmen mahasiswa, sistem seleksi mahasiswa, dan layanan kemahasiswaan.</v>
      </c>
      <c r="D5" s="8" t="s">
        <v>92</v>
      </c>
      <c r="E5" s="108" t="s">
        <v>589</v>
      </c>
    </row>
    <row r="6" spans="1:5" ht="75" customHeight="1" x14ac:dyDescent="0.25">
      <c r="A6" s="107"/>
      <c r="B6" s="107"/>
      <c r="C6" s="107"/>
      <c r="D6" s="8" t="s">
        <v>93</v>
      </c>
      <c r="E6" s="114"/>
    </row>
    <row r="7" spans="1:5" ht="75" customHeight="1" x14ac:dyDescent="0.25">
      <c r="A7" s="107"/>
      <c r="B7" s="107"/>
      <c r="C7" s="107"/>
      <c r="D7" s="14" t="s">
        <v>91</v>
      </c>
      <c r="E7" s="109"/>
    </row>
    <row r="9" spans="1:5" x14ac:dyDescent="0.25">
      <c r="A9" s="104" t="s">
        <v>7</v>
      </c>
      <c r="B9" s="104"/>
      <c r="C9" s="104"/>
      <c r="D9" s="104"/>
      <c r="E9" s="104"/>
    </row>
    <row r="10" spans="1:5" x14ac:dyDescent="0.25">
      <c r="A10" s="3" t="s">
        <v>8</v>
      </c>
      <c r="B10" s="3" t="s">
        <v>9</v>
      </c>
      <c r="C10" s="3" t="s">
        <v>10</v>
      </c>
      <c r="D10" s="3" t="s">
        <v>11</v>
      </c>
      <c r="E10" s="3" t="s">
        <v>12</v>
      </c>
    </row>
    <row r="11" spans="1:5" s="4" customFormat="1" ht="135" x14ac:dyDescent="0.25">
      <c r="A11" s="40" t="s">
        <v>591</v>
      </c>
      <c r="B11" s="40" t="s">
        <v>592</v>
      </c>
      <c r="C11" s="40" t="s">
        <v>593</v>
      </c>
      <c r="D11" s="40" t="s">
        <v>594</v>
      </c>
      <c r="E11" s="40" t="s">
        <v>595</v>
      </c>
    </row>
    <row r="13" spans="1:5" s="5" customFormat="1" ht="28.5" x14ac:dyDescent="0.25">
      <c r="A13" s="105" t="s">
        <v>13</v>
      </c>
      <c r="B13" s="105"/>
      <c r="C13" s="105"/>
      <c r="D13" s="105"/>
      <c r="E13" s="85">
        <v>3</v>
      </c>
    </row>
    <row r="14" spans="1:5" x14ac:dyDescent="0.25">
      <c r="A14" s="9"/>
      <c r="B14" s="9"/>
      <c r="C14" s="9"/>
      <c r="D14" s="9"/>
      <c r="E14" s="9"/>
    </row>
    <row r="15" spans="1:5" ht="28.5" x14ac:dyDescent="0.25">
      <c r="A15" s="105" t="s">
        <v>187</v>
      </c>
      <c r="B15" s="105"/>
      <c r="C15" s="105"/>
      <c r="D15" s="105"/>
      <c r="E15" s="86">
        <v>3.1</v>
      </c>
    </row>
    <row r="16" spans="1:5" x14ac:dyDescent="0.25">
      <c r="A16" s="9"/>
      <c r="B16" s="9"/>
      <c r="C16" s="9"/>
      <c r="D16" s="9"/>
      <c r="E16" s="9"/>
    </row>
    <row r="17" spans="1:5" ht="78.75" x14ac:dyDescent="0.45">
      <c r="A17" s="69" t="s">
        <v>188</v>
      </c>
      <c r="B17" s="118" t="s">
        <v>1107</v>
      </c>
      <c r="C17" s="118"/>
      <c r="D17" s="118"/>
      <c r="E17" s="118"/>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10" workbookViewId="0">
      <selection activeCell="B18" sqref="B18"/>
    </sheetView>
  </sheetViews>
  <sheetFormatPr defaultRowHeight="15" x14ac:dyDescent="0.25"/>
  <cols>
    <col min="1" max="5" width="25.7109375" customWidth="1"/>
  </cols>
  <sheetData>
    <row r="1" spans="1:5" ht="57" x14ac:dyDescent="0.85">
      <c r="A1" s="101" t="s">
        <v>14</v>
      </c>
      <c r="B1" s="101"/>
      <c r="C1" s="101"/>
      <c r="D1" s="101"/>
      <c r="E1" s="7" t="s">
        <v>334</v>
      </c>
    </row>
    <row r="3" spans="1:5" x14ac:dyDescent="0.25">
      <c r="A3" s="102" t="s">
        <v>4</v>
      </c>
      <c r="B3" s="102"/>
      <c r="C3" s="102"/>
      <c r="D3" s="102"/>
      <c r="E3" s="102"/>
    </row>
    <row r="4" spans="1:5" ht="30" x14ac:dyDescent="0.25">
      <c r="A4" s="15" t="s">
        <v>0</v>
      </c>
      <c r="B4" s="15" t="s">
        <v>1</v>
      </c>
      <c r="C4" s="15" t="s">
        <v>2</v>
      </c>
      <c r="D4" s="15" t="s">
        <v>3</v>
      </c>
      <c r="E4" s="15" t="s">
        <v>537</v>
      </c>
    </row>
    <row r="5" spans="1:5" ht="75" customHeight="1" x14ac:dyDescent="0.25">
      <c r="A5" s="107" t="s">
        <v>597</v>
      </c>
      <c r="B5" s="107" t="s">
        <v>94</v>
      </c>
      <c r="C5" s="107" t="str">
        <f>A5</f>
        <v>Fakultas dan/atau program studi melaksanakan survei kepuasan pengguna layanan kemahasiswaan yang dilakukan secara rutin menggunakan instrumen yang valid dan reliable dan menggunakan hasilnya untuk perbaikan layanan kepada mahasiswa.</v>
      </c>
      <c r="D5" s="8" t="s">
        <v>96</v>
      </c>
      <c r="E5" s="108" t="s">
        <v>596</v>
      </c>
    </row>
    <row r="6" spans="1:5" ht="75" customHeight="1" x14ac:dyDescent="0.25">
      <c r="A6" s="107"/>
      <c r="B6" s="107"/>
      <c r="C6" s="107"/>
      <c r="D6" s="8" t="s">
        <v>97</v>
      </c>
      <c r="E6" s="114"/>
    </row>
    <row r="7" spans="1:5" ht="75" customHeight="1" x14ac:dyDescent="0.25">
      <c r="A7" s="107"/>
      <c r="B7" s="107"/>
      <c r="C7" s="107"/>
      <c r="D7" s="8" t="s">
        <v>95</v>
      </c>
      <c r="E7" s="109"/>
    </row>
    <row r="9" spans="1:5" x14ac:dyDescent="0.25">
      <c r="A9" s="104" t="s">
        <v>7</v>
      </c>
      <c r="B9" s="104"/>
      <c r="C9" s="104"/>
      <c r="D9" s="104"/>
      <c r="E9" s="104"/>
    </row>
    <row r="10" spans="1:5" x14ac:dyDescent="0.25">
      <c r="A10" s="3" t="s">
        <v>8</v>
      </c>
      <c r="B10" s="3" t="s">
        <v>9</v>
      </c>
      <c r="C10" s="3" t="s">
        <v>10</v>
      </c>
      <c r="D10" s="3" t="s">
        <v>11</v>
      </c>
      <c r="E10" s="3" t="s">
        <v>12</v>
      </c>
    </row>
    <row r="11" spans="1:5" s="4" customFormat="1" ht="135" x14ac:dyDescent="0.25">
      <c r="A11" s="40" t="s">
        <v>598</v>
      </c>
      <c r="B11" s="40" t="s">
        <v>599</v>
      </c>
      <c r="C11" s="40" t="s">
        <v>600</v>
      </c>
      <c r="D11" s="40" t="s">
        <v>601</v>
      </c>
      <c r="E11" s="40" t="s">
        <v>602</v>
      </c>
    </row>
    <row r="13" spans="1:5" s="5" customFormat="1" ht="28.5" x14ac:dyDescent="0.25">
      <c r="A13" s="105" t="s">
        <v>13</v>
      </c>
      <c r="B13" s="105"/>
      <c r="C13" s="105"/>
      <c r="D13" s="105"/>
      <c r="E13" s="85">
        <v>3</v>
      </c>
    </row>
    <row r="14" spans="1:5" x14ac:dyDescent="0.25">
      <c r="A14" s="9"/>
      <c r="B14" s="9"/>
      <c r="C14" s="9"/>
      <c r="D14" s="9"/>
      <c r="E14" s="9"/>
    </row>
    <row r="15" spans="1:5" ht="28.5" x14ac:dyDescent="0.25">
      <c r="A15" s="105" t="s">
        <v>187</v>
      </c>
      <c r="B15" s="105"/>
      <c r="C15" s="105"/>
      <c r="D15" s="105"/>
      <c r="E15" s="86">
        <v>4</v>
      </c>
    </row>
    <row r="16" spans="1:5" x14ac:dyDescent="0.25">
      <c r="A16" s="9"/>
      <c r="B16" s="9"/>
      <c r="C16" s="9"/>
      <c r="D16" s="9"/>
      <c r="E16" s="9"/>
    </row>
    <row r="17" spans="1:5" ht="78.75" x14ac:dyDescent="0.45">
      <c r="A17" s="69" t="s">
        <v>188</v>
      </c>
      <c r="B17" s="118" t="s">
        <v>1107</v>
      </c>
      <c r="C17" s="118"/>
      <c r="D17" s="118"/>
      <c r="E17" s="118"/>
    </row>
  </sheetData>
  <mergeCells count="10">
    <mergeCell ref="A15:D15"/>
    <mergeCell ref="B17:E17"/>
    <mergeCell ref="A9:E9"/>
    <mergeCell ref="A13:D13"/>
    <mergeCell ref="A1:D1"/>
    <mergeCell ref="A3:E3"/>
    <mergeCell ref="A5:A7"/>
    <mergeCell ref="B5:B7"/>
    <mergeCell ref="C5:C7"/>
    <mergeCell ref="E5:E7"/>
  </mergeCells>
  <pageMargins left="0.7" right="0.7" top="0.75" bottom="0.75" header="0.3" footer="0.3"/>
  <pageSetup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topLeftCell="A10" zoomScale="90" zoomScaleNormal="90" workbookViewId="0">
      <selection activeCell="B21" sqref="B21:E21"/>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335</v>
      </c>
    </row>
    <row r="3" spans="1:5" x14ac:dyDescent="0.25">
      <c r="A3" s="102" t="s">
        <v>4</v>
      </c>
      <c r="B3" s="102"/>
      <c r="C3" s="102"/>
      <c r="D3" s="102"/>
      <c r="E3" s="102"/>
    </row>
    <row r="4" spans="1:5" ht="30" x14ac:dyDescent="0.25">
      <c r="A4" s="15" t="s">
        <v>0</v>
      </c>
      <c r="B4" s="15" t="s">
        <v>1</v>
      </c>
      <c r="C4" s="15" t="s">
        <v>2</v>
      </c>
      <c r="D4" s="15" t="s">
        <v>3</v>
      </c>
      <c r="E4" s="15" t="s">
        <v>537</v>
      </c>
    </row>
    <row r="5" spans="1:5" s="1" customFormat="1" ht="60" customHeight="1" x14ac:dyDescent="0.25">
      <c r="A5" s="107" t="s">
        <v>603</v>
      </c>
      <c r="B5" s="107" t="s">
        <v>106</v>
      </c>
      <c r="C5" s="107" t="str">
        <f>A5</f>
        <v>Program studi menerima mahasiswa transfer maksimal 5% dari keseluruhan jumlah mahasiswa reguler.</v>
      </c>
      <c r="D5" s="27" t="s">
        <v>108</v>
      </c>
      <c r="E5" s="108" t="s">
        <v>604</v>
      </c>
    </row>
    <row r="6" spans="1:5" s="1" customFormat="1" ht="60" customHeight="1" x14ac:dyDescent="0.25">
      <c r="A6" s="107"/>
      <c r="B6" s="107"/>
      <c r="C6" s="107"/>
      <c r="D6" s="13" t="s">
        <v>107</v>
      </c>
      <c r="E6" s="109"/>
    </row>
    <row r="8" spans="1:5" x14ac:dyDescent="0.25">
      <c r="A8" s="134" t="s">
        <v>55</v>
      </c>
      <c r="B8" s="135"/>
    </row>
    <row r="9" spans="1:5" ht="30" x14ac:dyDescent="0.25">
      <c r="A9" s="12" t="s">
        <v>98</v>
      </c>
      <c r="B9" s="142">
        <v>5</v>
      </c>
      <c r="C9" s="143"/>
    </row>
    <row r="10" spans="1:5" ht="30" x14ac:dyDescent="0.25">
      <c r="A10" s="12" t="s">
        <v>102</v>
      </c>
      <c r="B10" s="142">
        <v>10</v>
      </c>
      <c r="C10" s="143"/>
    </row>
    <row r="11" spans="1:5" ht="30" x14ac:dyDescent="0.25">
      <c r="A11" s="12" t="s">
        <v>99</v>
      </c>
      <c r="B11" s="142">
        <v>10</v>
      </c>
      <c r="C11" s="143"/>
    </row>
    <row r="12" spans="1:5" ht="30" x14ac:dyDescent="0.25">
      <c r="A12" s="12" t="s">
        <v>100</v>
      </c>
      <c r="B12" s="142">
        <v>10</v>
      </c>
      <c r="C12" s="143"/>
    </row>
    <row r="13" spans="1:5" ht="30" x14ac:dyDescent="0.25">
      <c r="A13" s="12" t="s">
        <v>101</v>
      </c>
      <c r="B13" s="142">
        <v>10</v>
      </c>
      <c r="C13" s="143"/>
    </row>
    <row r="14" spans="1:5" ht="30" customHeight="1" x14ac:dyDescent="0.25">
      <c r="A14" s="12" t="s">
        <v>105</v>
      </c>
      <c r="B14" s="140">
        <f>SUM(B9:C13)</f>
        <v>45</v>
      </c>
      <c r="C14" s="141"/>
    </row>
    <row r="15" spans="1:5" ht="30" x14ac:dyDescent="0.25">
      <c r="A15" s="10" t="s">
        <v>103</v>
      </c>
      <c r="B15" s="136">
        <v>1000</v>
      </c>
      <c r="C15" s="136"/>
    </row>
    <row r="16" spans="1:5" x14ac:dyDescent="0.25">
      <c r="A16" s="11"/>
      <c r="B16" s="106"/>
      <c r="C16" s="106"/>
    </row>
    <row r="17" spans="1:5" x14ac:dyDescent="0.25">
      <c r="A17" s="25" t="s">
        <v>104</v>
      </c>
      <c r="B17" s="139">
        <f>4*((B15-B14)/(95%*B15))</f>
        <v>4.0210526315789474</v>
      </c>
      <c r="C17" s="139"/>
    </row>
    <row r="18" spans="1:5" x14ac:dyDescent="0.25">
      <c r="A18" s="11"/>
      <c r="B18" s="106"/>
      <c r="C18" s="106"/>
    </row>
    <row r="19" spans="1:5" s="5" customFormat="1" ht="45" customHeight="1" x14ac:dyDescent="0.25">
      <c r="A19" s="105" t="s">
        <v>46</v>
      </c>
      <c r="B19" s="105"/>
      <c r="C19" s="105"/>
      <c r="D19" s="105"/>
      <c r="E19" s="68">
        <f>IF(B17&gt;=4,4,B17)</f>
        <v>4</v>
      </c>
    </row>
    <row r="21" spans="1:5" ht="78.75" x14ac:dyDescent="0.45">
      <c r="A21" s="69" t="s">
        <v>188</v>
      </c>
      <c r="B21" s="118" t="s">
        <v>1107</v>
      </c>
      <c r="C21" s="118"/>
      <c r="D21" s="118"/>
      <c r="E21" s="118"/>
    </row>
  </sheetData>
  <mergeCells count="19">
    <mergeCell ref="B14:C14"/>
    <mergeCell ref="A8:B8"/>
    <mergeCell ref="A1:D1"/>
    <mergeCell ref="A3:E3"/>
    <mergeCell ref="A5:A6"/>
    <mergeCell ref="B5:B6"/>
    <mergeCell ref="C5:C6"/>
    <mergeCell ref="E5:E6"/>
    <mergeCell ref="B13:C13"/>
    <mergeCell ref="B12:C12"/>
    <mergeCell ref="B11:C11"/>
    <mergeCell ref="B10:C10"/>
    <mergeCell ref="B9:C9"/>
    <mergeCell ref="B21:E21"/>
    <mergeCell ref="A19:D19"/>
    <mergeCell ref="B15:C15"/>
    <mergeCell ref="B16:C16"/>
    <mergeCell ref="B18:C18"/>
    <mergeCell ref="B17:C17"/>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zoomScale="90" zoomScaleNormal="90" workbookViewId="0">
      <selection activeCell="D20" sqref="D20"/>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336</v>
      </c>
    </row>
    <row r="3" spans="1:5" x14ac:dyDescent="0.25">
      <c r="A3" s="102" t="s">
        <v>4</v>
      </c>
      <c r="B3" s="102"/>
      <c r="C3" s="102"/>
      <c r="D3" s="102"/>
      <c r="E3" s="102"/>
    </row>
    <row r="4" spans="1:5" ht="30" x14ac:dyDescent="0.25">
      <c r="A4" s="15" t="s">
        <v>0</v>
      </c>
      <c r="B4" s="15" t="s">
        <v>1</v>
      </c>
      <c r="C4" s="15" t="s">
        <v>2</v>
      </c>
      <c r="D4" s="15" t="s">
        <v>3</v>
      </c>
      <c r="E4" s="15" t="s">
        <v>537</v>
      </c>
    </row>
    <row r="5" spans="1:5" s="1" customFormat="1" ht="60" customHeight="1" x14ac:dyDescent="0.25">
      <c r="A5" s="107" t="s">
        <v>605</v>
      </c>
      <c r="B5" s="107" t="s">
        <v>109</v>
      </c>
      <c r="C5" s="107" t="str">
        <f>A5</f>
        <v>Fakultas/ departemen memfasilitasi mahasiswa untuk mengikuti berbagai kegiatan nonkurikuler dalam rangka pemenuhan kredit keaktifan mahasiswa (KKM)</v>
      </c>
      <c r="D5" s="27" t="s">
        <v>111</v>
      </c>
      <c r="E5" s="108" t="s">
        <v>606</v>
      </c>
    </row>
    <row r="6" spans="1:5" s="1" customFormat="1" ht="60" customHeight="1" x14ac:dyDescent="0.25">
      <c r="A6" s="107"/>
      <c r="B6" s="107"/>
      <c r="C6" s="107"/>
      <c r="D6" s="13" t="s">
        <v>110</v>
      </c>
      <c r="E6" s="109"/>
    </row>
    <row r="8" spans="1:5" ht="30" customHeight="1" x14ac:dyDescent="0.25">
      <c r="A8" s="119" t="s">
        <v>55</v>
      </c>
      <c r="B8" s="119"/>
      <c r="C8" s="119"/>
    </row>
    <row r="9" spans="1:5" ht="30" customHeight="1" x14ac:dyDescent="0.25">
      <c r="A9" s="28" t="s">
        <v>112</v>
      </c>
      <c r="B9" s="136">
        <v>5</v>
      </c>
      <c r="C9" s="136"/>
    </row>
    <row r="10" spans="1:5" ht="30" customHeight="1" x14ac:dyDescent="0.25">
      <c r="A10" s="28" t="s">
        <v>113</v>
      </c>
      <c r="B10" s="136">
        <v>6</v>
      </c>
      <c r="C10" s="136"/>
    </row>
    <row r="11" spans="1:5" ht="30" customHeight="1" x14ac:dyDescent="0.25">
      <c r="A11" s="28" t="s">
        <v>114</v>
      </c>
      <c r="B11" s="136">
        <v>7</v>
      </c>
      <c r="C11" s="136"/>
    </row>
    <row r="12" spans="1:5" ht="30" customHeight="1" x14ac:dyDescent="0.25">
      <c r="A12" s="28" t="s">
        <v>115</v>
      </c>
      <c r="B12" s="136">
        <v>20</v>
      </c>
      <c r="C12" s="136"/>
    </row>
    <row r="13" spans="1:5" ht="30" customHeight="1" x14ac:dyDescent="0.25">
      <c r="A13" s="28" t="s">
        <v>116</v>
      </c>
      <c r="B13" s="140">
        <f>SUM(B9:C12)</f>
        <v>38</v>
      </c>
      <c r="C13" s="141"/>
    </row>
    <row r="14" spans="1:5" ht="30" customHeight="1" x14ac:dyDescent="0.25">
      <c r="A14" s="29" t="s">
        <v>104</v>
      </c>
      <c r="B14" s="144">
        <f>4*(B13/40)</f>
        <v>3.8</v>
      </c>
      <c r="C14" s="144"/>
    </row>
    <row r="15" spans="1:5" x14ac:dyDescent="0.25">
      <c r="A15" s="11"/>
      <c r="B15" s="106"/>
      <c r="C15" s="106"/>
    </row>
    <row r="16" spans="1:5" s="5" customFormat="1" ht="45" customHeight="1" x14ac:dyDescent="0.25">
      <c r="A16" s="105" t="s">
        <v>46</v>
      </c>
      <c r="B16" s="105"/>
      <c r="C16" s="105"/>
      <c r="D16" s="105"/>
      <c r="E16" s="86">
        <f>IF(B14&gt;=4,4,B14)</f>
        <v>3.8</v>
      </c>
    </row>
    <row r="17" spans="1:5" x14ac:dyDescent="0.25">
      <c r="A17" s="9"/>
      <c r="B17" s="9"/>
      <c r="C17" s="9"/>
      <c r="D17" s="9"/>
      <c r="E17" s="9"/>
    </row>
    <row r="18" spans="1:5" ht="78.75" x14ac:dyDescent="0.45">
      <c r="A18" s="69" t="s">
        <v>188</v>
      </c>
      <c r="B18" s="118" t="s">
        <v>1107</v>
      </c>
      <c r="C18" s="118"/>
      <c r="D18" s="118"/>
      <c r="E18" s="118"/>
    </row>
  </sheetData>
  <mergeCells count="16">
    <mergeCell ref="B18:E18"/>
    <mergeCell ref="A8:C8"/>
    <mergeCell ref="A1:D1"/>
    <mergeCell ref="A3:E3"/>
    <mergeCell ref="A5:A6"/>
    <mergeCell ref="B5:B6"/>
    <mergeCell ref="C5:C6"/>
    <mergeCell ref="E5:E6"/>
    <mergeCell ref="B13:C13"/>
    <mergeCell ref="B14:C14"/>
    <mergeCell ref="B15:C15"/>
    <mergeCell ref="A16:D16"/>
    <mergeCell ref="B9:C9"/>
    <mergeCell ref="B10:C10"/>
    <mergeCell ref="B11:C11"/>
    <mergeCell ref="B12:C12"/>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zoomScale="90" zoomScaleNormal="90" workbookViewId="0">
      <selection activeCell="C20" sqref="C20"/>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337</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170</v>
      </c>
      <c r="B5" s="115" t="s">
        <v>171</v>
      </c>
      <c r="C5" s="115" t="s">
        <v>172</v>
      </c>
      <c r="D5" s="32" t="s">
        <v>174</v>
      </c>
      <c r="E5" s="110" t="s">
        <v>617</v>
      </c>
    </row>
    <row r="6" spans="1:5" s="1" customFormat="1" ht="45" customHeight="1" x14ac:dyDescent="0.25">
      <c r="A6" s="116"/>
      <c r="B6" s="116"/>
      <c r="C6" s="116"/>
      <c r="D6" s="32" t="s">
        <v>175</v>
      </c>
      <c r="E6" s="111"/>
    </row>
    <row r="7" spans="1:5" s="1" customFormat="1" ht="45" customHeight="1" x14ac:dyDescent="0.25">
      <c r="A7" s="116"/>
      <c r="B7" s="116"/>
      <c r="C7" s="116"/>
      <c r="D7" s="32" t="s">
        <v>176</v>
      </c>
      <c r="E7" s="111"/>
    </row>
    <row r="8" spans="1:5" s="1" customFormat="1" ht="45" customHeight="1" x14ac:dyDescent="0.25">
      <c r="A8" s="116"/>
      <c r="B8" s="116"/>
      <c r="C8" s="116"/>
      <c r="D8" s="32" t="s">
        <v>173</v>
      </c>
      <c r="E8" s="111"/>
    </row>
    <row r="9" spans="1:5" s="1" customFormat="1" ht="45" customHeight="1" x14ac:dyDescent="0.25">
      <c r="A9" s="117"/>
      <c r="B9" s="117"/>
      <c r="C9" s="117"/>
      <c r="D9" s="32" t="s">
        <v>177</v>
      </c>
      <c r="E9" s="111"/>
    </row>
    <row r="11" spans="1:5" x14ac:dyDescent="0.25">
      <c r="A11" s="145" t="s">
        <v>607</v>
      </c>
      <c r="B11" s="145"/>
      <c r="C11" s="145"/>
      <c r="D11" s="145"/>
    </row>
    <row r="12" spans="1:5" x14ac:dyDescent="0.25">
      <c r="A12" s="146" t="s">
        <v>608</v>
      </c>
      <c r="B12" s="146"/>
      <c r="C12" s="146"/>
      <c r="D12" s="62">
        <v>8</v>
      </c>
    </row>
    <row r="13" spans="1:5" x14ac:dyDescent="0.25">
      <c r="A13" s="146" t="s">
        <v>609</v>
      </c>
      <c r="B13" s="146"/>
      <c r="C13" s="146"/>
      <c r="D13" s="63">
        <f>D12/3</f>
        <v>2.6666666666666665</v>
      </c>
    </row>
    <row r="14" spans="1:5" x14ac:dyDescent="0.25">
      <c r="A14" s="11"/>
      <c r="B14" s="106"/>
      <c r="C14" s="106"/>
    </row>
    <row r="15" spans="1:5" ht="28.5" x14ac:dyDescent="0.25">
      <c r="A15" s="105" t="s">
        <v>46</v>
      </c>
      <c r="B15" s="105"/>
      <c r="C15" s="105"/>
      <c r="D15" s="105"/>
      <c r="E15" s="68">
        <f>IF(D13&lt;=4,D13,4)</f>
        <v>2.6666666666666665</v>
      </c>
    </row>
    <row r="16" spans="1:5" x14ac:dyDescent="0.25">
      <c r="A16" s="9"/>
      <c r="B16" s="9"/>
      <c r="C16" s="9"/>
      <c r="D16" s="9"/>
      <c r="E16" s="9"/>
    </row>
    <row r="17" spans="1:5" ht="78.75" x14ac:dyDescent="0.45">
      <c r="A17" s="69" t="s">
        <v>188</v>
      </c>
      <c r="B17" s="118" t="s">
        <v>1107</v>
      </c>
      <c r="C17" s="118"/>
      <c r="D17" s="118"/>
      <c r="E17" s="118"/>
    </row>
  </sheetData>
  <mergeCells count="12">
    <mergeCell ref="A11:D11"/>
    <mergeCell ref="A15:D15"/>
    <mergeCell ref="B17:E17"/>
    <mergeCell ref="B14:C14"/>
    <mergeCell ref="A1:D1"/>
    <mergeCell ref="A3:E3"/>
    <mergeCell ref="A5:A9"/>
    <mergeCell ref="B5:B9"/>
    <mergeCell ref="C5:C9"/>
    <mergeCell ref="E5:E9"/>
    <mergeCell ref="A12:C12"/>
    <mergeCell ref="A13:C13"/>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zoomScale="90" zoomScaleNormal="90" workbookViewId="0">
      <selection activeCell="C21" sqref="C21"/>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338</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178</v>
      </c>
      <c r="B5" s="115" t="s">
        <v>179</v>
      </c>
      <c r="C5" s="115" t="s">
        <v>180</v>
      </c>
      <c r="D5" s="32" t="s">
        <v>174</v>
      </c>
      <c r="E5" s="110" t="s">
        <v>616</v>
      </c>
    </row>
    <row r="6" spans="1:5" s="1" customFormat="1" ht="45" customHeight="1" x14ac:dyDescent="0.25">
      <c r="A6" s="116"/>
      <c r="B6" s="116"/>
      <c r="C6" s="116"/>
      <c r="D6" s="32" t="s">
        <v>175</v>
      </c>
      <c r="E6" s="111"/>
    </row>
    <row r="7" spans="1:5" s="1" customFormat="1" ht="45" customHeight="1" x14ac:dyDescent="0.25">
      <c r="A7" s="116"/>
      <c r="B7" s="116"/>
      <c r="C7" s="116"/>
      <c r="D7" s="32" t="s">
        <v>176</v>
      </c>
      <c r="E7" s="111"/>
    </row>
    <row r="8" spans="1:5" s="1" customFormat="1" ht="45" customHeight="1" x14ac:dyDescent="0.25">
      <c r="A8" s="116"/>
      <c r="B8" s="116"/>
      <c r="C8" s="116"/>
      <c r="D8" s="32" t="s">
        <v>173</v>
      </c>
      <c r="E8" s="111"/>
    </row>
    <row r="9" spans="1:5" s="1" customFormat="1" ht="45" customHeight="1" x14ac:dyDescent="0.25">
      <c r="A9" s="117"/>
      <c r="B9" s="117"/>
      <c r="C9" s="117"/>
      <c r="D9" s="32" t="s">
        <v>177</v>
      </c>
      <c r="E9" s="111"/>
    </row>
    <row r="11" spans="1:5" x14ac:dyDescent="0.25">
      <c r="A11" s="147" t="s">
        <v>610</v>
      </c>
      <c r="B11" s="147"/>
      <c r="C11" s="147"/>
    </row>
    <row r="12" spans="1:5" x14ac:dyDescent="0.25">
      <c r="A12" s="146" t="s">
        <v>611</v>
      </c>
      <c r="B12" s="146"/>
      <c r="C12" s="64">
        <v>8</v>
      </c>
    </row>
    <row r="13" spans="1:5" x14ac:dyDescent="0.25">
      <c r="A13" s="146" t="s">
        <v>612</v>
      </c>
      <c r="B13" s="146"/>
      <c r="C13" s="64">
        <v>4</v>
      </c>
    </row>
    <row r="14" spans="1:5" x14ac:dyDescent="0.25">
      <c r="A14" s="146" t="s">
        <v>613</v>
      </c>
      <c r="B14" s="146"/>
      <c r="C14" s="65">
        <f>C13/C12</f>
        <v>0.5</v>
      </c>
    </row>
    <row r="15" spans="1:5" x14ac:dyDescent="0.25">
      <c r="A15" s="146" t="s">
        <v>614</v>
      </c>
      <c r="B15" s="146"/>
      <c r="C15" s="67">
        <f>2+(4*C14)</f>
        <v>4</v>
      </c>
    </row>
    <row r="17" spans="1:5" ht="28.5" x14ac:dyDescent="0.25">
      <c r="A17" s="95" t="s">
        <v>615</v>
      </c>
      <c r="B17" s="96"/>
      <c r="C17" s="96"/>
      <c r="D17" s="97"/>
      <c r="E17" s="68">
        <f>IF(C14&lt;=50%,C15,4)</f>
        <v>4</v>
      </c>
    </row>
    <row r="18" spans="1:5" x14ac:dyDescent="0.25">
      <c r="A18" s="9"/>
      <c r="B18" s="9"/>
      <c r="C18" s="9"/>
      <c r="D18" s="9"/>
      <c r="E18" s="9"/>
    </row>
    <row r="19" spans="1:5" ht="78.75" x14ac:dyDescent="0.45">
      <c r="A19" s="69" t="s">
        <v>188</v>
      </c>
      <c r="B19" s="118" t="s">
        <v>1107</v>
      </c>
      <c r="C19" s="118"/>
      <c r="D19" s="118"/>
      <c r="E19" s="118"/>
    </row>
  </sheetData>
  <mergeCells count="13">
    <mergeCell ref="A17:D17"/>
    <mergeCell ref="B19:E19"/>
    <mergeCell ref="A1:D1"/>
    <mergeCell ref="A3:E3"/>
    <mergeCell ref="E5:E9"/>
    <mergeCell ref="C5:C9"/>
    <mergeCell ref="B5:B9"/>
    <mergeCell ref="A5:A9"/>
    <mergeCell ref="A15:B15"/>
    <mergeCell ref="A14:B14"/>
    <mergeCell ref="A13:B13"/>
    <mergeCell ref="A12:B12"/>
    <mergeCell ref="A11:C11"/>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zoomScale="90" zoomScaleNormal="90" workbookViewId="0">
      <selection activeCell="F24" sqref="F24"/>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342</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339</v>
      </c>
      <c r="B5" s="115" t="s">
        <v>340</v>
      </c>
      <c r="C5" s="115" t="s">
        <v>341</v>
      </c>
      <c r="D5" s="32" t="s">
        <v>174</v>
      </c>
      <c r="E5" s="110" t="s">
        <v>622</v>
      </c>
    </row>
    <row r="6" spans="1:5" s="1" customFormat="1" ht="45" customHeight="1" x14ac:dyDescent="0.25">
      <c r="A6" s="116"/>
      <c r="B6" s="116"/>
      <c r="C6" s="116"/>
      <c r="D6" s="32" t="s">
        <v>175</v>
      </c>
      <c r="E6" s="111"/>
    </row>
    <row r="7" spans="1:5" s="1" customFormat="1" ht="45" customHeight="1" x14ac:dyDescent="0.25">
      <c r="A7" s="116"/>
      <c r="B7" s="116"/>
      <c r="C7" s="116"/>
      <c r="D7" s="32" t="s">
        <v>176</v>
      </c>
      <c r="E7" s="111"/>
    </row>
    <row r="8" spans="1:5" s="1" customFormat="1" ht="45" customHeight="1" x14ac:dyDescent="0.25">
      <c r="A8" s="116"/>
      <c r="B8" s="116"/>
      <c r="C8" s="116"/>
      <c r="D8" s="32" t="s">
        <v>173</v>
      </c>
      <c r="E8" s="111"/>
    </row>
    <row r="9" spans="1:5" s="1" customFormat="1" ht="45" customHeight="1" x14ac:dyDescent="0.25">
      <c r="A9" s="117"/>
      <c r="B9" s="117"/>
      <c r="C9" s="117"/>
      <c r="D9" s="32" t="s">
        <v>177</v>
      </c>
      <c r="E9" s="111"/>
    </row>
    <row r="11" spans="1:5" x14ac:dyDescent="0.25">
      <c r="A11" s="147" t="s">
        <v>610</v>
      </c>
      <c r="B11" s="147"/>
      <c r="C11" s="147"/>
    </row>
    <row r="12" spans="1:5" x14ac:dyDescent="0.25">
      <c r="A12" s="146" t="s">
        <v>611</v>
      </c>
      <c r="B12" s="146"/>
      <c r="C12" s="62">
        <v>8</v>
      </c>
    </row>
    <row r="13" spans="1:5" x14ac:dyDescent="0.25">
      <c r="A13" s="146" t="s">
        <v>618</v>
      </c>
      <c r="B13" s="146"/>
      <c r="C13" s="62">
        <v>1</v>
      </c>
    </row>
    <row r="14" spans="1:5" x14ac:dyDescent="0.25">
      <c r="A14" s="146" t="s">
        <v>619</v>
      </c>
      <c r="B14" s="146"/>
      <c r="C14" s="62">
        <v>2</v>
      </c>
    </row>
    <row r="15" spans="1:5" x14ac:dyDescent="0.25">
      <c r="A15" s="146" t="s">
        <v>620</v>
      </c>
      <c r="B15" s="146"/>
      <c r="C15" s="62">
        <v>3</v>
      </c>
    </row>
    <row r="16" spans="1:5" x14ac:dyDescent="0.25">
      <c r="A16" s="148" t="s">
        <v>621</v>
      </c>
      <c r="B16" s="149"/>
      <c r="C16" s="70">
        <f>(SUM(C13:C15)/C12)</f>
        <v>0.75</v>
      </c>
    </row>
    <row r="17" spans="1:5" x14ac:dyDescent="0.25">
      <c r="A17" s="146" t="s">
        <v>609</v>
      </c>
      <c r="B17" s="146"/>
      <c r="C17" s="71">
        <f>2+((20*C16)/7)</f>
        <v>4.1428571428571423</v>
      </c>
    </row>
    <row r="19" spans="1:5" ht="28.5" x14ac:dyDescent="0.25">
      <c r="A19" s="95" t="s">
        <v>615</v>
      </c>
      <c r="B19" s="96"/>
      <c r="C19" s="96"/>
      <c r="D19" s="97"/>
      <c r="E19" s="68">
        <f>IF(C17&lt;=4,C17,4)</f>
        <v>4</v>
      </c>
    </row>
    <row r="20" spans="1:5" x14ac:dyDescent="0.25">
      <c r="A20" s="9"/>
      <c r="B20" s="9"/>
      <c r="C20" s="9"/>
      <c r="D20" s="9"/>
      <c r="E20" s="9"/>
    </row>
    <row r="21" spans="1:5" ht="78.75" x14ac:dyDescent="0.45">
      <c r="A21" s="69" t="s">
        <v>188</v>
      </c>
      <c r="B21" s="118" t="s">
        <v>1107</v>
      </c>
      <c r="C21" s="118"/>
      <c r="D21" s="118"/>
      <c r="E21" s="118"/>
    </row>
  </sheetData>
  <mergeCells count="15">
    <mergeCell ref="A11:C11"/>
    <mergeCell ref="A1:D1"/>
    <mergeCell ref="A3:E3"/>
    <mergeCell ref="E5:E9"/>
    <mergeCell ref="C5:C9"/>
    <mergeCell ref="B5:B9"/>
    <mergeCell ref="A5:A9"/>
    <mergeCell ref="A19:D19"/>
    <mergeCell ref="B21:E21"/>
    <mergeCell ref="A12:B12"/>
    <mergeCell ref="A17:B17"/>
    <mergeCell ref="A15:B15"/>
    <mergeCell ref="A14:B14"/>
    <mergeCell ref="A13:B13"/>
    <mergeCell ref="A16:B16"/>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topLeftCell="A7" zoomScale="90" zoomScaleNormal="90" workbookViewId="0">
      <selection activeCell="E29" sqref="E29"/>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343</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181</v>
      </c>
      <c r="B5" s="115" t="s">
        <v>182</v>
      </c>
      <c r="C5" s="115" t="s">
        <v>183</v>
      </c>
      <c r="D5" s="32" t="s">
        <v>174</v>
      </c>
      <c r="E5" s="110" t="s">
        <v>625</v>
      </c>
    </row>
    <row r="6" spans="1:5" s="1" customFormat="1" ht="45" customHeight="1" x14ac:dyDescent="0.25">
      <c r="A6" s="116"/>
      <c r="B6" s="116"/>
      <c r="C6" s="116"/>
      <c r="D6" s="32" t="s">
        <v>175</v>
      </c>
      <c r="E6" s="111"/>
    </row>
    <row r="7" spans="1:5" s="1" customFormat="1" ht="45" customHeight="1" x14ac:dyDescent="0.25">
      <c r="A7" s="116"/>
      <c r="B7" s="116"/>
      <c r="C7" s="116"/>
      <c r="D7" s="32" t="s">
        <v>176</v>
      </c>
      <c r="E7" s="111"/>
    </row>
    <row r="8" spans="1:5" s="1" customFormat="1" ht="45" customHeight="1" x14ac:dyDescent="0.25">
      <c r="A8" s="116"/>
      <c r="B8" s="116"/>
      <c r="C8" s="116"/>
      <c r="D8" s="32" t="s">
        <v>173</v>
      </c>
      <c r="E8" s="111"/>
    </row>
    <row r="9" spans="1:5" s="1" customFormat="1" ht="45" customHeight="1" x14ac:dyDescent="0.25">
      <c r="A9" s="117"/>
      <c r="B9" s="117"/>
      <c r="C9" s="117"/>
      <c r="D9" s="32" t="s">
        <v>177</v>
      </c>
      <c r="E9" s="111"/>
    </row>
    <row r="11" spans="1:5" x14ac:dyDescent="0.25">
      <c r="A11" s="147" t="s">
        <v>610</v>
      </c>
      <c r="B11" s="147"/>
      <c r="C11" s="147"/>
    </row>
    <row r="12" spans="1:5" x14ac:dyDescent="0.25">
      <c r="A12" s="146" t="s">
        <v>611</v>
      </c>
      <c r="B12" s="146"/>
      <c r="C12" s="62">
        <v>8</v>
      </c>
    </row>
    <row r="13" spans="1:5" x14ac:dyDescent="0.25">
      <c r="A13" s="146" t="s">
        <v>623</v>
      </c>
      <c r="B13" s="146"/>
      <c r="C13" s="62">
        <v>6</v>
      </c>
    </row>
    <row r="14" spans="1:5" x14ac:dyDescent="0.25">
      <c r="A14" s="148" t="s">
        <v>624</v>
      </c>
      <c r="B14" s="149"/>
      <c r="C14" s="70">
        <f>C13/C12</f>
        <v>0.75</v>
      </c>
    </row>
    <row r="15" spans="1:5" x14ac:dyDescent="0.25">
      <c r="A15" s="146" t="s">
        <v>609</v>
      </c>
      <c r="B15" s="146"/>
      <c r="C15" s="71">
        <f>1+((15*C14)/4)</f>
        <v>3.8125</v>
      </c>
    </row>
    <row r="17" spans="1:5" ht="28.5" x14ac:dyDescent="0.25">
      <c r="A17" s="95" t="s">
        <v>615</v>
      </c>
      <c r="B17" s="96"/>
      <c r="C17" s="96"/>
      <c r="D17" s="97"/>
      <c r="E17" s="68">
        <f>IF(C15&lt;=4,C15,4)</f>
        <v>3.8125</v>
      </c>
    </row>
    <row r="18" spans="1:5" x14ac:dyDescent="0.25">
      <c r="A18" s="9"/>
      <c r="B18" s="9"/>
      <c r="C18" s="9"/>
      <c r="D18" s="9"/>
      <c r="E18" s="9"/>
    </row>
    <row r="19" spans="1:5" ht="78.75" x14ac:dyDescent="0.45">
      <c r="A19" s="69" t="s">
        <v>188</v>
      </c>
      <c r="B19" s="118" t="s">
        <v>1107</v>
      </c>
      <c r="C19" s="118"/>
      <c r="D19" s="118"/>
      <c r="E19" s="118"/>
    </row>
  </sheetData>
  <mergeCells count="13">
    <mergeCell ref="A11:C11"/>
    <mergeCell ref="A17:D17"/>
    <mergeCell ref="B19:E19"/>
    <mergeCell ref="A1:D1"/>
    <mergeCell ref="A3:E3"/>
    <mergeCell ref="E5:E9"/>
    <mergeCell ref="C5:C9"/>
    <mergeCell ref="B5:B9"/>
    <mergeCell ref="A5:A9"/>
    <mergeCell ref="A12:B12"/>
    <mergeCell ref="A13:B13"/>
    <mergeCell ref="A14:B14"/>
    <mergeCell ref="A15:B15"/>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topLeftCell="A7" zoomScale="90" zoomScaleNormal="90" workbookViewId="0">
      <selection activeCell="D25" sqref="D2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344</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184</v>
      </c>
      <c r="B5" s="115" t="s">
        <v>185</v>
      </c>
      <c r="C5" s="115" t="s">
        <v>186</v>
      </c>
      <c r="D5" s="32" t="s">
        <v>174</v>
      </c>
      <c r="E5" s="110" t="s">
        <v>628</v>
      </c>
    </row>
    <row r="6" spans="1:5" s="1" customFormat="1" ht="45" customHeight="1" x14ac:dyDescent="0.25">
      <c r="A6" s="116"/>
      <c r="B6" s="116"/>
      <c r="C6" s="116"/>
      <c r="D6" s="32" t="s">
        <v>175</v>
      </c>
      <c r="E6" s="111"/>
    </row>
    <row r="7" spans="1:5" s="1" customFormat="1" ht="45" customHeight="1" x14ac:dyDescent="0.25">
      <c r="A7" s="116"/>
      <c r="B7" s="116"/>
      <c r="C7" s="116"/>
      <c r="D7" s="32" t="s">
        <v>176</v>
      </c>
      <c r="E7" s="111"/>
    </row>
    <row r="8" spans="1:5" s="1" customFormat="1" ht="45" customHeight="1" x14ac:dyDescent="0.25">
      <c r="A8" s="116"/>
      <c r="B8" s="116"/>
      <c r="C8" s="116"/>
      <c r="D8" s="32" t="s">
        <v>173</v>
      </c>
      <c r="E8" s="111"/>
    </row>
    <row r="9" spans="1:5" s="1" customFormat="1" ht="45" customHeight="1" x14ac:dyDescent="0.25">
      <c r="A9" s="117"/>
      <c r="B9" s="117"/>
      <c r="C9" s="117"/>
      <c r="D9" s="32" t="s">
        <v>177</v>
      </c>
      <c r="E9" s="111"/>
    </row>
    <row r="11" spans="1:5" x14ac:dyDescent="0.25">
      <c r="A11" s="147" t="s">
        <v>610</v>
      </c>
      <c r="B11" s="147"/>
      <c r="C11" s="147"/>
    </row>
    <row r="12" spans="1:5" x14ac:dyDescent="0.25">
      <c r="A12" s="146" t="s">
        <v>611</v>
      </c>
      <c r="B12" s="146"/>
      <c r="C12" s="62">
        <v>8</v>
      </c>
    </row>
    <row r="13" spans="1:5" x14ac:dyDescent="0.25">
      <c r="A13" s="148" t="s">
        <v>627</v>
      </c>
      <c r="B13" s="149"/>
      <c r="C13" s="62">
        <v>1</v>
      </c>
    </row>
    <row r="14" spans="1:5" x14ac:dyDescent="0.25">
      <c r="A14" s="148" t="s">
        <v>626</v>
      </c>
      <c r="B14" s="149"/>
      <c r="C14" s="70">
        <f>C13/C12</f>
        <v>0.125</v>
      </c>
    </row>
    <row r="15" spans="1:5" x14ac:dyDescent="0.25">
      <c r="A15" s="146" t="s">
        <v>609</v>
      </c>
      <c r="B15" s="146"/>
      <c r="C15" s="71">
        <f>(16-(40*C14))/3</f>
        <v>3.6666666666666665</v>
      </c>
    </row>
    <row r="17" spans="1:5" ht="28.5" x14ac:dyDescent="0.25">
      <c r="A17" s="95" t="s">
        <v>615</v>
      </c>
      <c r="B17" s="96"/>
      <c r="C17" s="96"/>
      <c r="D17" s="97"/>
      <c r="E17" s="68">
        <f>IF(C15&lt;=4,C15,4)</f>
        <v>3.6666666666666665</v>
      </c>
    </row>
    <row r="18" spans="1:5" x14ac:dyDescent="0.25">
      <c r="A18" s="9"/>
      <c r="B18" s="9"/>
      <c r="C18" s="9"/>
      <c r="D18" s="9"/>
      <c r="E18" s="9"/>
    </row>
    <row r="19" spans="1:5" ht="78.75" x14ac:dyDescent="0.45">
      <c r="A19" s="69" t="s">
        <v>188</v>
      </c>
      <c r="B19" s="118" t="s">
        <v>1107</v>
      </c>
      <c r="C19" s="118"/>
      <c r="D19" s="118"/>
      <c r="E19" s="118"/>
    </row>
  </sheetData>
  <mergeCells count="13">
    <mergeCell ref="A17:D17"/>
    <mergeCell ref="B19:E19"/>
    <mergeCell ref="A13:B13"/>
    <mergeCell ref="A1:D1"/>
    <mergeCell ref="A3:E3"/>
    <mergeCell ref="E5:E9"/>
    <mergeCell ref="C5:C9"/>
    <mergeCell ref="B5:B9"/>
    <mergeCell ref="A5:A9"/>
    <mergeCell ref="A12:B12"/>
    <mergeCell ref="A14:B14"/>
    <mergeCell ref="A15:B15"/>
    <mergeCell ref="A11:C11"/>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zoomScale="90" zoomScaleNormal="90" workbookViewId="0">
      <selection activeCell="D19" sqref="D19"/>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348</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75" customHeight="1" x14ac:dyDescent="0.25">
      <c r="A5" s="107" t="s">
        <v>345</v>
      </c>
      <c r="B5" s="107" t="s">
        <v>346</v>
      </c>
      <c r="C5" s="107" t="s">
        <v>347</v>
      </c>
      <c r="D5" s="32" t="s">
        <v>189</v>
      </c>
      <c r="E5" s="110" t="s">
        <v>632</v>
      </c>
    </row>
    <row r="6" spans="1:5" s="1" customFormat="1" ht="75" customHeight="1" x14ac:dyDescent="0.25">
      <c r="A6" s="107"/>
      <c r="B6" s="107"/>
      <c r="C6" s="107"/>
      <c r="D6" s="32" t="s">
        <v>190</v>
      </c>
      <c r="E6" s="111"/>
    </row>
    <row r="8" spans="1:5" x14ac:dyDescent="0.25">
      <c r="A8" t="s">
        <v>610</v>
      </c>
    </row>
    <row r="9" spans="1:5" x14ac:dyDescent="0.25">
      <c r="A9" s="146" t="s">
        <v>611</v>
      </c>
      <c r="B9" s="146"/>
      <c r="C9" s="64">
        <v>8</v>
      </c>
    </row>
    <row r="10" spans="1:5" x14ac:dyDescent="0.25">
      <c r="A10" s="148" t="s">
        <v>629</v>
      </c>
      <c r="B10" s="149"/>
      <c r="C10" s="64">
        <v>190</v>
      </c>
    </row>
    <row r="11" spans="1:5" ht="30" customHeight="1" x14ac:dyDescent="0.25">
      <c r="A11" s="150" t="s">
        <v>630</v>
      </c>
      <c r="B11" s="151"/>
      <c r="C11" s="43">
        <v>2</v>
      </c>
    </row>
    <row r="12" spans="1:5" x14ac:dyDescent="0.25">
      <c r="A12" s="148" t="s">
        <v>631</v>
      </c>
      <c r="B12" s="149"/>
      <c r="C12" s="66">
        <f>C10/C9</f>
        <v>23.75</v>
      </c>
    </row>
    <row r="13" spans="1:5" x14ac:dyDescent="0.25">
      <c r="A13" s="146" t="s">
        <v>609</v>
      </c>
      <c r="B13" s="146"/>
      <c r="C13" s="67">
        <f>IF(C11=1,IF(AND($C$12&gt;=15,$C$12&lt;=25),4,IF(C12&lt;15,(4*C12)/15,IF(AND(C12&gt;25,C12&lt;=35),(70-(2*C12))/5,0))),IF(AND($C$12&gt;=25,$C$12&lt;=35),4,IF(C12&lt;25,(4*C12)/25,IF(AND(C12&gt;35,C12&lt;=50),(200-(4*C12))/15,0))))</f>
        <v>3.8</v>
      </c>
    </row>
    <row r="15" spans="1:5" ht="28.5" x14ac:dyDescent="0.25">
      <c r="A15" s="95" t="s">
        <v>615</v>
      </c>
      <c r="B15" s="96"/>
      <c r="C15" s="96"/>
      <c r="D15" s="97"/>
      <c r="E15" s="68">
        <f>C13</f>
        <v>3.8</v>
      </c>
    </row>
    <row r="16" spans="1:5" x14ac:dyDescent="0.25">
      <c r="A16" s="9"/>
      <c r="B16" s="9"/>
      <c r="C16" s="9"/>
      <c r="D16" s="9"/>
      <c r="E16" s="9"/>
    </row>
    <row r="17" spans="1:5" ht="78.75" x14ac:dyDescent="0.45">
      <c r="A17" s="69" t="s">
        <v>188</v>
      </c>
      <c r="B17" s="118" t="s">
        <v>1107</v>
      </c>
      <c r="C17" s="118"/>
      <c r="D17" s="118"/>
      <c r="E17" s="118"/>
    </row>
  </sheetData>
  <mergeCells count="13">
    <mergeCell ref="A9:B9"/>
    <mergeCell ref="A1:D1"/>
    <mergeCell ref="A3:E3"/>
    <mergeCell ref="A5:A6"/>
    <mergeCell ref="B5:B6"/>
    <mergeCell ref="C5:C6"/>
    <mergeCell ref="E5:E6"/>
    <mergeCell ref="A15:D15"/>
    <mergeCell ref="B17:E17"/>
    <mergeCell ref="A13:B13"/>
    <mergeCell ref="A12:B12"/>
    <mergeCell ref="A10:B10"/>
    <mergeCell ref="A11:B11"/>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C22" sqref="C22"/>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349</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05" x14ac:dyDescent="0.25">
      <c r="A5" s="41" t="s">
        <v>350</v>
      </c>
      <c r="B5" s="41" t="s">
        <v>352</v>
      </c>
      <c r="C5" s="41" t="s">
        <v>351</v>
      </c>
      <c r="D5" s="41" t="s">
        <v>191</v>
      </c>
      <c r="E5" s="55" t="s">
        <v>633</v>
      </c>
    </row>
    <row r="7" spans="1:5" x14ac:dyDescent="0.25">
      <c r="A7" t="s">
        <v>610</v>
      </c>
    </row>
    <row r="8" spans="1:5" x14ac:dyDescent="0.25">
      <c r="A8" s="146" t="s">
        <v>635</v>
      </c>
      <c r="B8" s="146"/>
      <c r="C8" s="64">
        <v>6</v>
      </c>
    </row>
    <row r="9" spans="1:5" x14ac:dyDescent="0.25">
      <c r="A9" s="148" t="s">
        <v>634</v>
      </c>
      <c r="B9" s="149"/>
      <c r="C9" s="64">
        <v>40</v>
      </c>
    </row>
    <row r="10" spans="1:5" ht="15" customHeight="1" x14ac:dyDescent="0.25">
      <c r="A10" s="150" t="s">
        <v>636</v>
      </c>
      <c r="B10" s="151"/>
      <c r="C10" s="72">
        <f>C9/C8</f>
        <v>6.666666666666667</v>
      </c>
    </row>
    <row r="11" spans="1:5" x14ac:dyDescent="0.25">
      <c r="A11" s="146" t="s">
        <v>609</v>
      </c>
      <c r="B11" s="146"/>
      <c r="C11" s="67">
        <f>7-(C10/2)</f>
        <v>3.6666666666666665</v>
      </c>
    </row>
    <row r="13" spans="1:5" ht="28.5" x14ac:dyDescent="0.25">
      <c r="A13" s="95" t="s">
        <v>615</v>
      </c>
      <c r="B13" s="96"/>
      <c r="C13" s="96"/>
      <c r="D13" s="97"/>
      <c r="E13" s="68">
        <f>IF(C11&lt;=4,C11,4)</f>
        <v>3.6666666666666665</v>
      </c>
    </row>
    <row r="14" spans="1:5" x14ac:dyDescent="0.25">
      <c r="A14" s="9"/>
      <c r="B14" s="9"/>
      <c r="C14" s="9"/>
      <c r="D14" s="9"/>
      <c r="E14" s="9"/>
    </row>
    <row r="15" spans="1:5" ht="78.75" x14ac:dyDescent="0.45">
      <c r="A15" s="69" t="s">
        <v>188</v>
      </c>
      <c r="B15" s="118" t="s">
        <v>1107</v>
      </c>
      <c r="C15" s="118"/>
      <c r="D15" s="118"/>
      <c r="E15" s="118"/>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B15" sqref="B15:E1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356</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05" x14ac:dyDescent="0.25">
      <c r="A5" s="41" t="s">
        <v>353</v>
      </c>
      <c r="B5" s="41" t="s">
        <v>354</v>
      </c>
      <c r="C5" s="41" t="s">
        <v>355</v>
      </c>
      <c r="D5" s="41" t="s">
        <v>192</v>
      </c>
      <c r="E5" s="55" t="s">
        <v>637</v>
      </c>
    </row>
    <row r="7" spans="1:5" x14ac:dyDescent="0.25">
      <c r="A7" t="s">
        <v>610</v>
      </c>
    </row>
    <row r="8" spans="1:5" x14ac:dyDescent="0.25">
      <c r="A8" s="146"/>
      <c r="B8" s="146"/>
      <c r="C8" s="64"/>
    </row>
    <row r="9" spans="1:5" x14ac:dyDescent="0.25">
      <c r="A9" s="148"/>
      <c r="B9" s="149"/>
      <c r="C9" s="64"/>
    </row>
    <row r="10" spans="1:5" x14ac:dyDescent="0.25">
      <c r="A10" s="150"/>
      <c r="B10" s="151"/>
      <c r="C10" s="72"/>
    </row>
    <row r="11" spans="1:5" x14ac:dyDescent="0.25">
      <c r="A11" s="146"/>
      <c r="B11" s="146"/>
      <c r="C11" s="67">
        <v>3</v>
      </c>
    </row>
    <row r="13" spans="1:5" ht="28.5" x14ac:dyDescent="0.25">
      <c r="A13" s="95" t="s">
        <v>615</v>
      </c>
      <c r="B13" s="96"/>
      <c r="C13" s="96"/>
      <c r="D13" s="97"/>
      <c r="E13" s="68">
        <f>IF(C11&lt;=4,C11,4)</f>
        <v>3</v>
      </c>
    </row>
    <row r="14" spans="1:5" x14ac:dyDescent="0.25">
      <c r="A14" s="9"/>
      <c r="B14" s="9"/>
      <c r="C14" s="9"/>
      <c r="D14" s="9"/>
      <c r="E14" s="9"/>
    </row>
    <row r="15" spans="1:5" ht="78.75" x14ac:dyDescent="0.45">
      <c r="A15" s="69" t="s">
        <v>188</v>
      </c>
      <c r="B15" s="118" t="s">
        <v>1107</v>
      </c>
      <c r="C15" s="118"/>
      <c r="D15" s="118"/>
      <c r="E15" s="118"/>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D19" sqref="D19"/>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360</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390" x14ac:dyDescent="0.25">
      <c r="A5" s="41" t="s">
        <v>357</v>
      </c>
      <c r="B5" s="41" t="s">
        <v>358</v>
      </c>
      <c r="C5" s="41" t="s">
        <v>359</v>
      </c>
      <c r="D5" s="41" t="s">
        <v>193</v>
      </c>
      <c r="E5" s="55" t="s">
        <v>663</v>
      </c>
    </row>
    <row r="7" spans="1:5" x14ac:dyDescent="0.25">
      <c r="A7" t="s">
        <v>610</v>
      </c>
    </row>
    <row r="8" spans="1:5" x14ac:dyDescent="0.25">
      <c r="A8" s="146" t="s">
        <v>638</v>
      </c>
      <c r="B8" s="146"/>
      <c r="C8" s="64">
        <v>8</v>
      </c>
    </row>
    <row r="9" spans="1:5" x14ac:dyDescent="0.25">
      <c r="A9" s="148" t="s">
        <v>639</v>
      </c>
      <c r="B9" s="149"/>
      <c r="C9" s="64">
        <v>6</v>
      </c>
    </row>
    <row r="10" spans="1:5" x14ac:dyDescent="0.25">
      <c r="A10" s="150" t="s">
        <v>640</v>
      </c>
      <c r="B10" s="151"/>
      <c r="C10" s="72">
        <f>C9/C8</f>
        <v>0.75</v>
      </c>
    </row>
    <row r="11" spans="1:5" x14ac:dyDescent="0.25">
      <c r="A11" s="146" t="s">
        <v>614</v>
      </c>
      <c r="B11" s="146"/>
      <c r="C11" s="67">
        <f>2+(4*C10)</f>
        <v>5</v>
      </c>
    </row>
    <row r="13" spans="1:5" ht="28.5" x14ac:dyDescent="0.25">
      <c r="A13" s="95" t="s">
        <v>615</v>
      </c>
      <c r="B13" s="96"/>
      <c r="C13" s="96"/>
      <c r="D13" s="97"/>
      <c r="E13" s="68">
        <f>IF(C11&lt;=4,C11,4)</f>
        <v>4</v>
      </c>
    </row>
    <row r="14" spans="1:5" x14ac:dyDescent="0.25">
      <c r="A14" s="9"/>
      <c r="B14" s="9"/>
      <c r="C14" s="9"/>
      <c r="D14" s="9"/>
      <c r="E14" s="9"/>
    </row>
    <row r="15" spans="1:5" ht="78.75" x14ac:dyDescent="0.45">
      <c r="A15" s="69" t="s">
        <v>188</v>
      </c>
      <c r="B15" s="118" t="s">
        <v>1107</v>
      </c>
      <c r="C15" s="118"/>
      <c r="D15" s="118"/>
      <c r="E15" s="118"/>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zoomScale="90" zoomScaleNormal="90" workbookViewId="0">
      <selection activeCell="A15" sqref="A15:D1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361</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646</v>
      </c>
      <c r="B5" s="115" t="s">
        <v>194</v>
      </c>
      <c r="C5" s="115" t="s">
        <v>647</v>
      </c>
      <c r="D5" s="36" t="s">
        <v>199</v>
      </c>
      <c r="E5" s="108" t="s">
        <v>662</v>
      </c>
    </row>
    <row r="6" spans="1:5" s="1" customFormat="1" ht="45" customHeight="1" x14ac:dyDescent="0.25">
      <c r="A6" s="116"/>
      <c r="B6" s="116"/>
      <c r="C6" s="116"/>
      <c r="D6" s="36" t="s">
        <v>198</v>
      </c>
      <c r="E6" s="114"/>
    </row>
    <row r="7" spans="1:5" s="1" customFormat="1" ht="45" customHeight="1" x14ac:dyDescent="0.25">
      <c r="A7" s="116"/>
      <c r="B7" s="116"/>
      <c r="C7" s="116"/>
      <c r="D7" s="36" t="s">
        <v>197</v>
      </c>
      <c r="E7" s="114"/>
    </row>
    <row r="8" spans="1:5" s="1" customFormat="1" ht="45" customHeight="1" x14ac:dyDescent="0.25">
      <c r="A8" s="116"/>
      <c r="B8" s="116"/>
      <c r="C8" s="116"/>
      <c r="D8" s="36" t="s">
        <v>196</v>
      </c>
      <c r="E8" s="114"/>
    </row>
    <row r="9" spans="1:5" s="1" customFormat="1" ht="99.95" customHeight="1" x14ac:dyDescent="0.25">
      <c r="A9" s="117"/>
      <c r="B9" s="117"/>
      <c r="C9" s="117"/>
      <c r="D9" s="36" t="s">
        <v>195</v>
      </c>
      <c r="E9" s="109"/>
    </row>
    <row r="11" spans="1:5" x14ac:dyDescent="0.25">
      <c r="A11" s="104" t="s">
        <v>7</v>
      </c>
      <c r="B11" s="104"/>
      <c r="C11" s="104"/>
      <c r="D11" s="104"/>
      <c r="E11" s="104"/>
    </row>
    <row r="12" spans="1:5" x14ac:dyDescent="0.25">
      <c r="A12" s="42" t="s">
        <v>8</v>
      </c>
      <c r="B12" s="42" t="s">
        <v>9</v>
      </c>
      <c r="C12" s="42" t="s">
        <v>10</v>
      </c>
      <c r="D12" s="42" t="s">
        <v>11</v>
      </c>
      <c r="E12" s="42" t="s">
        <v>12</v>
      </c>
    </row>
    <row r="13" spans="1:5" ht="105" x14ac:dyDescent="0.25">
      <c r="A13" s="41" t="s">
        <v>641</v>
      </c>
      <c r="B13" s="41" t="s">
        <v>642</v>
      </c>
      <c r="C13" s="41" t="s">
        <v>643</v>
      </c>
      <c r="D13" s="41" t="s">
        <v>644</v>
      </c>
      <c r="E13" s="41" t="s">
        <v>645</v>
      </c>
    </row>
    <row r="15" spans="1:5" ht="28.5" x14ac:dyDescent="0.25">
      <c r="A15" s="105" t="s">
        <v>13</v>
      </c>
      <c r="B15" s="105"/>
      <c r="C15" s="105"/>
      <c r="D15" s="105"/>
      <c r="E15" s="94">
        <v>3.5</v>
      </c>
    </row>
    <row r="16" spans="1:5" x14ac:dyDescent="0.25">
      <c r="A16" s="9"/>
      <c r="B16" s="9"/>
      <c r="C16" s="9"/>
      <c r="D16" s="9"/>
      <c r="E16" s="9"/>
    </row>
    <row r="17" spans="1:5" ht="28.5" x14ac:dyDescent="0.25">
      <c r="A17" s="105" t="s">
        <v>187</v>
      </c>
      <c r="B17" s="105"/>
      <c r="C17" s="105"/>
      <c r="D17" s="105"/>
      <c r="E17" s="86">
        <v>4</v>
      </c>
    </row>
    <row r="18" spans="1:5" x14ac:dyDescent="0.25">
      <c r="A18" s="9"/>
      <c r="B18" s="9"/>
      <c r="C18" s="9"/>
      <c r="D18" s="9"/>
      <c r="E18" s="9"/>
    </row>
    <row r="19" spans="1:5" ht="78.75" x14ac:dyDescent="0.45">
      <c r="A19" s="69" t="s">
        <v>188</v>
      </c>
      <c r="B19" s="118" t="s">
        <v>1107</v>
      </c>
      <c r="C19" s="118"/>
      <c r="D19" s="118"/>
      <c r="E19" s="118"/>
    </row>
  </sheetData>
  <mergeCells count="10">
    <mergeCell ref="A11:E11"/>
    <mergeCell ref="A15:D15"/>
    <mergeCell ref="A17:D17"/>
    <mergeCell ref="B19:E19"/>
    <mergeCell ref="A1:D1"/>
    <mergeCell ref="A3:E3"/>
    <mergeCell ref="A5:A9"/>
    <mergeCell ref="B5:B9"/>
    <mergeCell ref="C5:C9"/>
    <mergeCell ref="E5:E9"/>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7" zoomScale="90" zoomScaleNormal="90" workbookViewId="0">
      <selection activeCell="C19" sqref="C19"/>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362</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75" customHeight="1" x14ac:dyDescent="0.25">
      <c r="A5" s="115" t="s">
        <v>648</v>
      </c>
      <c r="B5" s="115" t="s">
        <v>200</v>
      </c>
      <c r="C5" s="115" t="s">
        <v>201</v>
      </c>
      <c r="D5" s="32" t="s">
        <v>204</v>
      </c>
      <c r="E5" s="110" t="s">
        <v>661</v>
      </c>
    </row>
    <row r="6" spans="1:5" s="1" customFormat="1" ht="75" customHeight="1" x14ac:dyDescent="0.25">
      <c r="A6" s="116"/>
      <c r="B6" s="116"/>
      <c r="C6" s="116"/>
      <c r="D6" s="32" t="s">
        <v>203</v>
      </c>
      <c r="E6" s="111"/>
    </row>
    <row r="7" spans="1:5" s="1" customFormat="1" ht="75" customHeight="1" x14ac:dyDescent="0.25">
      <c r="A7" s="117"/>
      <c r="B7" s="117"/>
      <c r="C7" s="117"/>
      <c r="D7" s="32" t="s">
        <v>202</v>
      </c>
      <c r="E7" s="111"/>
    </row>
    <row r="9" spans="1:5" x14ac:dyDescent="0.25">
      <c r="A9" s="104" t="s">
        <v>7</v>
      </c>
      <c r="B9" s="104"/>
      <c r="C9" s="104"/>
      <c r="D9" s="104"/>
      <c r="E9" s="104"/>
    </row>
    <row r="10" spans="1:5" x14ac:dyDescent="0.25">
      <c r="A10" s="42" t="s">
        <v>8</v>
      </c>
      <c r="B10" s="42" t="s">
        <v>9</v>
      </c>
      <c r="C10" s="42" t="s">
        <v>10</v>
      </c>
      <c r="D10" s="42" t="s">
        <v>11</v>
      </c>
      <c r="E10" s="42" t="s">
        <v>12</v>
      </c>
    </row>
    <row r="11" spans="1:5" ht="150" x14ac:dyDescent="0.25">
      <c r="A11" s="41" t="s">
        <v>649</v>
      </c>
      <c r="B11" s="41" t="s">
        <v>650</v>
      </c>
      <c r="C11" s="41" t="s">
        <v>651</v>
      </c>
      <c r="D11" s="41" t="s">
        <v>652</v>
      </c>
      <c r="E11" s="41" t="s">
        <v>653</v>
      </c>
    </row>
    <row r="12" spans="1:5" ht="15" customHeight="1" x14ac:dyDescent="0.25">
      <c r="A12" s="48"/>
      <c r="B12" s="48"/>
      <c r="C12" s="48"/>
      <c r="D12" s="48"/>
      <c r="E12" s="48"/>
    </row>
    <row r="13" spans="1:5" ht="28.5" x14ac:dyDescent="0.25">
      <c r="A13" s="95" t="s">
        <v>13</v>
      </c>
      <c r="B13" s="96"/>
      <c r="C13" s="96"/>
      <c r="D13" s="97"/>
      <c r="E13" s="85">
        <v>4</v>
      </c>
    </row>
    <row r="14" spans="1:5" x14ac:dyDescent="0.25">
      <c r="A14" s="9"/>
      <c r="B14" s="9"/>
      <c r="C14" s="9"/>
      <c r="D14" s="9"/>
      <c r="E14" s="9"/>
    </row>
    <row r="15" spans="1:5" ht="28.5" x14ac:dyDescent="0.25">
      <c r="A15" s="95" t="s">
        <v>187</v>
      </c>
      <c r="B15" s="96"/>
      <c r="C15" s="96"/>
      <c r="D15" s="97"/>
      <c r="E15" s="86">
        <v>3.5</v>
      </c>
    </row>
    <row r="16" spans="1:5" s="5" customFormat="1" ht="15" customHeight="1" x14ac:dyDescent="0.25">
      <c r="A16" s="9"/>
      <c r="B16" s="9"/>
      <c r="C16" s="9"/>
      <c r="D16" s="9"/>
      <c r="E16" s="9"/>
    </row>
    <row r="17" spans="1:5" ht="78.75" x14ac:dyDescent="0.4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7" zoomScale="90" zoomScaleNormal="90" workbookViewId="0">
      <selection activeCell="H17" sqref="H17"/>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363</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75" customHeight="1" x14ac:dyDescent="0.25">
      <c r="A5" s="115" t="s">
        <v>654</v>
      </c>
      <c r="B5" s="115" t="s">
        <v>205</v>
      </c>
      <c r="C5" s="115" t="s">
        <v>206</v>
      </c>
      <c r="D5" s="32" t="s">
        <v>207</v>
      </c>
      <c r="E5" s="110" t="s">
        <v>660</v>
      </c>
    </row>
    <row r="6" spans="1:5" s="1" customFormat="1" ht="75" customHeight="1" x14ac:dyDescent="0.25">
      <c r="A6" s="116"/>
      <c r="B6" s="116"/>
      <c r="C6" s="116"/>
      <c r="D6" s="32" t="s">
        <v>208</v>
      </c>
      <c r="E6" s="111"/>
    </row>
    <row r="7" spans="1:5" s="1" customFormat="1" ht="75" customHeight="1" x14ac:dyDescent="0.25">
      <c r="A7" s="117"/>
      <c r="B7" s="117"/>
      <c r="C7" s="117"/>
      <c r="D7" s="32" t="s">
        <v>202</v>
      </c>
      <c r="E7" s="111"/>
    </row>
    <row r="9" spans="1:5" x14ac:dyDescent="0.25">
      <c r="A9" s="104" t="s">
        <v>7</v>
      </c>
      <c r="B9" s="104"/>
      <c r="C9" s="104"/>
      <c r="D9" s="104"/>
      <c r="E9" s="104"/>
    </row>
    <row r="10" spans="1:5" x14ac:dyDescent="0.25">
      <c r="A10" s="42" t="s">
        <v>8</v>
      </c>
      <c r="B10" s="42" t="s">
        <v>9</v>
      </c>
      <c r="C10" s="42" t="s">
        <v>10</v>
      </c>
      <c r="D10" s="42" t="s">
        <v>11</v>
      </c>
      <c r="E10" s="42" t="s">
        <v>12</v>
      </c>
    </row>
    <row r="11" spans="1:5" ht="195" x14ac:dyDescent="0.25">
      <c r="A11" s="41" t="s">
        <v>655</v>
      </c>
      <c r="B11" s="41" t="s">
        <v>656</v>
      </c>
      <c r="C11" s="41" t="s">
        <v>657</v>
      </c>
      <c r="D11" s="41" t="s">
        <v>658</v>
      </c>
      <c r="E11" s="41" t="s">
        <v>659</v>
      </c>
    </row>
    <row r="12" spans="1:5" x14ac:dyDescent="0.25">
      <c r="A12" s="48"/>
      <c r="B12" s="48"/>
      <c r="C12" s="48"/>
      <c r="D12" s="48"/>
      <c r="E12" s="48"/>
    </row>
    <row r="13" spans="1:5" ht="28.5" x14ac:dyDescent="0.25">
      <c r="A13" s="95" t="s">
        <v>13</v>
      </c>
      <c r="B13" s="96"/>
      <c r="C13" s="96"/>
      <c r="D13" s="97"/>
      <c r="E13" s="85">
        <v>4</v>
      </c>
    </row>
    <row r="14" spans="1:5" x14ac:dyDescent="0.25">
      <c r="A14" s="9"/>
      <c r="B14" s="9"/>
      <c r="C14" s="9"/>
      <c r="D14" s="9"/>
      <c r="E14" s="9"/>
    </row>
    <row r="15" spans="1:5" ht="28.5" x14ac:dyDescent="0.25">
      <c r="A15" s="95" t="s">
        <v>187</v>
      </c>
      <c r="B15" s="96"/>
      <c r="C15" s="96"/>
      <c r="D15" s="97"/>
      <c r="E15" s="86">
        <v>3</v>
      </c>
    </row>
    <row r="16" spans="1:5" x14ac:dyDescent="0.25">
      <c r="A16" s="9"/>
      <c r="B16" s="9"/>
      <c r="C16" s="9"/>
      <c r="D16" s="9"/>
      <c r="E16" s="9"/>
    </row>
    <row r="17" spans="1:5" ht="78.75" x14ac:dyDescent="0.4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topLeftCell="A7" zoomScale="90" zoomScaleNormal="90" workbookViewId="0">
      <selection activeCell="B17" sqref="B17"/>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364</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75" customHeight="1" x14ac:dyDescent="0.25">
      <c r="A5" s="115" t="s">
        <v>665</v>
      </c>
      <c r="B5" s="115" t="s">
        <v>211</v>
      </c>
      <c r="C5" s="115" t="s">
        <v>212</v>
      </c>
      <c r="D5" s="36" t="s">
        <v>210</v>
      </c>
      <c r="E5" s="108" t="s">
        <v>664</v>
      </c>
    </row>
    <row r="6" spans="1:5" s="1" customFormat="1" ht="75" customHeight="1" x14ac:dyDescent="0.25">
      <c r="A6" s="117"/>
      <c r="B6" s="117"/>
      <c r="C6" s="117"/>
      <c r="D6" s="36" t="s">
        <v>209</v>
      </c>
      <c r="E6" s="109"/>
    </row>
    <row r="7" spans="1:5" s="1" customFormat="1" ht="15" customHeight="1" x14ac:dyDescent="0.25">
      <c r="A7" s="37"/>
      <c r="B7" s="37"/>
      <c r="C7" s="37"/>
      <c r="D7" s="38"/>
      <c r="E7" s="39"/>
    </row>
    <row r="8" spans="1:5" x14ac:dyDescent="0.25">
      <c r="A8" s="104" t="s">
        <v>7</v>
      </c>
      <c r="B8" s="104"/>
      <c r="C8" s="104"/>
      <c r="D8" s="104"/>
      <c r="E8" s="104"/>
    </row>
    <row r="9" spans="1:5" x14ac:dyDescent="0.25">
      <c r="A9" s="42" t="s">
        <v>8</v>
      </c>
      <c r="B9" s="42" t="s">
        <v>9</v>
      </c>
      <c r="C9" s="42" t="s">
        <v>10</v>
      </c>
      <c r="D9" s="42" t="s">
        <v>11</v>
      </c>
      <c r="E9" s="42" t="s">
        <v>12</v>
      </c>
    </row>
    <row r="10" spans="1:5" ht="135" x14ac:dyDescent="0.25">
      <c r="A10" s="41" t="s">
        <v>666</v>
      </c>
      <c r="B10" s="41" t="s">
        <v>667</v>
      </c>
      <c r="C10" s="41" t="s">
        <v>668</v>
      </c>
      <c r="D10" s="41" t="s">
        <v>669</v>
      </c>
      <c r="E10" s="41" t="s">
        <v>670</v>
      </c>
    </row>
    <row r="11" spans="1:5" x14ac:dyDescent="0.25">
      <c r="A11" s="48"/>
      <c r="B11" s="48"/>
      <c r="C11" s="48"/>
      <c r="D11" s="48"/>
      <c r="E11" s="48"/>
    </row>
    <row r="12" spans="1:5" ht="28.5" x14ac:dyDescent="0.25">
      <c r="A12" s="95" t="s">
        <v>13</v>
      </c>
      <c r="B12" s="96"/>
      <c r="C12" s="96"/>
      <c r="D12" s="97"/>
      <c r="E12" s="85">
        <v>3</v>
      </c>
    </row>
    <row r="13" spans="1:5" x14ac:dyDescent="0.25">
      <c r="A13" s="9"/>
      <c r="B13" s="9"/>
      <c r="C13" s="9"/>
      <c r="D13" s="9"/>
      <c r="E13" s="9"/>
    </row>
    <row r="14" spans="1:5" ht="28.5" x14ac:dyDescent="0.25">
      <c r="A14" s="95" t="s">
        <v>187</v>
      </c>
      <c r="B14" s="96"/>
      <c r="C14" s="96"/>
      <c r="D14" s="97"/>
      <c r="E14" s="86">
        <v>4</v>
      </c>
    </row>
    <row r="15" spans="1:5" x14ac:dyDescent="0.25">
      <c r="A15" s="9"/>
      <c r="B15" s="9"/>
      <c r="C15" s="9"/>
      <c r="D15" s="9"/>
      <c r="E15" s="9"/>
    </row>
    <row r="16" spans="1:5" ht="78.75" x14ac:dyDescent="0.4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opLeftCell="A4" zoomScale="90" zoomScaleNormal="90" workbookViewId="0">
      <selection activeCell="C17" sqref="C17"/>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367</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20" x14ac:dyDescent="0.25">
      <c r="A5" s="41" t="s">
        <v>368</v>
      </c>
      <c r="B5" s="41" t="s">
        <v>365</v>
      </c>
      <c r="C5" s="41" t="s">
        <v>366</v>
      </c>
      <c r="D5" s="41" t="s">
        <v>210</v>
      </c>
      <c r="E5" s="55" t="s">
        <v>676</v>
      </c>
    </row>
    <row r="7" spans="1:5" x14ac:dyDescent="0.25">
      <c r="A7" s="104" t="s">
        <v>7</v>
      </c>
      <c r="B7" s="104"/>
      <c r="C7" s="104"/>
      <c r="D7" s="104"/>
      <c r="E7" s="104"/>
    </row>
    <row r="8" spans="1:5" x14ac:dyDescent="0.25">
      <c r="A8" s="42" t="s">
        <v>8</v>
      </c>
      <c r="B8" s="42" t="s">
        <v>9</v>
      </c>
      <c r="C8" s="42" t="s">
        <v>10</v>
      </c>
      <c r="D8" s="42" t="s">
        <v>11</v>
      </c>
      <c r="E8" s="42" t="s">
        <v>12</v>
      </c>
    </row>
    <row r="9" spans="1:5" ht="135" x14ac:dyDescent="0.25">
      <c r="A9" s="41" t="s">
        <v>671</v>
      </c>
      <c r="B9" s="41" t="s">
        <v>672</v>
      </c>
      <c r="C9" s="41" t="s">
        <v>673</v>
      </c>
      <c r="D9" s="41" t="s">
        <v>674</v>
      </c>
      <c r="E9" s="41" t="s">
        <v>675</v>
      </c>
    </row>
    <row r="10" spans="1:5" x14ac:dyDescent="0.25">
      <c r="A10" s="48"/>
      <c r="B10" s="48"/>
      <c r="C10" s="48"/>
      <c r="D10" s="48"/>
      <c r="E10" s="48"/>
    </row>
    <row r="11" spans="1:5" ht="28.5" x14ac:dyDescent="0.25">
      <c r="A11" s="95" t="s">
        <v>13</v>
      </c>
      <c r="B11" s="96"/>
      <c r="C11" s="96"/>
      <c r="D11" s="97"/>
      <c r="E11" s="85">
        <v>3.5</v>
      </c>
    </row>
    <row r="12" spans="1:5" x14ac:dyDescent="0.25">
      <c r="A12" s="9"/>
      <c r="B12" s="9"/>
      <c r="C12" s="9"/>
      <c r="D12" s="9"/>
      <c r="E12" s="9"/>
    </row>
    <row r="13" spans="1:5" ht="28.5" x14ac:dyDescent="0.25">
      <c r="A13" s="95" t="s">
        <v>187</v>
      </c>
      <c r="B13" s="96"/>
      <c r="C13" s="96"/>
      <c r="D13" s="97"/>
      <c r="E13" s="86">
        <v>4</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topLeftCell="A7" zoomScale="90" zoomScaleNormal="90" workbookViewId="0">
      <selection activeCell="A16" sqref="A16"/>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369</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90" customHeight="1" x14ac:dyDescent="0.25">
      <c r="A5" s="115" t="s">
        <v>677</v>
      </c>
      <c r="B5" s="115" t="s">
        <v>370</v>
      </c>
      <c r="C5" s="115" t="s">
        <v>371</v>
      </c>
      <c r="D5" s="32" t="s">
        <v>96</v>
      </c>
      <c r="E5" s="110" t="s">
        <v>678</v>
      </c>
    </row>
    <row r="6" spans="1:5" s="1" customFormat="1" ht="90" customHeight="1" x14ac:dyDescent="0.25">
      <c r="A6" s="117"/>
      <c r="B6" s="117"/>
      <c r="C6" s="117"/>
      <c r="D6" s="32" t="s">
        <v>97</v>
      </c>
      <c r="E6" s="111"/>
    </row>
    <row r="8" spans="1:5" x14ac:dyDescent="0.25">
      <c r="A8" s="104" t="s">
        <v>7</v>
      </c>
      <c r="B8" s="104"/>
      <c r="C8" s="104"/>
      <c r="D8" s="104"/>
      <c r="E8" s="104"/>
    </row>
    <row r="9" spans="1:5" s="5" customFormat="1" x14ac:dyDescent="0.25">
      <c r="A9" s="42" t="s">
        <v>8</v>
      </c>
      <c r="B9" s="42" t="s">
        <v>9</v>
      </c>
      <c r="C9" s="42" t="s">
        <v>10</v>
      </c>
      <c r="D9" s="42" t="s">
        <v>11</v>
      </c>
      <c r="E9" s="42" t="s">
        <v>12</v>
      </c>
    </row>
    <row r="10" spans="1:5" ht="180" x14ac:dyDescent="0.25">
      <c r="A10" s="41" t="s">
        <v>679</v>
      </c>
      <c r="B10" s="41" t="s">
        <v>680</v>
      </c>
      <c r="C10" s="41" t="s">
        <v>681</v>
      </c>
      <c r="D10" s="41" t="s">
        <v>682</v>
      </c>
      <c r="E10" s="41" t="s">
        <v>683</v>
      </c>
    </row>
    <row r="11" spans="1:5" x14ac:dyDescent="0.25">
      <c r="A11" s="48"/>
      <c r="B11" s="48"/>
      <c r="C11" s="48"/>
      <c r="D11" s="48"/>
      <c r="E11" s="48"/>
    </row>
    <row r="12" spans="1:5" ht="28.5" x14ac:dyDescent="0.25">
      <c r="A12" s="95" t="s">
        <v>13</v>
      </c>
      <c r="B12" s="96"/>
      <c r="C12" s="96"/>
      <c r="D12" s="97"/>
      <c r="E12" s="85">
        <v>3.8</v>
      </c>
    </row>
    <row r="13" spans="1:5" x14ac:dyDescent="0.25">
      <c r="A13" s="9"/>
      <c r="B13" s="9"/>
      <c r="C13" s="9"/>
      <c r="D13" s="9"/>
      <c r="E13" s="9"/>
    </row>
    <row r="14" spans="1:5" ht="28.5" x14ac:dyDescent="0.25">
      <c r="A14" s="95" t="s">
        <v>187</v>
      </c>
      <c r="B14" s="96"/>
      <c r="C14" s="96"/>
      <c r="D14" s="97"/>
      <c r="E14" s="86">
        <v>3</v>
      </c>
    </row>
    <row r="15" spans="1:5" x14ac:dyDescent="0.25">
      <c r="A15" s="9"/>
      <c r="B15" s="9"/>
      <c r="C15" s="9"/>
      <c r="D15" s="9"/>
      <c r="E15" s="9"/>
    </row>
    <row r="16" spans="1:5" ht="78.75" x14ac:dyDescent="0.45">
      <c r="A16" s="69" t="s">
        <v>188</v>
      </c>
      <c r="B16" s="152" t="s">
        <v>1107</v>
      </c>
      <c r="C16" s="153"/>
      <c r="D16" s="153"/>
      <c r="E16" s="154"/>
    </row>
  </sheetData>
  <mergeCells count="10">
    <mergeCell ref="A14:D14"/>
    <mergeCell ref="B16:E16"/>
    <mergeCell ref="A1:D1"/>
    <mergeCell ref="A3:E3"/>
    <mergeCell ref="A5:A6"/>
    <mergeCell ref="B5:B6"/>
    <mergeCell ref="C5:C6"/>
    <mergeCell ref="E5:E6"/>
    <mergeCell ref="A8:E8"/>
    <mergeCell ref="A12:D12"/>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topLeftCell="A4" zoomScale="90" zoomScaleNormal="90" workbookViewId="0">
      <selection activeCell="E23" sqref="E23"/>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372</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689</v>
      </c>
      <c r="B5" s="115" t="s">
        <v>213</v>
      </c>
      <c r="C5" s="115" t="s">
        <v>214</v>
      </c>
      <c r="D5" s="32" t="s">
        <v>218</v>
      </c>
      <c r="E5" s="110" t="s">
        <v>687</v>
      </c>
    </row>
    <row r="6" spans="1:5" s="1" customFormat="1" ht="45" customHeight="1" x14ac:dyDescent="0.25">
      <c r="A6" s="116"/>
      <c r="B6" s="116"/>
      <c r="C6" s="116"/>
      <c r="D6" s="32" t="s">
        <v>217</v>
      </c>
      <c r="E6" s="111"/>
    </row>
    <row r="7" spans="1:5" s="1" customFormat="1" ht="45" customHeight="1" x14ac:dyDescent="0.25">
      <c r="A7" s="116"/>
      <c r="B7" s="116"/>
      <c r="C7" s="116"/>
      <c r="D7" s="32" t="s">
        <v>216</v>
      </c>
      <c r="E7" s="111"/>
    </row>
    <row r="8" spans="1:5" s="1" customFormat="1" ht="45" customHeight="1" x14ac:dyDescent="0.25">
      <c r="A8" s="117"/>
      <c r="B8" s="117"/>
      <c r="C8" s="117"/>
      <c r="D8" s="32" t="s">
        <v>215</v>
      </c>
      <c r="E8" s="111"/>
    </row>
    <row r="10" spans="1:5" x14ac:dyDescent="0.25">
      <c r="A10" t="s">
        <v>610</v>
      </c>
    </row>
    <row r="11" spans="1:5" x14ac:dyDescent="0.25">
      <c r="A11" s="146" t="s">
        <v>685</v>
      </c>
      <c r="B11" s="146"/>
      <c r="C11" s="64">
        <v>1000000000</v>
      </c>
    </row>
    <row r="12" spans="1:5" x14ac:dyDescent="0.25">
      <c r="A12" s="148" t="s">
        <v>684</v>
      </c>
      <c r="B12" s="149"/>
      <c r="C12" s="64">
        <v>200</v>
      </c>
    </row>
    <row r="13" spans="1:5" x14ac:dyDescent="0.25">
      <c r="A13" s="148" t="s">
        <v>686</v>
      </c>
      <c r="B13" s="149"/>
      <c r="C13" s="66">
        <f>C11/C12</f>
        <v>5000000</v>
      </c>
    </row>
    <row r="14" spans="1:5" x14ac:dyDescent="0.25">
      <c r="A14" s="146" t="s">
        <v>614</v>
      </c>
      <c r="B14" s="146"/>
      <c r="C14" s="67">
        <f>C13/5</f>
        <v>1000000</v>
      </c>
    </row>
    <row r="16" spans="1:5" ht="28.5" x14ac:dyDescent="0.25">
      <c r="A16" s="95" t="s">
        <v>615</v>
      </c>
      <c r="B16" s="96"/>
      <c r="C16" s="96"/>
      <c r="D16" s="97"/>
      <c r="E16" s="68">
        <f>IF(C14&lt;=4,C14,4)</f>
        <v>4</v>
      </c>
    </row>
    <row r="17" spans="1:5" x14ac:dyDescent="0.25">
      <c r="A17" s="9"/>
      <c r="B17" s="9"/>
      <c r="C17" s="9"/>
      <c r="D17" s="9"/>
      <c r="E17" s="9"/>
    </row>
    <row r="18" spans="1:5" ht="78.75" x14ac:dyDescent="0.45">
      <c r="A18" s="69" t="s">
        <v>188</v>
      </c>
      <c r="B18" s="118" t="s">
        <v>1107</v>
      </c>
      <c r="C18" s="118"/>
      <c r="D18" s="118"/>
      <c r="E18" s="118"/>
    </row>
  </sheetData>
  <mergeCells count="12">
    <mergeCell ref="A14:B14"/>
    <mergeCell ref="A16:D16"/>
    <mergeCell ref="B18:E18"/>
    <mergeCell ref="A1:D1"/>
    <mergeCell ref="A3:E3"/>
    <mergeCell ref="A5:A8"/>
    <mergeCell ref="B5:B8"/>
    <mergeCell ref="C5:C8"/>
    <mergeCell ref="E5:E8"/>
    <mergeCell ref="A11:B11"/>
    <mergeCell ref="A12:B12"/>
    <mergeCell ref="A13:B13"/>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zoomScale="90" zoomScaleNormal="90" workbookViewId="0">
      <selection activeCell="C21" sqref="C21"/>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373</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693</v>
      </c>
      <c r="B5" s="115" t="s">
        <v>694</v>
      </c>
      <c r="C5" s="115" t="s">
        <v>694</v>
      </c>
      <c r="D5" s="32" t="s">
        <v>218</v>
      </c>
      <c r="E5" s="110" t="s">
        <v>688</v>
      </c>
    </row>
    <row r="6" spans="1:5" s="1" customFormat="1" ht="45" customHeight="1" x14ac:dyDescent="0.25">
      <c r="A6" s="116"/>
      <c r="B6" s="116"/>
      <c r="C6" s="116"/>
      <c r="D6" s="32" t="s">
        <v>217</v>
      </c>
      <c r="E6" s="111"/>
    </row>
    <row r="7" spans="1:5" s="1" customFormat="1" ht="45" customHeight="1" x14ac:dyDescent="0.25">
      <c r="A7" s="116"/>
      <c r="B7" s="116"/>
      <c r="C7" s="116"/>
      <c r="D7" s="32" t="s">
        <v>216</v>
      </c>
      <c r="E7" s="111"/>
    </row>
    <row r="8" spans="1:5" s="1" customFormat="1" ht="45" customHeight="1" x14ac:dyDescent="0.25">
      <c r="A8" s="117"/>
      <c r="B8" s="117"/>
      <c r="C8" s="117"/>
      <c r="D8" s="32" t="s">
        <v>219</v>
      </c>
      <c r="E8" s="111"/>
    </row>
    <row r="10" spans="1:5" x14ac:dyDescent="0.25">
      <c r="A10" t="s">
        <v>610</v>
      </c>
    </row>
    <row r="11" spans="1:5" x14ac:dyDescent="0.25">
      <c r="A11" s="146" t="s">
        <v>690</v>
      </c>
      <c r="B11" s="146"/>
      <c r="C11" s="64">
        <v>100000000</v>
      </c>
    </row>
    <row r="12" spans="1:5" x14ac:dyDescent="0.25">
      <c r="A12" s="148" t="s">
        <v>691</v>
      </c>
      <c r="B12" s="149"/>
      <c r="C12" s="64">
        <v>8</v>
      </c>
    </row>
    <row r="13" spans="1:5" x14ac:dyDescent="0.25">
      <c r="A13" s="148" t="s">
        <v>692</v>
      </c>
      <c r="B13" s="149"/>
      <c r="C13" s="66">
        <f>C11/C12</f>
        <v>12500000</v>
      </c>
    </row>
    <row r="14" spans="1:5" x14ac:dyDescent="0.25">
      <c r="A14" s="146" t="s">
        <v>614</v>
      </c>
      <c r="B14" s="146"/>
      <c r="C14" s="67">
        <f>(2*C13)/5</f>
        <v>5000000</v>
      </c>
    </row>
    <row r="16" spans="1:5" ht="28.5" x14ac:dyDescent="0.25">
      <c r="A16" s="95" t="s">
        <v>615</v>
      </c>
      <c r="B16" s="96"/>
      <c r="C16" s="96"/>
      <c r="D16" s="97"/>
      <c r="E16" s="68">
        <f>IF(C14&lt;=4,C14,4)</f>
        <v>4</v>
      </c>
    </row>
    <row r="17" spans="1:5" x14ac:dyDescent="0.25">
      <c r="A17" s="9"/>
      <c r="B17" s="9"/>
      <c r="C17" s="9"/>
      <c r="D17" s="9"/>
      <c r="E17" s="9"/>
    </row>
    <row r="18" spans="1:5" s="5" customFormat="1" ht="78.75" x14ac:dyDescent="0.45">
      <c r="A18" s="69" t="s">
        <v>188</v>
      </c>
      <c r="B18" s="118" t="s">
        <v>1107</v>
      </c>
      <c r="C18" s="118"/>
      <c r="D18" s="118"/>
      <c r="E18" s="118"/>
    </row>
  </sheetData>
  <mergeCells count="12">
    <mergeCell ref="A1:D1"/>
    <mergeCell ref="A3:E3"/>
    <mergeCell ref="A5:A8"/>
    <mergeCell ref="B5:B8"/>
    <mergeCell ref="C5:C8"/>
    <mergeCell ref="E5:E8"/>
    <mergeCell ref="B18:E18"/>
    <mergeCell ref="A11:B11"/>
    <mergeCell ref="A12:B12"/>
    <mergeCell ref="A13:B13"/>
    <mergeCell ref="A14:B14"/>
    <mergeCell ref="A16:D16"/>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topLeftCell="A4" zoomScale="90" zoomScaleNormal="90" workbookViewId="0">
      <selection activeCell="B18" sqref="B18:E18"/>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374</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698</v>
      </c>
      <c r="B5" s="115" t="s">
        <v>220</v>
      </c>
      <c r="C5" s="115" t="s">
        <v>699</v>
      </c>
      <c r="D5" s="32" t="s">
        <v>218</v>
      </c>
      <c r="E5" s="110" t="s">
        <v>695</v>
      </c>
    </row>
    <row r="6" spans="1:5" s="1" customFormat="1" ht="45" customHeight="1" x14ac:dyDescent="0.25">
      <c r="A6" s="116"/>
      <c r="B6" s="116"/>
      <c r="C6" s="116"/>
      <c r="D6" s="32" t="s">
        <v>217</v>
      </c>
      <c r="E6" s="111"/>
    </row>
    <row r="7" spans="1:5" s="1" customFormat="1" ht="45" customHeight="1" x14ac:dyDescent="0.25">
      <c r="A7" s="116"/>
      <c r="B7" s="116"/>
      <c r="C7" s="116"/>
      <c r="D7" s="32" t="s">
        <v>216</v>
      </c>
      <c r="E7" s="111"/>
    </row>
    <row r="8" spans="1:5" s="1" customFormat="1" ht="45" customHeight="1" x14ac:dyDescent="0.25">
      <c r="A8" s="117"/>
      <c r="B8" s="117"/>
      <c r="C8" s="117"/>
      <c r="D8" s="32" t="s">
        <v>219</v>
      </c>
      <c r="E8" s="111"/>
    </row>
    <row r="10" spans="1:5" x14ac:dyDescent="0.25">
      <c r="A10" t="s">
        <v>610</v>
      </c>
    </row>
    <row r="11" spans="1:5" x14ac:dyDescent="0.25">
      <c r="A11" s="146" t="s">
        <v>696</v>
      </c>
      <c r="B11" s="146"/>
      <c r="C11" s="64">
        <v>32000000</v>
      </c>
    </row>
    <row r="12" spans="1:5" x14ac:dyDescent="0.25">
      <c r="A12" s="148" t="s">
        <v>691</v>
      </c>
      <c r="B12" s="149"/>
      <c r="C12" s="64">
        <v>8</v>
      </c>
    </row>
    <row r="13" spans="1:5" x14ac:dyDescent="0.25">
      <c r="A13" s="148" t="s">
        <v>697</v>
      </c>
      <c r="B13" s="149"/>
      <c r="C13" s="66">
        <f>C11/C12</f>
        <v>4000000</v>
      </c>
    </row>
    <row r="14" spans="1:5" x14ac:dyDescent="0.25">
      <c r="A14" s="146" t="s">
        <v>614</v>
      </c>
      <c r="B14" s="146"/>
      <c r="C14" s="67">
        <f>(4*C13)/5</f>
        <v>3200000</v>
      </c>
    </row>
    <row r="16" spans="1:5" ht="28.5" x14ac:dyDescent="0.25">
      <c r="A16" s="95" t="s">
        <v>615</v>
      </c>
      <c r="B16" s="96"/>
      <c r="C16" s="96"/>
      <c r="D16" s="97"/>
      <c r="E16" s="68">
        <f>IF(C14&lt;=4,C14,4)</f>
        <v>4</v>
      </c>
    </row>
    <row r="17" spans="1:5" x14ac:dyDescent="0.25">
      <c r="A17" s="9"/>
      <c r="B17" s="9"/>
      <c r="C17" s="9"/>
      <c r="D17" s="9"/>
      <c r="E17" s="9"/>
    </row>
    <row r="18" spans="1:5" ht="78.75" x14ac:dyDescent="0.45">
      <c r="A18" s="69" t="s">
        <v>188</v>
      </c>
      <c r="B18" s="118" t="s">
        <v>1107</v>
      </c>
      <c r="C18" s="118"/>
      <c r="D18" s="118"/>
      <c r="E18" s="118"/>
    </row>
  </sheetData>
  <mergeCells count="12">
    <mergeCell ref="A1:D1"/>
    <mergeCell ref="A3:E3"/>
    <mergeCell ref="A5:A8"/>
    <mergeCell ref="B5:B8"/>
    <mergeCell ref="C5:C8"/>
    <mergeCell ref="E5:E8"/>
    <mergeCell ref="B18:E18"/>
    <mergeCell ref="A11:B11"/>
    <mergeCell ref="A12:B12"/>
    <mergeCell ref="A13:B13"/>
    <mergeCell ref="A14:B14"/>
    <mergeCell ref="A16:D16"/>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7" zoomScale="90" zoomScaleNormal="90" workbookViewId="0">
      <selection activeCell="E16" sqref="E16"/>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377</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75" customHeight="1" x14ac:dyDescent="0.25">
      <c r="A5" s="115" t="s">
        <v>700</v>
      </c>
      <c r="B5" s="115" t="s">
        <v>376</v>
      </c>
      <c r="C5" s="115" t="s">
        <v>375</v>
      </c>
      <c r="D5" s="32" t="s">
        <v>221</v>
      </c>
      <c r="E5" s="110" t="s">
        <v>715</v>
      </c>
    </row>
    <row r="6" spans="1:5" s="1" customFormat="1" ht="75" customHeight="1" x14ac:dyDescent="0.25">
      <c r="A6" s="116"/>
      <c r="B6" s="116"/>
      <c r="C6" s="116"/>
      <c r="D6" s="32" t="s">
        <v>222</v>
      </c>
      <c r="E6" s="111"/>
    </row>
    <row r="7" spans="1:5" s="1" customFormat="1" ht="75" customHeight="1" x14ac:dyDescent="0.25">
      <c r="A7" s="117"/>
      <c r="B7" s="117"/>
      <c r="C7" s="117"/>
      <c r="D7" s="32" t="s">
        <v>223</v>
      </c>
      <c r="E7" s="111"/>
    </row>
    <row r="9" spans="1:5" x14ac:dyDescent="0.25">
      <c r="A9" s="104" t="s">
        <v>7</v>
      </c>
      <c r="B9" s="104"/>
      <c r="C9" s="104"/>
      <c r="D9" s="104"/>
      <c r="E9" s="104"/>
    </row>
    <row r="10" spans="1:5" x14ac:dyDescent="0.25">
      <c r="A10" s="42" t="s">
        <v>8</v>
      </c>
      <c r="B10" s="42" t="s">
        <v>9</v>
      </c>
      <c r="C10" s="42" t="s">
        <v>10</v>
      </c>
      <c r="D10" s="42" t="s">
        <v>11</v>
      </c>
      <c r="E10" s="42" t="s">
        <v>12</v>
      </c>
    </row>
    <row r="11" spans="1:5" ht="150" x14ac:dyDescent="0.25">
      <c r="A11" s="41" t="s">
        <v>701</v>
      </c>
      <c r="B11" s="41" t="s">
        <v>702</v>
      </c>
      <c r="C11" s="41" t="s">
        <v>703</v>
      </c>
      <c r="D11" s="41" t="s">
        <v>704</v>
      </c>
      <c r="E11" s="41" t="s">
        <v>705</v>
      </c>
    </row>
    <row r="12" spans="1:5" x14ac:dyDescent="0.25">
      <c r="A12" s="48"/>
      <c r="B12" s="48"/>
      <c r="C12" s="48"/>
      <c r="D12" s="48"/>
      <c r="E12" s="48"/>
    </row>
    <row r="13" spans="1:5" ht="28.5" x14ac:dyDescent="0.25">
      <c r="A13" s="95" t="s">
        <v>13</v>
      </c>
      <c r="B13" s="96"/>
      <c r="C13" s="96"/>
      <c r="D13" s="97"/>
      <c r="E13" s="85">
        <v>3.2</v>
      </c>
    </row>
    <row r="14" spans="1:5" x14ac:dyDescent="0.25">
      <c r="A14" s="9"/>
      <c r="B14" s="9"/>
      <c r="C14" s="9"/>
      <c r="D14" s="9"/>
      <c r="E14" s="9"/>
    </row>
    <row r="15" spans="1:5" ht="28.5" x14ac:dyDescent="0.25">
      <c r="A15" s="95" t="s">
        <v>187</v>
      </c>
      <c r="B15" s="96"/>
      <c r="C15" s="96"/>
      <c r="D15" s="97"/>
      <c r="E15" s="86">
        <v>3</v>
      </c>
    </row>
    <row r="16" spans="1:5" x14ac:dyDescent="0.25">
      <c r="A16" s="9"/>
      <c r="B16" s="9"/>
      <c r="C16" s="9"/>
      <c r="D16" s="9"/>
      <c r="E16" s="9"/>
    </row>
    <row r="17" spans="1:5" s="5" customFormat="1" ht="78.75" x14ac:dyDescent="0.4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topLeftCell="A7" zoomScale="90" zoomScaleNormal="90" workbookViewId="0">
      <selection activeCell="E22" sqref="E22"/>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378</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60" customHeight="1" x14ac:dyDescent="0.25">
      <c r="A5" s="115" t="s">
        <v>706</v>
      </c>
      <c r="B5" s="115" t="s">
        <v>707</v>
      </c>
      <c r="C5" s="115" t="s">
        <v>708</v>
      </c>
      <c r="D5" s="32" t="s">
        <v>226</v>
      </c>
      <c r="E5" s="110" t="s">
        <v>709</v>
      </c>
    </row>
    <row r="6" spans="1:5" s="1" customFormat="1" ht="60" customHeight="1" x14ac:dyDescent="0.25">
      <c r="A6" s="116"/>
      <c r="B6" s="116"/>
      <c r="C6" s="116"/>
      <c r="D6" s="32" t="s">
        <v>227</v>
      </c>
      <c r="E6" s="111"/>
    </row>
    <row r="7" spans="1:5" s="1" customFormat="1" ht="60" customHeight="1" x14ac:dyDescent="0.25">
      <c r="A7" s="116"/>
      <c r="B7" s="116"/>
      <c r="C7" s="116"/>
      <c r="D7" s="32" t="s">
        <v>225</v>
      </c>
      <c r="E7" s="111"/>
    </row>
    <row r="8" spans="1:5" s="1" customFormat="1" ht="60" customHeight="1" x14ac:dyDescent="0.25">
      <c r="A8" s="117"/>
      <c r="B8" s="117"/>
      <c r="C8" s="117"/>
      <c r="D8" s="32" t="s">
        <v>224</v>
      </c>
      <c r="E8" s="111"/>
    </row>
    <row r="10" spans="1:5" x14ac:dyDescent="0.25">
      <c r="A10" s="104" t="s">
        <v>7</v>
      </c>
      <c r="B10" s="104"/>
      <c r="C10" s="104"/>
      <c r="D10" s="104"/>
      <c r="E10" s="104"/>
    </row>
    <row r="11" spans="1:5" x14ac:dyDescent="0.25">
      <c r="A11" s="42" t="s">
        <v>8</v>
      </c>
      <c r="B11" s="42" t="s">
        <v>9</v>
      </c>
      <c r="C11" s="42" t="s">
        <v>10</v>
      </c>
      <c r="D11" s="42" t="s">
        <v>11</v>
      </c>
      <c r="E11" s="42" t="s">
        <v>12</v>
      </c>
    </row>
    <row r="12" spans="1:5" ht="135" x14ac:dyDescent="0.25">
      <c r="A12" s="41" t="s">
        <v>710</v>
      </c>
      <c r="B12" s="41" t="s">
        <v>711</v>
      </c>
      <c r="C12" s="41" t="s">
        <v>712</v>
      </c>
      <c r="D12" s="41" t="s">
        <v>713</v>
      </c>
      <c r="E12" s="41" t="s">
        <v>714</v>
      </c>
    </row>
    <row r="13" spans="1:5" x14ac:dyDescent="0.25">
      <c r="A13" s="48"/>
      <c r="B13" s="48"/>
      <c r="C13" s="48"/>
      <c r="D13" s="48"/>
      <c r="E13" s="48"/>
    </row>
    <row r="14" spans="1:5" ht="28.5" x14ac:dyDescent="0.25">
      <c r="A14" s="95" t="s">
        <v>13</v>
      </c>
      <c r="B14" s="96"/>
      <c r="C14" s="96"/>
      <c r="D14" s="97"/>
      <c r="E14" s="85">
        <v>3.5</v>
      </c>
    </row>
    <row r="15" spans="1:5" x14ac:dyDescent="0.25">
      <c r="A15" s="9"/>
      <c r="B15" s="9"/>
      <c r="C15" s="9"/>
      <c r="D15" s="9"/>
      <c r="E15" s="9"/>
    </row>
    <row r="16" spans="1:5" ht="28.5" x14ac:dyDescent="0.25">
      <c r="A16" s="95" t="s">
        <v>187</v>
      </c>
      <c r="B16" s="96"/>
      <c r="C16" s="96"/>
      <c r="D16" s="97"/>
      <c r="E16" s="86">
        <v>3</v>
      </c>
    </row>
    <row r="17" spans="1:5" x14ac:dyDescent="0.25">
      <c r="A17" s="9"/>
      <c r="B17" s="9"/>
      <c r="C17" s="9"/>
      <c r="D17" s="9"/>
      <c r="E17" s="9"/>
    </row>
    <row r="18" spans="1:5" ht="78.75" x14ac:dyDescent="0.4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7" zoomScale="90" zoomScaleNormal="90" workbookViewId="0">
      <selection activeCell="C22" sqref="C22"/>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379</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75" customHeight="1" x14ac:dyDescent="0.25">
      <c r="A5" s="115" t="s">
        <v>722</v>
      </c>
      <c r="B5" s="115" t="s">
        <v>228</v>
      </c>
      <c r="C5" s="115" t="s">
        <v>723</v>
      </c>
      <c r="D5" s="32" t="s">
        <v>231</v>
      </c>
      <c r="E5" s="110" t="s">
        <v>716</v>
      </c>
    </row>
    <row r="6" spans="1:5" s="1" customFormat="1" ht="45" customHeight="1" x14ac:dyDescent="0.25">
      <c r="A6" s="116"/>
      <c r="B6" s="116"/>
      <c r="C6" s="116"/>
      <c r="D6" s="32" t="s">
        <v>230</v>
      </c>
      <c r="E6" s="111"/>
    </row>
    <row r="7" spans="1:5" s="1" customFormat="1" ht="45" customHeight="1" x14ac:dyDescent="0.25">
      <c r="A7" s="117"/>
      <c r="B7" s="117"/>
      <c r="C7" s="117"/>
      <c r="D7" s="32" t="s">
        <v>229</v>
      </c>
      <c r="E7" s="111"/>
    </row>
    <row r="9" spans="1:5" x14ac:dyDescent="0.25">
      <c r="A9" s="104" t="s">
        <v>7</v>
      </c>
      <c r="B9" s="104"/>
      <c r="C9" s="104"/>
      <c r="D9" s="104"/>
      <c r="E9" s="104"/>
    </row>
    <row r="10" spans="1:5" x14ac:dyDescent="0.25">
      <c r="A10" s="42" t="s">
        <v>8</v>
      </c>
      <c r="B10" s="42" t="s">
        <v>9</v>
      </c>
      <c r="C10" s="42" t="s">
        <v>10</v>
      </c>
      <c r="D10" s="42" t="s">
        <v>11</v>
      </c>
      <c r="E10" s="42" t="s">
        <v>12</v>
      </c>
    </row>
    <row r="11" spans="1:5" ht="135" x14ac:dyDescent="0.25">
      <c r="A11" s="41" t="s">
        <v>717</v>
      </c>
      <c r="B11" s="41" t="s">
        <v>718</v>
      </c>
      <c r="C11" s="41" t="s">
        <v>719</v>
      </c>
      <c r="D11" s="41" t="s">
        <v>720</v>
      </c>
      <c r="E11" s="41" t="s">
        <v>721</v>
      </c>
    </row>
    <row r="12" spans="1:5" x14ac:dyDescent="0.25">
      <c r="A12" s="48"/>
      <c r="B12" s="48"/>
      <c r="C12" s="48"/>
      <c r="D12" s="48"/>
      <c r="E12" s="48"/>
    </row>
    <row r="13" spans="1:5" ht="28.5" x14ac:dyDescent="0.25">
      <c r="A13" s="95" t="s">
        <v>13</v>
      </c>
      <c r="B13" s="96"/>
      <c r="C13" s="96"/>
      <c r="D13" s="97"/>
      <c r="E13" s="85">
        <v>3.5</v>
      </c>
    </row>
    <row r="14" spans="1:5" x14ac:dyDescent="0.25">
      <c r="A14" s="9"/>
      <c r="B14" s="9"/>
      <c r="C14" s="9"/>
      <c r="D14" s="9"/>
      <c r="E14" s="9"/>
    </row>
    <row r="15" spans="1:5" ht="28.5" x14ac:dyDescent="0.25">
      <c r="A15" s="95" t="s">
        <v>187</v>
      </c>
      <c r="B15" s="96"/>
      <c r="C15" s="96"/>
      <c r="D15" s="97"/>
      <c r="E15" s="86">
        <v>3.2</v>
      </c>
    </row>
    <row r="16" spans="1:5" x14ac:dyDescent="0.25">
      <c r="A16" s="9"/>
      <c r="B16" s="9"/>
      <c r="C16" s="9"/>
      <c r="D16" s="9"/>
      <c r="E16" s="9"/>
    </row>
    <row r="17" spans="1:5" ht="78.75" x14ac:dyDescent="0.4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topLeftCell="A10" zoomScale="90" zoomScaleNormal="90" workbookViewId="0">
      <selection activeCell="B21" sqref="B21"/>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380</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724</v>
      </c>
      <c r="B5" s="115" t="s">
        <v>234</v>
      </c>
      <c r="C5" s="115" t="s">
        <v>725</v>
      </c>
      <c r="D5" s="32" t="s">
        <v>726</v>
      </c>
      <c r="E5" s="110" t="s">
        <v>735</v>
      </c>
    </row>
    <row r="6" spans="1:5" s="1" customFormat="1" ht="45" customHeight="1" x14ac:dyDescent="0.25">
      <c r="A6" s="116"/>
      <c r="B6" s="116"/>
      <c r="C6" s="116"/>
      <c r="D6" s="32" t="s">
        <v>727</v>
      </c>
      <c r="E6" s="111"/>
    </row>
    <row r="7" spans="1:5" s="1" customFormat="1" ht="45" customHeight="1" x14ac:dyDescent="0.25">
      <c r="A7" s="116"/>
      <c r="B7" s="116"/>
      <c r="C7" s="116"/>
      <c r="D7" s="32" t="s">
        <v>728</v>
      </c>
      <c r="E7" s="111"/>
    </row>
    <row r="8" spans="1:5" s="1" customFormat="1" ht="45" customHeight="1" x14ac:dyDescent="0.25">
      <c r="A8" s="117"/>
      <c r="B8" s="117"/>
      <c r="C8" s="117"/>
      <c r="D8" s="32" t="s">
        <v>729</v>
      </c>
      <c r="E8" s="111"/>
    </row>
    <row r="10" spans="1:5" x14ac:dyDescent="0.25">
      <c r="A10" s="104" t="s">
        <v>7</v>
      </c>
      <c r="B10" s="104"/>
      <c r="C10" s="104"/>
      <c r="D10" s="104"/>
      <c r="E10" s="104"/>
    </row>
    <row r="11" spans="1:5" x14ac:dyDescent="0.25">
      <c r="A11" s="59" t="s">
        <v>8</v>
      </c>
      <c r="B11" s="59" t="s">
        <v>9</v>
      </c>
      <c r="C11" s="59" t="s">
        <v>10</v>
      </c>
      <c r="D11" s="59" t="s">
        <v>11</v>
      </c>
      <c r="E11" s="59" t="s">
        <v>12</v>
      </c>
    </row>
    <row r="12" spans="1:5" ht="120" x14ac:dyDescent="0.25">
      <c r="A12" s="14" t="s">
        <v>730</v>
      </c>
      <c r="B12" s="14" t="s">
        <v>731</v>
      </c>
      <c r="C12" s="14" t="s">
        <v>732</v>
      </c>
      <c r="D12" s="14" t="s">
        <v>733</v>
      </c>
      <c r="E12" s="14" t="s">
        <v>734</v>
      </c>
    </row>
    <row r="13" spans="1:5" x14ac:dyDescent="0.25">
      <c r="A13" s="92"/>
      <c r="B13" s="92"/>
      <c r="C13" s="92"/>
      <c r="D13" s="92"/>
      <c r="E13" s="92"/>
    </row>
    <row r="14" spans="1:5" ht="28.5" x14ac:dyDescent="0.25">
      <c r="A14" s="95" t="s">
        <v>13</v>
      </c>
      <c r="B14" s="96"/>
      <c r="C14" s="96"/>
      <c r="D14" s="97"/>
      <c r="E14" s="85">
        <v>4</v>
      </c>
    </row>
    <row r="15" spans="1:5" x14ac:dyDescent="0.25">
      <c r="A15" s="9"/>
      <c r="B15" s="9"/>
      <c r="C15" s="9"/>
      <c r="D15" s="9"/>
      <c r="E15" s="9"/>
    </row>
    <row r="16" spans="1:5" ht="28.5" x14ac:dyDescent="0.25">
      <c r="A16" s="95" t="s">
        <v>187</v>
      </c>
      <c r="B16" s="96"/>
      <c r="C16" s="96"/>
      <c r="D16" s="97"/>
      <c r="E16" s="86">
        <v>3</v>
      </c>
    </row>
    <row r="17" spans="1:5" x14ac:dyDescent="0.25">
      <c r="A17" s="9"/>
      <c r="B17" s="9"/>
      <c r="C17" s="9"/>
      <c r="D17" s="9"/>
      <c r="E17" s="9"/>
    </row>
    <row r="18" spans="1:5" ht="78.75" x14ac:dyDescent="0.4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opLeftCell="A7" zoomScale="90" zoomScaleNormal="90" workbookViewId="0">
      <selection activeCell="D18" sqref="D18"/>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381</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05" x14ac:dyDescent="0.25">
      <c r="A5" s="41" t="s">
        <v>743</v>
      </c>
      <c r="B5" s="41" t="s">
        <v>232</v>
      </c>
      <c r="C5" s="41" t="s">
        <v>744</v>
      </c>
      <c r="D5" s="73" t="s">
        <v>745</v>
      </c>
      <c r="E5" s="55" t="s">
        <v>746</v>
      </c>
    </row>
    <row r="7" spans="1:5" x14ac:dyDescent="0.25">
      <c r="A7" s="104" t="s">
        <v>7</v>
      </c>
      <c r="B7" s="104"/>
      <c r="C7" s="104"/>
      <c r="D7" s="104"/>
      <c r="E7" s="104"/>
    </row>
    <row r="8" spans="1:5" x14ac:dyDescent="0.25">
      <c r="A8" s="42" t="s">
        <v>8</v>
      </c>
      <c r="B8" s="42" t="s">
        <v>9</v>
      </c>
      <c r="C8" s="42" t="s">
        <v>10</v>
      </c>
      <c r="D8" s="42" t="s">
        <v>11</v>
      </c>
      <c r="E8" s="42" t="s">
        <v>12</v>
      </c>
    </row>
    <row r="9" spans="1:5" ht="105" x14ac:dyDescent="0.25">
      <c r="A9" s="41" t="s">
        <v>747</v>
      </c>
      <c r="B9" s="41" t="s">
        <v>748</v>
      </c>
      <c r="C9" s="41" t="s">
        <v>749</v>
      </c>
      <c r="D9" s="155" t="s">
        <v>742</v>
      </c>
      <c r="E9" s="156"/>
    </row>
    <row r="10" spans="1:5" x14ac:dyDescent="0.25">
      <c r="A10" s="48"/>
      <c r="B10" s="48"/>
      <c r="C10" s="48"/>
      <c r="D10" s="48"/>
      <c r="E10" s="48"/>
    </row>
    <row r="11" spans="1:5" ht="28.5" x14ac:dyDescent="0.25">
      <c r="A11" s="95" t="s">
        <v>13</v>
      </c>
      <c r="B11" s="96"/>
      <c r="C11" s="96"/>
      <c r="D11" s="97"/>
      <c r="E11" s="85">
        <v>3</v>
      </c>
    </row>
    <row r="12" spans="1:5" x14ac:dyDescent="0.25">
      <c r="A12" s="9"/>
      <c r="B12" s="9"/>
      <c r="C12" s="9"/>
      <c r="D12" s="9"/>
      <c r="E12" s="9"/>
    </row>
    <row r="13" spans="1:5" ht="28.5" x14ac:dyDescent="0.25">
      <c r="A13" s="95" t="s">
        <v>187</v>
      </c>
      <c r="B13" s="96"/>
      <c r="C13" s="96"/>
      <c r="D13" s="97"/>
      <c r="E13" s="86">
        <v>4</v>
      </c>
    </row>
    <row r="14" spans="1:5" x14ac:dyDescent="0.25">
      <c r="A14" s="9"/>
      <c r="B14" s="9"/>
      <c r="C14" s="9"/>
      <c r="D14" s="9"/>
      <c r="E14" s="9"/>
    </row>
    <row r="15" spans="1:5" ht="78.75" x14ac:dyDescent="0.45">
      <c r="A15" s="69" t="s">
        <v>188</v>
      </c>
      <c r="B15" s="152" t="s">
        <v>1107</v>
      </c>
      <c r="C15" s="153"/>
      <c r="D15" s="153"/>
      <c r="E15" s="154"/>
    </row>
  </sheetData>
  <mergeCells count="7">
    <mergeCell ref="A13:D13"/>
    <mergeCell ref="B15:E15"/>
    <mergeCell ref="A1:D1"/>
    <mergeCell ref="A3:E3"/>
    <mergeCell ref="A7:E7"/>
    <mergeCell ref="D9:E9"/>
    <mergeCell ref="A11:D11"/>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E1" sqref="E1"/>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382</v>
      </c>
    </row>
    <row r="3" spans="1:5" x14ac:dyDescent="0.25">
      <c r="A3" s="102" t="s">
        <v>4</v>
      </c>
      <c r="B3" s="102"/>
      <c r="C3" s="102"/>
      <c r="D3" s="102"/>
      <c r="E3" s="102"/>
    </row>
    <row r="4" spans="1:5" ht="30" x14ac:dyDescent="0.25">
      <c r="A4" s="50" t="s">
        <v>0</v>
      </c>
      <c r="B4" s="50" t="s">
        <v>1</v>
      </c>
      <c r="C4" s="50" t="s">
        <v>2</v>
      </c>
      <c r="D4" s="50" t="s">
        <v>3</v>
      </c>
      <c r="E4" s="15" t="s">
        <v>537</v>
      </c>
    </row>
    <row r="5" spans="1:5" ht="150" x14ac:dyDescent="0.25">
      <c r="A5" s="41" t="s">
        <v>736</v>
      </c>
      <c r="B5" s="41" t="s">
        <v>233</v>
      </c>
      <c r="C5" s="41" t="s">
        <v>736</v>
      </c>
      <c r="D5" s="41" t="s">
        <v>737</v>
      </c>
      <c r="E5" s="55" t="s">
        <v>738</v>
      </c>
    </row>
    <row r="7" spans="1:5" x14ac:dyDescent="0.25">
      <c r="A7" s="104" t="s">
        <v>7</v>
      </c>
      <c r="B7" s="104"/>
      <c r="C7" s="104"/>
      <c r="D7" s="104"/>
      <c r="E7" s="104"/>
    </row>
    <row r="8" spans="1:5" x14ac:dyDescent="0.25">
      <c r="A8" s="42" t="s">
        <v>8</v>
      </c>
      <c r="B8" s="42" t="s">
        <v>9</v>
      </c>
      <c r="C8" s="42" t="s">
        <v>10</v>
      </c>
      <c r="D8" s="42" t="s">
        <v>11</v>
      </c>
      <c r="E8" s="42" t="s">
        <v>12</v>
      </c>
    </row>
    <row r="9" spans="1:5" ht="120" x14ac:dyDescent="0.25">
      <c r="A9" s="41" t="s">
        <v>739</v>
      </c>
      <c r="B9" s="41" t="s">
        <v>740</v>
      </c>
      <c r="C9" s="41" t="s">
        <v>741</v>
      </c>
      <c r="D9" s="155" t="s">
        <v>742</v>
      </c>
      <c r="E9" s="156"/>
    </row>
    <row r="10" spans="1:5" x14ac:dyDescent="0.25">
      <c r="A10" s="48"/>
      <c r="B10" s="48"/>
      <c r="C10" s="48"/>
      <c r="D10" s="48"/>
      <c r="E10" s="48"/>
    </row>
    <row r="11" spans="1:5" ht="28.5" x14ac:dyDescent="0.25">
      <c r="A11" s="95" t="s">
        <v>13</v>
      </c>
      <c r="B11" s="96"/>
      <c r="C11" s="96"/>
      <c r="D11" s="97"/>
      <c r="E11" s="85">
        <v>4</v>
      </c>
    </row>
    <row r="12" spans="1:5" x14ac:dyDescent="0.25">
      <c r="A12" s="9"/>
      <c r="B12" s="9"/>
      <c r="C12" s="9"/>
      <c r="D12" s="9"/>
      <c r="E12" s="9"/>
    </row>
    <row r="13" spans="1:5" ht="28.5" x14ac:dyDescent="0.25">
      <c r="A13" s="95" t="s">
        <v>187</v>
      </c>
      <c r="B13" s="96"/>
      <c r="C13" s="96"/>
      <c r="D13" s="97"/>
      <c r="E13" s="86">
        <v>3</v>
      </c>
    </row>
    <row r="14" spans="1:5" x14ac:dyDescent="0.25">
      <c r="A14" s="9"/>
      <c r="B14" s="9"/>
      <c r="C14" s="9"/>
      <c r="D14" s="9"/>
      <c r="E14" s="9"/>
    </row>
    <row r="15" spans="1:5" ht="78.75" x14ac:dyDescent="0.45">
      <c r="A15" s="69" t="s">
        <v>188</v>
      </c>
      <c r="B15" s="152" t="s">
        <v>1107</v>
      </c>
      <c r="C15" s="153"/>
      <c r="D15" s="153"/>
      <c r="E15" s="154"/>
    </row>
  </sheetData>
  <mergeCells count="7">
    <mergeCell ref="A13:D13"/>
    <mergeCell ref="B15:E15"/>
    <mergeCell ref="D9:E9"/>
    <mergeCell ref="A1:D1"/>
    <mergeCell ref="A3:E3"/>
    <mergeCell ref="A7:E7"/>
    <mergeCell ref="A11:D11"/>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opLeftCell="A7" zoomScale="90" zoomScaleNormal="90" workbookViewId="0">
      <selection activeCell="B18" sqref="B18"/>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383</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50" x14ac:dyDescent="0.25">
      <c r="A5" s="41" t="s">
        <v>750</v>
      </c>
      <c r="B5" s="41" t="s">
        <v>760</v>
      </c>
      <c r="C5" s="41" t="s">
        <v>761</v>
      </c>
      <c r="D5" s="41" t="s">
        <v>762</v>
      </c>
      <c r="E5" s="55" t="s">
        <v>763</v>
      </c>
    </row>
    <row r="7" spans="1:5" x14ac:dyDescent="0.25">
      <c r="A7" s="104" t="s">
        <v>7</v>
      </c>
      <c r="B7" s="104"/>
      <c r="C7" s="104"/>
      <c r="D7" s="104"/>
      <c r="E7" s="104"/>
    </row>
    <row r="8" spans="1:5" x14ac:dyDescent="0.25">
      <c r="A8" s="42" t="s">
        <v>8</v>
      </c>
      <c r="B8" s="42" t="s">
        <v>9</v>
      </c>
      <c r="C8" s="42" t="s">
        <v>10</v>
      </c>
      <c r="D8" s="42" t="s">
        <v>11</v>
      </c>
      <c r="E8" s="42" t="s">
        <v>12</v>
      </c>
    </row>
    <row r="9" spans="1:5" ht="135" x14ac:dyDescent="0.25">
      <c r="A9" s="41" t="s">
        <v>750</v>
      </c>
      <c r="B9" s="41" t="s">
        <v>751</v>
      </c>
      <c r="C9" s="41" t="s">
        <v>752</v>
      </c>
      <c r="D9" s="41" t="s">
        <v>753</v>
      </c>
      <c r="E9" s="41" t="s">
        <v>754</v>
      </c>
    </row>
    <row r="10" spans="1:5" x14ac:dyDescent="0.25">
      <c r="A10" s="48"/>
      <c r="B10" s="48"/>
      <c r="C10" s="48"/>
      <c r="D10" s="48"/>
      <c r="E10" s="48"/>
    </row>
    <row r="11" spans="1:5" ht="28.5" x14ac:dyDescent="0.25">
      <c r="A11" s="95" t="s">
        <v>13</v>
      </c>
      <c r="B11" s="96"/>
      <c r="C11" s="96"/>
      <c r="D11" s="97"/>
      <c r="E11" s="85">
        <v>3</v>
      </c>
    </row>
    <row r="12" spans="1:5" x14ac:dyDescent="0.25">
      <c r="A12" s="9"/>
      <c r="B12" s="9"/>
      <c r="C12" s="9"/>
      <c r="D12" s="9"/>
      <c r="E12" s="9"/>
    </row>
    <row r="13" spans="1:5" ht="28.5" x14ac:dyDescent="0.25">
      <c r="A13" s="95" t="s">
        <v>187</v>
      </c>
      <c r="B13" s="96"/>
      <c r="C13" s="96"/>
      <c r="D13" s="97"/>
      <c r="E13" s="86">
        <v>3</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E1" sqref="E1"/>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384</v>
      </c>
    </row>
    <row r="3" spans="1:5" x14ac:dyDescent="0.25">
      <c r="A3" s="102" t="s">
        <v>4</v>
      </c>
      <c r="B3" s="102"/>
      <c r="C3" s="102"/>
      <c r="D3" s="102"/>
      <c r="E3" s="102"/>
    </row>
    <row r="4" spans="1:5" ht="30" x14ac:dyDescent="0.25">
      <c r="A4" s="50" t="s">
        <v>0</v>
      </c>
      <c r="B4" s="50" t="s">
        <v>1</v>
      </c>
      <c r="C4" s="50" t="s">
        <v>2</v>
      </c>
      <c r="D4" s="50" t="s">
        <v>3</v>
      </c>
      <c r="E4" s="15" t="s">
        <v>537</v>
      </c>
    </row>
    <row r="5" spans="1:5" ht="240" x14ac:dyDescent="0.25">
      <c r="A5" s="41" t="s">
        <v>764</v>
      </c>
      <c r="B5" s="41" t="s">
        <v>235</v>
      </c>
      <c r="C5" s="41" t="s">
        <v>765</v>
      </c>
      <c r="D5" s="41" t="s">
        <v>767</v>
      </c>
      <c r="E5" s="55" t="s">
        <v>766</v>
      </c>
    </row>
    <row r="7" spans="1:5" x14ac:dyDescent="0.25">
      <c r="A7" s="104" t="s">
        <v>7</v>
      </c>
      <c r="B7" s="104"/>
      <c r="C7" s="104"/>
      <c r="D7" s="104"/>
      <c r="E7" s="104"/>
    </row>
    <row r="8" spans="1:5" x14ac:dyDescent="0.25">
      <c r="A8" s="59" t="s">
        <v>8</v>
      </c>
      <c r="B8" s="59" t="s">
        <v>9</v>
      </c>
      <c r="C8" s="59" t="s">
        <v>10</v>
      </c>
      <c r="D8" s="59" t="s">
        <v>11</v>
      </c>
      <c r="E8" s="59" t="s">
        <v>12</v>
      </c>
    </row>
    <row r="9" spans="1:5" ht="165" x14ac:dyDescent="0.25">
      <c r="A9" s="14" t="s">
        <v>755</v>
      </c>
      <c r="B9" s="14" t="s">
        <v>756</v>
      </c>
      <c r="C9" s="14" t="s">
        <v>757</v>
      </c>
      <c r="D9" s="14" t="s">
        <v>758</v>
      </c>
      <c r="E9" s="14" t="s">
        <v>759</v>
      </c>
    </row>
    <row r="10" spans="1:5" x14ac:dyDescent="0.25">
      <c r="A10" s="92"/>
      <c r="B10" s="92"/>
      <c r="C10" s="92"/>
      <c r="D10" s="92"/>
      <c r="E10" s="92"/>
    </row>
    <row r="11" spans="1:5" ht="28.5" x14ac:dyDescent="0.25">
      <c r="A11" s="95" t="s">
        <v>13</v>
      </c>
      <c r="B11" s="96"/>
      <c r="C11" s="96"/>
      <c r="D11" s="97"/>
      <c r="E11" s="85">
        <v>2</v>
      </c>
    </row>
    <row r="12" spans="1:5" x14ac:dyDescent="0.25">
      <c r="A12" s="9"/>
      <c r="B12" s="9"/>
      <c r="C12" s="9"/>
      <c r="D12" s="9"/>
      <c r="E12" s="9"/>
    </row>
    <row r="13" spans="1:5" ht="28.5" x14ac:dyDescent="0.25">
      <c r="A13" s="95" t="s">
        <v>187</v>
      </c>
      <c r="B13" s="96"/>
      <c r="C13" s="96"/>
      <c r="D13" s="97"/>
      <c r="E13" s="86">
        <v>3</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zoomScale="90" zoomScaleNormal="90" workbookViewId="0">
      <selection activeCell="E8" sqref="E8"/>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385</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768</v>
      </c>
      <c r="B5" s="115" t="s">
        <v>236</v>
      </c>
      <c r="C5" s="115" t="s">
        <v>769</v>
      </c>
      <c r="D5" s="32" t="s">
        <v>237</v>
      </c>
      <c r="E5" s="157" t="s">
        <v>1108</v>
      </c>
    </row>
    <row r="6" spans="1:5" s="1" customFormat="1" ht="120" customHeight="1" x14ac:dyDescent="0.25">
      <c r="A6" s="116"/>
      <c r="B6" s="116"/>
      <c r="C6" s="116"/>
      <c r="D6" s="58" t="s">
        <v>238</v>
      </c>
      <c r="E6" s="157"/>
    </row>
    <row r="7" spans="1:5" s="1" customFormat="1" ht="45" customHeight="1" x14ac:dyDescent="0.25">
      <c r="A7" s="117"/>
      <c r="B7" s="117"/>
      <c r="C7" s="117"/>
      <c r="D7" s="32" t="s">
        <v>239</v>
      </c>
      <c r="E7" s="157"/>
    </row>
    <row r="9" spans="1:5" x14ac:dyDescent="0.25">
      <c r="A9" s="104" t="s">
        <v>7</v>
      </c>
      <c r="B9" s="104"/>
      <c r="C9" s="104"/>
      <c r="D9" s="104"/>
      <c r="E9" s="104"/>
    </row>
    <row r="10" spans="1:5" x14ac:dyDescent="0.25">
      <c r="A10" s="59" t="s">
        <v>8</v>
      </c>
      <c r="B10" s="59" t="s">
        <v>9</v>
      </c>
      <c r="C10" s="59" t="s">
        <v>10</v>
      </c>
      <c r="D10" s="59" t="s">
        <v>11</v>
      </c>
      <c r="E10" s="59" t="s">
        <v>12</v>
      </c>
    </row>
    <row r="11" spans="1:5" ht="150" x14ac:dyDescent="0.25">
      <c r="A11" s="56" t="s">
        <v>770</v>
      </c>
      <c r="B11" s="56" t="s">
        <v>771</v>
      </c>
      <c r="C11" s="56" t="s">
        <v>772</v>
      </c>
      <c r="D11" s="56" t="s">
        <v>773</v>
      </c>
      <c r="E11" s="56" t="s">
        <v>774</v>
      </c>
    </row>
    <row r="12" spans="1:5" x14ac:dyDescent="0.25">
      <c r="A12" s="48"/>
      <c r="B12" s="48"/>
      <c r="C12" s="48"/>
      <c r="D12" s="48"/>
      <c r="E12" s="48"/>
    </row>
    <row r="13" spans="1:5" ht="28.5" x14ac:dyDescent="0.25">
      <c r="A13" s="95" t="s">
        <v>13</v>
      </c>
      <c r="B13" s="96"/>
      <c r="C13" s="96"/>
      <c r="D13" s="97"/>
      <c r="E13" s="85">
        <v>3</v>
      </c>
    </row>
    <row r="14" spans="1:5" x14ac:dyDescent="0.25">
      <c r="A14" s="9"/>
      <c r="B14" s="9"/>
      <c r="C14" s="9"/>
      <c r="D14" s="9"/>
      <c r="E14" s="9"/>
    </row>
    <row r="15" spans="1:5" ht="28.5" x14ac:dyDescent="0.25">
      <c r="A15" s="95" t="s">
        <v>187</v>
      </c>
      <c r="B15" s="96"/>
      <c r="C15" s="96"/>
      <c r="D15" s="97"/>
      <c r="E15" s="86">
        <v>4</v>
      </c>
    </row>
    <row r="16" spans="1:5" x14ac:dyDescent="0.25">
      <c r="A16" s="9"/>
      <c r="B16" s="9"/>
      <c r="C16" s="9"/>
      <c r="D16" s="9"/>
      <c r="E16" s="9"/>
    </row>
    <row r="17" spans="1:5" ht="78.75" x14ac:dyDescent="0.4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90" zoomScaleNormal="90" workbookViewId="0">
      <selection activeCell="E7" sqref="E7"/>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386</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07" t="s">
        <v>847</v>
      </c>
      <c r="B5" s="107" t="s">
        <v>240</v>
      </c>
      <c r="C5" s="107" t="s">
        <v>848</v>
      </c>
      <c r="D5" s="32" t="s">
        <v>241</v>
      </c>
      <c r="E5" s="157" t="s">
        <v>1109</v>
      </c>
    </row>
    <row r="6" spans="1:5" s="1" customFormat="1" ht="75" customHeight="1" x14ac:dyDescent="0.25">
      <c r="A6" s="107"/>
      <c r="B6" s="107"/>
      <c r="C6" s="107"/>
      <c r="D6" s="56" t="s">
        <v>242</v>
      </c>
      <c r="E6" s="157"/>
    </row>
    <row r="8" spans="1:5" x14ac:dyDescent="0.25">
      <c r="A8" s="104" t="s">
        <v>7</v>
      </c>
      <c r="B8" s="104"/>
      <c r="C8" s="104"/>
      <c r="D8" s="104"/>
      <c r="E8" s="104"/>
    </row>
    <row r="9" spans="1:5" x14ac:dyDescent="0.25">
      <c r="A9" s="59" t="s">
        <v>8</v>
      </c>
      <c r="B9" s="59" t="s">
        <v>9</v>
      </c>
      <c r="C9" s="59" t="s">
        <v>10</v>
      </c>
      <c r="D9" s="59" t="s">
        <v>11</v>
      </c>
      <c r="E9" s="59" t="s">
        <v>12</v>
      </c>
    </row>
    <row r="10" spans="1:5" ht="165" x14ac:dyDescent="0.25">
      <c r="A10" s="56" t="s">
        <v>775</v>
      </c>
      <c r="B10" s="56" t="s">
        <v>776</v>
      </c>
      <c r="C10" s="56" t="s">
        <v>777</v>
      </c>
      <c r="D10" s="56" t="s">
        <v>778</v>
      </c>
      <c r="E10" s="56" t="s">
        <v>779</v>
      </c>
    </row>
    <row r="11" spans="1:5" x14ac:dyDescent="0.25">
      <c r="A11" s="48"/>
      <c r="B11" s="48"/>
      <c r="C11" s="48"/>
      <c r="D11" s="48"/>
      <c r="E11" s="48"/>
    </row>
    <row r="12" spans="1:5" ht="28.5" x14ac:dyDescent="0.25">
      <c r="A12" s="95" t="s">
        <v>13</v>
      </c>
      <c r="B12" s="96"/>
      <c r="C12" s="96"/>
      <c r="D12" s="97"/>
      <c r="E12" s="85">
        <v>3</v>
      </c>
    </row>
    <row r="13" spans="1:5" x14ac:dyDescent="0.25">
      <c r="A13" s="9"/>
      <c r="B13" s="9"/>
      <c r="C13" s="9"/>
      <c r="D13" s="9"/>
      <c r="E13" s="9"/>
    </row>
    <row r="14" spans="1:5" ht="28.5" x14ac:dyDescent="0.25">
      <c r="A14" s="95" t="s">
        <v>187</v>
      </c>
      <c r="B14" s="96"/>
      <c r="C14" s="96"/>
      <c r="D14" s="97"/>
      <c r="E14" s="86">
        <v>4</v>
      </c>
    </row>
    <row r="15" spans="1:5" x14ac:dyDescent="0.25">
      <c r="A15" s="9"/>
      <c r="B15" s="9"/>
      <c r="C15" s="9"/>
      <c r="D15" s="9"/>
      <c r="E15" s="9"/>
    </row>
    <row r="16" spans="1:5" ht="78.75" x14ac:dyDescent="0.4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zoomScale="90" zoomScaleNormal="90" workbookViewId="0">
      <selection activeCell="E8" sqref="E8"/>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387</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60" customHeight="1" x14ac:dyDescent="0.25">
      <c r="A5" s="115" t="s">
        <v>845</v>
      </c>
      <c r="B5" s="115" t="s">
        <v>243</v>
      </c>
      <c r="C5" s="115" t="s">
        <v>846</v>
      </c>
      <c r="D5" s="32" t="s">
        <v>241</v>
      </c>
      <c r="E5" s="157" t="s">
        <v>1110</v>
      </c>
    </row>
    <row r="6" spans="1:5" s="1" customFormat="1" ht="60" customHeight="1" x14ac:dyDescent="0.25">
      <c r="A6" s="116"/>
      <c r="B6" s="116"/>
      <c r="C6" s="116"/>
      <c r="D6" s="58" t="s">
        <v>244</v>
      </c>
      <c r="E6" s="157"/>
    </row>
    <row r="7" spans="1:5" s="1" customFormat="1" ht="60" customHeight="1" x14ac:dyDescent="0.25">
      <c r="A7" s="117"/>
      <c r="B7" s="117"/>
      <c r="C7" s="117"/>
      <c r="D7" s="32" t="s">
        <v>245</v>
      </c>
      <c r="E7" s="157"/>
    </row>
    <row r="9" spans="1:5" x14ac:dyDescent="0.25">
      <c r="A9" s="104" t="s">
        <v>7</v>
      </c>
      <c r="B9" s="104"/>
      <c r="C9" s="104"/>
      <c r="D9" s="104"/>
      <c r="E9" s="104"/>
    </row>
    <row r="10" spans="1:5" x14ac:dyDescent="0.25">
      <c r="A10" s="59" t="s">
        <v>8</v>
      </c>
      <c r="B10" s="59" t="s">
        <v>9</v>
      </c>
      <c r="C10" s="59" t="s">
        <v>10</v>
      </c>
      <c r="D10" s="59" t="s">
        <v>11</v>
      </c>
      <c r="E10" s="59" t="s">
        <v>12</v>
      </c>
    </row>
    <row r="11" spans="1:5" ht="195" x14ac:dyDescent="0.25">
      <c r="A11" s="56" t="s">
        <v>780</v>
      </c>
      <c r="B11" s="56" t="s">
        <v>781</v>
      </c>
      <c r="C11" s="56" t="s">
        <v>782</v>
      </c>
      <c r="D11" s="56" t="s">
        <v>783</v>
      </c>
      <c r="E11" s="56" t="s">
        <v>451</v>
      </c>
    </row>
    <row r="12" spans="1:5" x14ac:dyDescent="0.25">
      <c r="A12" s="48"/>
      <c r="B12" s="48"/>
      <c r="C12" s="48"/>
      <c r="D12" s="48"/>
      <c r="E12" s="48"/>
    </row>
    <row r="13" spans="1:5" ht="28.5" x14ac:dyDescent="0.25">
      <c r="A13" s="95" t="s">
        <v>13</v>
      </c>
      <c r="B13" s="96"/>
      <c r="C13" s="96"/>
      <c r="D13" s="97"/>
      <c r="E13" s="85">
        <v>3.5</v>
      </c>
    </row>
    <row r="14" spans="1:5" x14ac:dyDescent="0.25">
      <c r="A14" s="9"/>
      <c r="B14" s="9"/>
      <c r="C14" s="9"/>
      <c r="D14" s="9"/>
      <c r="E14" s="9"/>
    </row>
    <row r="15" spans="1:5" ht="28.5" x14ac:dyDescent="0.25">
      <c r="A15" s="95" t="s">
        <v>187</v>
      </c>
      <c r="B15" s="96"/>
      <c r="C15" s="96"/>
      <c r="D15" s="97"/>
      <c r="E15" s="86">
        <v>3</v>
      </c>
    </row>
    <row r="16" spans="1:5" x14ac:dyDescent="0.25">
      <c r="A16" s="9"/>
      <c r="B16" s="9"/>
      <c r="C16" s="9"/>
      <c r="D16" s="9"/>
      <c r="E16" s="9"/>
    </row>
    <row r="17" spans="1:5" ht="78.75" x14ac:dyDescent="0.4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zoomScale="90" zoomScaleNormal="90" workbookViewId="0">
      <selection activeCell="E9" sqref="E9"/>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388</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843</v>
      </c>
      <c r="B5" s="115" t="s">
        <v>246</v>
      </c>
      <c r="C5" s="115" t="s">
        <v>844</v>
      </c>
      <c r="D5" s="32" t="s">
        <v>248</v>
      </c>
      <c r="E5" s="157" t="s">
        <v>1111</v>
      </c>
    </row>
    <row r="6" spans="1:5" s="1" customFormat="1" ht="90" customHeight="1" x14ac:dyDescent="0.25">
      <c r="A6" s="116"/>
      <c r="B6" s="116"/>
      <c r="C6" s="116"/>
      <c r="D6" s="32" t="s">
        <v>247</v>
      </c>
      <c r="E6" s="157"/>
    </row>
    <row r="7" spans="1:5" s="1" customFormat="1" ht="45" customHeight="1" x14ac:dyDescent="0.25">
      <c r="A7" s="116"/>
      <c r="B7" s="116"/>
      <c r="C7" s="116"/>
      <c r="D7" s="32" t="s">
        <v>250</v>
      </c>
      <c r="E7" s="157"/>
    </row>
    <row r="8" spans="1:5" s="1" customFormat="1" ht="45" customHeight="1" x14ac:dyDescent="0.25">
      <c r="A8" s="117"/>
      <c r="B8" s="117"/>
      <c r="C8" s="117"/>
      <c r="D8" s="32" t="s">
        <v>249</v>
      </c>
      <c r="E8" s="157"/>
    </row>
    <row r="10" spans="1:5" x14ac:dyDescent="0.25">
      <c r="A10" s="104" t="s">
        <v>7</v>
      </c>
      <c r="B10" s="104"/>
      <c r="C10" s="104"/>
      <c r="D10" s="104"/>
      <c r="E10" s="104"/>
    </row>
    <row r="11" spans="1:5" x14ac:dyDescent="0.25">
      <c r="A11" s="59" t="s">
        <v>8</v>
      </c>
      <c r="B11" s="59" t="s">
        <v>9</v>
      </c>
      <c r="C11" s="59" t="s">
        <v>10</v>
      </c>
      <c r="D11" s="59" t="s">
        <v>11</v>
      </c>
      <c r="E11" s="59" t="s">
        <v>12</v>
      </c>
    </row>
    <row r="12" spans="1:5" ht="120" x14ac:dyDescent="0.25">
      <c r="A12" s="56" t="s">
        <v>784</v>
      </c>
      <c r="B12" s="56" t="s">
        <v>785</v>
      </c>
      <c r="C12" s="56" t="s">
        <v>786</v>
      </c>
      <c r="D12" s="56" t="s">
        <v>787</v>
      </c>
      <c r="E12" s="56" t="s">
        <v>451</v>
      </c>
    </row>
    <row r="13" spans="1:5" x14ac:dyDescent="0.25">
      <c r="A13" s="48"/>
      <c r="B13" s="48"/>
      <c r="C13" s="48"/>
      <c r="D13" s="48"/>
      <c r="E13" s="48"/>
    </row>
    <row r="14" spans="1:5" ht="28.5" x14ac:dyDescent="0.25">
      <c r="A14" s="95" t="s">
        <v>13</v>
      </c>
      <c r="B14" s="96"/>
      <c r="C14" s="96"/>
      <c r="D14" s="97"/>
      <c r="E14" s="85">
        <v>3</v>
      </c>
    </row>
    <row r="15" spans="1:5" x14ac:dyDescent="0.25">
      <c r="A15" s="9"/>
      <c r="B15" s="9"/>
      <c r="C15" s="9"/>
      <c r="D15" s="9"/>
      <c r="E15" s="9"/>
    </row>
    <row r="16" spans="1:5" ht="28.5" x14ac:dyDescent="0.25">
      <c r="A16" s="95" t="s">
        <v>187</v>
      </c>
      <c r="B16" s="96"/>
      <c r="C16" s="96"/>
      <c r="D16" s="97"/>
      <c r="E16" s="86">
        <v>3.2</v>
      </c>
    </row>
    <row r="17" spans="1:5" x14ac:dyDescent="0.25">
      <c r="A17" s="9"/>
      <c r="B17" s="9"/>
      <c r="C17" s="9"/>
      <c r="D17" s="9"/>
      <c r="E17" s="9"/>
    </row>
    <row r="18" spans="1:5" ht="78.75" x14ac:dyDescent="0.4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zoomScale="90" zoomScaleNormal="90" workbookViewId="0">
      <selection activeCell="E5" sqref="E5:E7"/>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389</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75" customHeight="1" x14ac:dyDescent="0.25">
      <c r="A5" s="115" t="s">
        <v>849</v>
      </c>
      <c r="B5" s="115" t="s">
        <v>251</v>
      </c>
      <c r="C5" s="115" t="s">
        <v>849</v>
      </c>
      <c r="D5" s="32" t="s">
        <v>253</v>
      </c>
      <c r="E5" s="157" t="s">
        <v>1112</v>
      </c>
    </row>
    <row r="6" spans="1:5" s="1" customFormat="1" ht="75" customHeight="1" x14ac:dyDescent="0.25">
      <c r="A6" s="116"/>
      <c r="B6" s="116"/>
      <c r="C6" s="116"/>
      <c r="D6" s="115" t="s">
        <v>252</v>
      </c>
      <c r="E6" s="157"/>
    </row>
    <row r="7" spans="1:5" s="1" customFormat="1" ht="75" customHeight="1" x14ac:dyDescent="0.25">
      <c r="A7" s="117"/>
      <c r="B7" s="117"/>
      <c r="C7" s="117"/>
      <c r="D7" s="117"/>
      <c r="E7" s="157"/>
    </row>
    <row r="9" spans="1:5" x14ac:dyDescent="0.25">
      <c r="A9" s="104" t="s">
        <v>7</v>
      </c>
      <c r="B9" s="104"/>
      <c r="C9" s="104"/>
      <c r="D9" s="104"/>
      <c r="E9" s="104"/>
    </row>
    <row r="10" spans="1:5" x14ac:dyDescent="0.25">
      <c r="A10" s="59" t="s">
        <v>8</v>
      </c>
      <c r="B10" s="59" t="s">
        <v>9</v>
      </c>
      <c r="C10" s="59" t="s">
        <v>10</v>
      </c>
      <c r="D10" s="59" t="s">
        <v>11</v>
      </c>
      <c r="E10" s="59" t="s">
        <v>12</v>
      </c>
    </row>
    <row r="11" spans="1:5" ht="150" x14ac:dyDescent="0.25">
      <c r="A11" s="56" t="s">
        <v>788</v>
      </c>
      <c r="B11" s="56" t="s">
        <v>789</v>
      </c>
      <c r="C11" s="56" t="s">
        <v>790</v>
      </c>
      <c r="D11" s="56" t="s">
        <v>791</v>
      </c>
      <c r="E11" s="56" t="s">
        <v>792</v>
      </c>
    </row>
    <row r="12" spans="1:5" x14ac:dyDescent="0.25">
      <c r="A12" s="48"/>
      <c r="B12" s="48"/>
      <c r="C12" s="48"/>
      <c r="D12" s="48"/>
      <c r="E12" s="48"/>
    </row>
    <row r="13" spans="1:5" ht="28.5" x14ac:dyDescent="0.25">
      <c r="A13" s="95" t="s">
        <v>13</v>
      </c>
      <c r="B13" s="96"/>
      <c r="C13" s="96"/>
      <c r="D13" s="97"/>
      <c r="E13" s="85">
        <v>4</v>
      </c>
    </row>
    <row r="14" spans="1:5" x14ac:dyDescent="0.25">
      <c r="A14" s="9"/>
      <c r="B14" s="9"/>
      <c r="C14" s="9"/>
      <c r="D14" s="9"/>
      <c r="E14" s="9"/>
    </row>
    <row r="15" spans="1:5" ht="28.5" x14ac:dyDescent="0.25">
      <c r="A15" s="95" t="s">
        <v>187</v>
      </c>
      <c r="B15" s="96"/>
      <c r="C15" s="96"/>
      <c r="D15" s="97"/>
      <c r="E15" s="86">
        <v>3</v>
      </c>
    </row>
    <row r="16" spans="1:5" x14ac:dyDescent="0.25">
      <c r="A16" s="9"/>
      <c r="B16" s="9"/>
      <c r="C16" s="9"/>
      <c r="D16" s="9"/>
      <c r="E16" s="9"/>
    </row>
    <row r="17" spans="1:5" ht="78.75" x14ac:dyDescent="0.45">
      <c r="A17" s="69" t="s">
        <v>188</v>
      </c>
      <c r="B17" s="152" t="s">
        <v>1107</v>
      </c>
      <c r="C17" s="153"/>
      <c r="D17" s="153"/>
      <c r="E17" s="154"/>
    </row>
  </sheetData>
  <mergeCells count="11">
    <mergeCell ref="A9:E9"/>
    <mergeCell ref="A13:D13"/>
    <mergeCell ref="A15:D15"/>
    <mergeCell ref="B17:E17"/>
    <mergeCell ref="A1:D1"/>
    <mergeCell ref="A3:E3"/>
    <mergeCell ref="A5:A7"/>
    <mergeCell ref="B5:B7"/>
    <mergeCell ref="C5:C7"/>
    <mergeCell ref="E5:E7"/>
    <mergeCell ref="D6:D7"/>
  </mergeCell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zoomScale="90" zoomScaleNormal="90" workbookViewId="0">
      <selection activeCell="E10" sqref="E10"/>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390</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07" t="s">
        <v>861</v>
      </c>
      <c r="B5" s="107" t="s">
        <v>863</v>
      </c>
      <c r="C5" s="107" t="s">
        <v>862</v>
      </c>
      <c r="D5" s="33" t="s">
        <v>254</v>
      </c>
      <c r="E5" s="157" t="s">
        <v>1113</v>
      </c>
    </row>
    <row r="6" spans="1:5" s="1" customFormat="1" ht="45" customHeight="1" x14ac:dyDescent="0.25">
      <c r="A6" s="107"/>
      <c r="B6" s="107"/>
      <c r="C6" s="107"/>
      <c r="D6" s="32" t="s">
        <v>255</v>
      </c>
      <c r="E6" s="157"/>
    </row>
    <row r="7" spans="1:5" s="1" customFormat="1" ht="45" customHeight="1" x14ac:dyDescent="0.25">
      <c r="A7" s="107"/>
      <c r="B7" s="107"/>
      <c r="C7" s="107"/>
      <c r="D7" s="32" t="s">
        <v>256</v>
      </c>
      <c r="E7" s="157"/>
    </row>
    <row r="8" spans="1:5" s="1" customFormat="1" ht="45" customHeight="1" x14ac:dyDescent="0.25">
      <c r="A8" s="107"/>
      <c r="B8" s="107"/>
      <c r="C8" s="107"/>
      <c r="D8" s="32" t="s">
        <v>257</v>
      </c>
      <c r="E8" s="157"/>
    </row>
    <row r="9" spans="1:5" ht="45" customHeight="1" x14ac:dyDescent="0.25">
      <c r="A9" s="107"/>
      <c r="B9" s="107"/>
      <c r="C9" s="107"/>
      <c r="D9" s="56" t="s">
        <v>258</v>
      </c>
      <c r="E9" s="157"/>
    </row>
    <row r="11" spans="1:5" x14ac:dyDescent="0.25">
      <c r="A11" s="104" t="s">
        <v>7</v>
      </c>
      <c r="B11" s="104"/>
      <c r="C11" s="104"/>
      <c r="D11" s="104"/>
      <c r="E11" s="104"/>
    </row>
    <row r="12" spans="1:5" x14ac:dyDescent="0.25">
      <c r="A12" s="59" t="s">
        <v>8</v>
      </c>
      <c r="B12" s="59" t="s">
        <v>9</v>
      </c>
      <c r="C12" s="59" t="s">
        <v>10</v>
      </c>
      <c r="D12" s="59" t="s">
        <v>11</v>
      </c>
      <c r="E12" s="59" t="s">
        <v>12</v>
      </c>
    </row>
    <row r="13" spans="1:5" ht="105" x14ac:dyDescent="0.25">
      <c r="A13" s="56" t="s">
        <v>793</v>
      </c>
      <c r="B13" s="56" t="s">
        <v>794</v>
      </c>
      <c r="C13" s="56" t="s">
        <v>795</v>
      </c>
      <c r="D13" s="56" t="s">
        <v>796</v>
      </c>
      <c r="E13" s="56" t="s">
        <v>797</v>
      </c>
    </row>
    <row r="14" spans="1:5" x14ac:dyDescent="0.25">
      <c r="A14" s="48"/>
      <c r="B14" s="48"/>
      <c r="C14" s="48"/>
      <c r="D14" s="48"/>
      <c r="E14" s="48"/>
    </row>
    <row r="15" spans="1:5" ht="28.5" x14ac:dyDescent="0.25">
      <c r="A15" s="95" t="s">
        <v>13</v>
      </c>
      <c r="B15" s="96"/>
      <c r="C15" s="96"/>
      <c r="D15" s="97"/>
      <c r="E15" s="85">
        <v>3.5</v>
      </c>
    </row>
    <row r="16" spans="1:5" x14ac:dyDescent="0.25">
      <c r="A16" s="9"/>
      <c r="B16" s="9"/>
      <c r="C16" s="9"/>
      <c r="D16" s="9"/>
      <c r="E16" s="9"/>
    </row>
    <row r="17" spans="1:5" ht="28.5" x14ac:dyDescent="0.25">
      <c r="A17" s="95" t="s">
        <v>187</v>
      </c>
      <c r="B17" s="96"/>
      <c r="C17" s="96"/>
      <c r="D17" s="97"/>
      <c r="E17" s="86">
        <v>3.5</v>
      </c>
    </row>
    <row r="18" spans="1:5" x14ac:dyDescent="0.25">
      <c r="A18" s="9"/>
      <c r="B18" s="9"/>
      <c r="C18" s="9"/>
      <c r="D18" s="9"/>
      <c r="E18" s="9"/>
    </row>
    <row r="19" spans="1:5" ht="78.75" x14ac:dyDescent="0.45">
      <c r="A19" s="69" t="s">
        <v>188</v>
      </c>
      <c r="B19" s="152" t="s">
        <v>1107</v>
      </c>
      <c r="C19" s="153"/>
      <c r="D19" s="153"/>
      <c r="E19" s="154"/>
    </row>
  </sheetData>
  <mergeCells count="10">
    <mergeCell ref="A11:E11"/>
    <mergeCell ref="A15:D15"/>
    <mergeCell ref="A17:D17"/>
    <mergeCell ref="B19:E19"/>
    <mergeCell ref="A1:D1"/>
    <mergeCell ref="A3:E3"/>
    <mergeCell ref="A5:A9"/>
    <mergeCell ref="B5:B9"/>
    <mergeCell ref="C5:C9"/>
    <mergeCell ref="E5:E9"/>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zoomScale="90" zoomScaleNormal="90" workbookViewId="0">
      <selection activeCell="E9" sqref="E9"/>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391</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859</v>
      </c>
      <c r="B5" s="115" t="s">
        <v>259</v>
      </c>
      <c r="C5" s="115" t="s">
        <v>860</v>
      </c>
      <c r="D5" s="32" t="s">
        <v>261</v>
      </c>
      <c r="E5" s="157" t="s">
        <v>1114</v>
      </c>
    </row>
    <row r="6" spans="1:5" s="1" customFormat="1" ht="45" customHeight="1" x14ac:dyDescent="0.25">
      <c r="A6" s="116"/>
      <c r="B6" s="116"/>
      <c r="C6" s="116"/>
      <c r="D6" s="32" t="s">
        <v>262</v>
      </c>
      <c r="E6" s="157"/>
    </row>
    <row r="7" spans="1:5" s="1" customFormat="1" ht="45" customHeight="1" x14ac:dyDescent="0.25">
      <c r="A7" s="116"/>
      <c r="B7" s="116"/>
      <c r="C7" s="116"/>
      <c r="D7" s="32" t="s">
        <v>263</v>
      </c>
      <c r="E7" s="157"/>
    </row>
    <row r="8" spans="1:5" s="1" customFormat="1" ht="45" customHeight="1" x14ac:dyDescent="0.25">
      <c r="A8" s="117"/>
      <c r="B8" s="117"/>
      <c r="C8" s="117"/>
      <c r="D8" s="32" t="s">
        <v>260</v>
      </c>
      <c r="E8" s="157"/>
    </row>
    <row r="10" spans="1:5" x14ac:dyDescent="0.25">
      <c r="A10" s="104" t="s">
        <v>7</v>
      </c>
      <c r="B10" s="104"/>
      <c r="C10" s="104"/>
      <c r="D10" s="104"/>
      <c r="E10" s="104"/>
    </row>
    <row r="11" spans="1:5" x14ac:dyDescent="0.25">
      <c r="A11" s="59" t="s">
        <v>8</v>
      </c>
      <c r="B11" s="59" t="s">
        <v>9</v>
      </c>
      <c r="C11" s="59" t="s">
        <v>10</v>
      </c>
      <c r="D11" s="59" t="s">
        <v>11</v>
      </c>
      <c r="E11" s="59" t="s">
        <v>12</v>
      </c>
    </row>
    <row r="12" spans="1:5" ht="120" x14ac:dyDescent="0.25">
      <c r="A12" s="56" t="s">
        <v>801</v>
      </c>
      <c r="B12" s="56" t="s">
        <v>802</v>
      </c>
      <c r="C12" s="56" t="s">
        <v>798</v>
      </c>
      <c r="D12" s="56" t="s">
        <v>799</v>
      </c>
      <c r="E12" s="56" t="s">
        <v>800</v>
      </c>
    </row>
    <row r="13" spans="1:5" x14ac:dyDescent="0.25">
      <c r="A13" s="48"/>
      <c r="B13" s="48"/>
      <c r="C13" s="48"/>
      <c r="D13" s="48"/>
      <c r="E13" s="48"/>
    </row>
    <row r="14" spans="1:5" ht="28.5" x14ac:dyDescent="0.25">
      <c r="A14" s="95" t="s">
        <v>13</v>
      </c>
      <c r="B14" s="96"/>
      <c r="C14" s="96"/>
      <c r="D14" s="97"/>
      <c r="E14" s="85">
        <v>3.2</v>
      </c>
    </row>
    <row r="15" spans="1:5" x14ac:dyDescent="0.25">
      <c r="A15" s="9"/>
      <c r="B15" s="9"/>
      <c r="C15" s="9"/>
      <c r="D15" s="9"/>
      <c r="E15" s="9"/>
    </row>
    <row r="16" spans="1:5" ht="28.5" x14ac:dyDescent="0.25">
      <c r="A16" s="95" t="s">
        <v>187</v>
      </c>
      <c r="B16" s="96"/>
      <c r="C16" s="96"/>
      <c r="D16" s="97"/>
      <c r="E16" s="86">
        <v>3.8</v>
      </c>
    </row>
    <row r="17" spans="1:5" x14ac:dyDescent="0.25">
      <c r="A17" s="9"/>
      <c r="B17" s="9"/>
      <c r="C17" s="9"/>
      <c r="D17" s="9"/>
      <c r="E17" s="9"/>
    </row>
    <row r="18" spans="1:5" ht="78.75" x14ac:dyDescent="0.45">
      <c r="A18" s="69" t="s">
        <v>188</v>
      </c>
      <c r="B18" s="152" t="s">
        <v>1107</v>
      </c>
      <c r="C18" s="153"/>
      <c r="D18" s="153"/>
      <c r="E18" s="154"/>
    </row>
  </sheetData>
  <mergeCells count="10">
    <mergeCell ref="A10:E10"/>
    <mergeCell ref="A14:D14"/>
    <mergeCell ref="A16:D16"/>
    <mergeCell ref="B18:E18"/>
    <mergeCell ref="A1:D1"/>
    <mergeCell ref="A3:E3"/>
    <mergeCell ref="A5:A8"/>
    <mergeCell ref="B5:B8"/>
    <mergeCell ref="C5:C8"/>
    <mergeCell ref="E5:E8"/>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zoomScale="90" zoomScaleNormal="90" workbookViewId="0">
      <selection activeCell="B17" sqref="B17:E17"/>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392</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5" customHeight="1" x14ac:dyDescent="0.25">
      <c r="A5" s="115" t="s">
        <v>854</v>
      </c>
      <c r="B5" s="115" t="s">
        <v>855</v>
      </c>
      <c r="C5" s="115" t="s">
        <v>864</v>
      </c>
      <c r="D5" s="32" t="s">
        <v>258</v>
      </c>
      <c r="E5" s="157" t="s">
        <v>1115</v>
      </c>
    </row>
    <row r="6" spans="1:5" s="1" customFormat="1" ht="45" customHeight="1" x14ac:dyDescent="0.25">
      <c r="A6" s="116"/>
      <c r="B6" s="116"/>
      <c r="C6" s="116"/>
      <c r="D6" s="32" t="s">
        <v>250</v>
      </c>
      <c r="E6" s="157"/>
    </row>
    <row r="7" spans="1:5" s="1" customFormat="1" ht="75" customHeight="1" x14ac:dyDescent="0.25">
      <c r="A7" s="117"/>
      <c r="B7" s="117"/>
      <c r="C7" s="117"/>
      <c r="D7" s="32" t="s">
        <v>247</v>
      </c>
      <c r="E7" s="157"/>
    </row>
    <row r="9" spans="1:5" x14ac:dyDescent="0.25">
      <c r="A9" s="104" t="s">
        <v>7</v>
      </c>
      <c r="B9" s="104"/>
      <c r="C9" s="104"/>
      <c r="D9" s="104"/>
      <c r="E9" s="104"/>
    </row>
    <row r="10" spans="1:5" x14ac:dyDescent="0.25">
      <c r="A10" s="59" t="s">
        <v>8</v>
      </c>
      <c r="B10" s="59" t="s">
        <v>9</v>
      </c>
      <c r="C10" s="59" t="s">
        <v>10</v>
      </c>
      <c r="D10" s="59" t="s">
        <v>11</v>
      </c>
      <c r="E10" s="59" t="s">
        <v>12</v>
      </c>
    </row>
    <row r="11" spans="1:5" ht="195" x14ac:dyDescent="0.25">
      <c r="A11" s="56" t="s">
        <v>803</v>
      </c>
      <c r="B11" s="56" t="s">
        <v>804</v>
      </c>
      <c r="C11" s="56" t="s">
        <v>805</v>
      </c>
      <c r="D11" s="56" t="s">
        <v>806</v>
      </c>
      <c r="E11" s="56" t="s">
        <v>807</v>
      </c>
    </row>
    <row r="12" spans="1:5" x14ac:dyDescent="0.25">
      <c r="A12" s="48"/>
      <c r="B12" s="48"/>
      <c r="C12" s="48"/>
      <c r="D12" s="48"/>
      <c r="E12" s="48"/>
    </row>
    <row r="13" spans="1:5" ht="28.5" x14ac:dyDescent="0.25">
      <c r="A13" s="95" t="s">
        <v>13</v>
      </c>
      <c r="B13" s="96"/>
      <c r="C13" s="96"/>
      <c r="D13" s="97"/>
      <c r="E13" s="85">
        <v>3.2</v>
      </c>
    </row>
    <row r="14" spans="1:5" x14ac:dyDescent="0.25">
      <c r="A14" s="9"/>
      <c r="B14" s="9"/>
      <c r="C14" s="9"/>
      <c r="D14" s="9"/>
      <c r="E14" s="9"/>
    </row>
    <row r="15" spans="1:5" ht="28.5" x14ac:dyDescent="0.25">
      <c r="A15" s="95" t="s">
        <v>187</v>
      </c>
      <c r="B15" s="96"/>
      <c r="C15" s="96"/>
      <c r="D15" s="97"/>
      <c r="E15" s="86">
        <v>4</v>
      </c>
    </row>
    <row r="16" spans="1:5" x14ac:dyDescent="0.25">
      <c r="A16" s="9"/>
      <c r="B16" s="9"/>
      <c r="C16" s="9"/>
      <c r="D16" s="9"/>
      <c r="E16" s="9"/>
    </row>
    <row r="17" spans="1:5" ht="78.75" x14ac:dyDescent="0.45">
      <c r="A17" s="69" t="s">
        <v>188</v>
      </c>
      <c r="B17" s="152" t="s">
        <v>1107</v>
      </c>
      <c r="C17" s="153"/>
      <c r="D17" s="153"/>
      <c r="E17" s="154"/>
    </row>
  </sheetData>
  <mergeCells count="10">
    <mergeCell ref="A9:E9"/>
    <mergeCell ref="A13:D13"/>
    <mergeCell ref="A15:D15"/>
    <mergeCell ref="B17:E17"/>
    <mergeCell ref="A1:D1"/>
    <mergeCell ref="A3:E3"/>
    <mergeCell ref="A5:A7"/>
    <mergeCell ref="B5:B7"/>
    <mergeCell ref="C5:C7"/>
    <mergeCell ref="E5:E7"/>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B16" sqref="B16"/>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393</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05" x14ac:dyDescent="0.25">
      <c r="A5" s="56" t="s">
        <v>850</v>
      </c>
      <c r="B5" s="56" t="s">
        <v>852</v>
      </c>
      <c r="C5" s="56" t="s">
        <v>851</v>
      </c>
      <c r="D5" s="32" t="s">
        <v>853</v>
      </c>
      <c r="E5" s="61" t="s">
        <v>1116</v>
      </c>
    </row>
    <row r="6" spans="1:5" x14ac:dyDescent="0.25">
      <c r="D6" s="35"/>
    </row>
    <row r="7" spans="1:5" x14ac:dyDescent="0.25">
      <c r="A7" t="s">
        <v>610</v>
      </c>
    </row>
    <row r="8" spans="1:5" x14ac:dyDescent="0.25">
      <c r="A8" s="146" t="s">
        <v>685</v>
      </c>
      <c r="B8" s="146"/>
      <c r="C8" s="64">
        <v>1000000000</v>
      </c>
    </row>
    <row r="9" spans="1:5" x14ac:dyDescent="0.25">
      <c r="A9" s="148" t="s">
        <v>684</v>
      </c>
      <c r="B9" s="149"/>
      <c r="C9" s="64">
        <v>200</v>
      </c>
    </row>
    <row r="10" spans="1:5" x14ac:dyDescent="0.25">
      <c r="A10" s="148" t="s">
        <v>686</v>
      </c>
      <c r="B10" s="149"/>
      <c r="C10" s="66">
        <f>C8/C9</f>
        <v>5000000</v>
      </c>
    </row>
    <row r="11" spans="1:5" x14ac:dyDescent="0.25">
      <c r="A11" s="146" t="s">
        <v>614</v>
      </c>
      <c r="B11" s="146"/>
      <c r="C11" s="67">
        <f>C10/5</f>
        <v>1000000</v>
      </c>
    </row>
    <row r="13" spans="1:5" ht="28.5" x14ac:dyDescent="0.25">
      <c r="A13" s="95" t="s">
        <v>615</v>
      </c>
      <c r="B13" s="96"/>
      <c r="C13" s="96"/>
      <c r="D13" s="97"/>
      <c r="E13" s="68">
        <f>IF(C11&lt;=4,C11,4)</f>
        <v>4</v>
      </c>
    </row>
    <row r="14" spans="1:5" x14ac:dyDescent="0.25">
      <c r="A14" s="9"/>
      <c r="B14" s="9"/>
      <c r="C14" s="9"/>
      <c r="D14" s="9"/>
      <c r="E14" s="9"/>
    </row>
    <row r="15" spans="1:5" ht="78.75" x14ac:dyDescent="0.45">
      <c r="A15" s="69" t="s">
        <v>188</v>
      </c>
      <c r="B15" s="118" t="s">
        <v>1107</v>
      </c>
      <c r="C15" s="118"/>
      <c r="D15" s="118"/>
      <c r="E15" s="118"/>
    </row>
  </sheetData>
  <mergeCells count="8">
    <mergeCell ref="B15:E15"/>
    <mergeCell ref="A1:D1"/>
    <mergeCell ref="A3:E3"/>
    <mergeCell ref="A8:B8"/>
    <mergeCell ref="A9:B9"/>
    <mergeCell ref="A10:B10"/>
    <mergeCell ref="A11:B11"/>
    <mergeCell ref="A13:D13"/>
  </mergeCell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topLeftCell="A6" zoomScale="90" zoomScaleNormal="90" workbookViewId="0">
      <selection activeCell="B21" sqref="B21"/>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394</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75" customHeight="1" x14ac:dyDescent="0.25">
      <c r="A5" s="107" t="s">
        <v>856</v>
      </c>
      <c r="B5" s="107" t="s">
        <v>857</v>
      </c>
      <c r="C5" s="107" t="s">
        <v>858</v>
      </c>
      <c r="D5" s="33" t="s">
        <v>264</v>
      </c>
      <c r="E5" s="157" t="s">
        <v>1117</v>
      </c>
    </row>
    <row r="6" spans="1:5" s="1" customFormat="1" ht="45" customHeight="1" x14ac:dyDescent="0.25">
      <c r="A6" s="107"/>
      <c r="B6" s="107"/>
      <c r="C6" s="107"/>
      <c r="D6" s="32" t="s">
        <v>248</v>
      </c>
      <c r="E6" s="157"/>
    </row>
    <row r="7" spans="1:5" s="1" customFormat="1" ht="45" customHeight="1" x14ac:dyDescent="0.25">
      <c r="A7" s="107"/>
      <c r="B7" s="107"/>
      <c r="C7" s="107"/>
      <c r="D7" s="32" t="s">
        <v>267</v>
      </c>
      <c r="E7" s="157"/>
    </row>
    <row r="8" spans="1:5" s="1" customFormat="1" ht="45" customHeight="1" x14ac:dyDescent="0.25">
      <c r="A8" s="107"/>
      <c r="B8" s="107"/>
      <c r="C8" s="107"/>
      <c r="D8" s="32" t="s">
        <v>266</v>
      </c>
      <c r="E8" s="157"/>
    </row>
    <row r="9" spans="1:5" ht="45" customHeight="1" x14ac:dyDescent="0.25">
      <c r="A9" s="107"/>
      <c r="B9" s="107"/>
      <c r="C9" s="107"/>
      <c r="D9" s="56" t="s">
        <v>265</v>
      </c>
      <c r="E9" s="157"/>
    </row>
    <row r="10" spans="1:5" ht="45" customHeight="1" x14ac:dyDescent="0.25">
      <c r="A10" s="107"/>
      <c r="B10" s="107"/>
      <c r="C10" s="107"/>
      <c r="D10" s="56" t="s">
        <v>250</v>
      </c>
      <c r="E10" s="157"/>
    </row>
    <row r="12" spans="1:5" x14ac:dyDescent="0.25">
      <c r="A12" s="104" t="s">
        <v>7</v>
      </c>
      <c r="B12" s="104"/>
      <c r="C12" s="104"/>
      <c r="D12" s="104"/>
      <c r="E12" s="104"/>
    </row>
    <row r="13" spans="1:5" x14ac:dyDescent="0.25">
      <c r="A13" s="59" t="s">
        <v>8</v>
      </c>
      <c r="B13" s="59" t="s">
        <v>9</v>
      </c>
      <c r="C13" s="59" t="s">
        <v>10</v>
      </c>
      <c r="D13" s="59" t="s">
        <v>11</v>
      </c>
      <c r="E13" s="59" t="s">
        <v>12</v>
      </c>
    </row>
    <row r="14" spans="1:5" ht="180" x14ac:dyDescent="0.25">
      <c r="A14" s="56" t="s">
        <v>808</v>
      </c>
      <c r="B14" s="56" t="s">
        <v>809</v>
      </c>
      <c r="C14" s="56" t="s">
        <v>810</v>
      </c>
      <c r="D14" s="56" t="s">
        <v>811</v>
      </c>
      <c r="E14" s="56" t="s">
        <v>812</v>
      </c>
    </row>
    <row r="15" spans="1:5" x14ac:dyDescent="0.25">
      <c r="A15" s="48"/>
      <c r="B15" s="48"/>
      <c r="C15" s="48"/>
      <c r="D15" s="48"/>
      <c r="E15" s="48"/>
    </row>
    <row r="16" spans="1:5" ht="28.5" x14ac:dyDescent="0.25">
      <c r="A16" s="95" t="s">
        <v>13</v>
      </c>
      <c r="B16" s="96"/>
      <c r="C16" s="96"/>
      <c r="D16" s="97"/>
      <c r="E16" s="85">
        <v>3</v>
      </c>
    </row>
    <row r="17" spans="1:5" x14ac:dyDescent="0.25">
      <c r="A17" s="9"/>
      <c r="B17" s="9"/>
      <c r="C17" s="9"/>
      <c r="D17" s="9"/>
      <c r="E17" s="9"/>
    </row>
    <row r="18" spans="1:5" ht="28.5" x14ac:dyDescent="0.25">
      <c r="A18" s="95" t="s">
        <v>187</v>
      </c>
      <c r="B18" s="96"/>
      <c r="C18" s="96"/>
      <c r="D18" s="97"/>
      <c r="E18" s="86">
        <v>3.2</v>
      </c>
    </row>
    <row r="19" spans="1:5" x14ac:dyDescent="0.25">
      <c r="A19" s="9"/>
      <c r="B19" s="9"/>
      <c r="C19" s="9"/>
      <c r="D19" s="9"/>
      <c r="E19" s="9"/>
    </row>
    <row r="20" spans="1:5" ht="78.75" x14ac:dyDescent="0.45">
      <c r="A20" s="69" t="s">
        <v>188</v>
      </c>
      <c r="B20" s="152" t="s">
        <v>1107</v>
      </c>
      <c r="C20" s="153"/>
      <c r="D20" s="153"/>
      <c r="E20" s="154"/>
    </row>
  </sheetData>
  <mergeCells count="10">
    <mergeCell ref="A12:E12"/>
    <mergeCell ref="A16:D16"/>
    <mergeCell ref="A18:D18"/>
    <mergeCell ref="B20:E20"/>
    <mergeCell ref="A1:D1"/>
    <mergeCell ref="A3:E3"/>
    <mergeCell ref="A5:A10"/>
    <mergeCell ref="B5:B10"/>
    <mergeCell ref="C5:C10"/>
    <mergeCell ref="E5:E10"/>
  </mergeCell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90" zoomScaleNormal="90" workbookViewId="0">
      <selection activeCell="G16" sqref="G16"/>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395</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20" customHeight="1" x14ac:dyDescent="0.25">
      <c r="A5" s="107" t="s">
        <v>884</v>
      </c>
      <c r="B5" s="107" t="s">
        <v>886</v>
      </c>
      <c r="C5" s="107" t="s">
        <v>885</v>
      </c>
      <c r="D5" s="32" t="s">
        <v>248</v>
      </c>
      <c r="E5" s="157" t="s">
        <v>1118</v>
      </c>
    </row>
    <row r="6" spans="1:5" s="1" customFormat="1" ht="120" customHeight="1" x14ac:dyDescent="0.25">
      <c r="A6" s="107"/>
      <c r="B6" s="107"/>
      <c r="C6" s="107"/>
      <c r="D6" s="56" t="s">
        <v>883</v>
      </c>
      <c r="E6" s="157"/>
    </row>
    <row r="8" spans="1:5" x14ac:dyDescent="0.25">
      <c r="A8" s="104" t="s">
        <v>7</v>
      </c>
      <c r="B8" s="104"/>
      <c r="C8" s="104"/>
      <c r="D8" s="104"/>
      <c r="E8" s="104"/>
    </row>
    <row r="9" spans="1:5" x14ac:dyDescent="0.25">
      <c r="A9" s="59" t="s">
        <v>8</v>
      </c>
      <c r="B9" s="59" t="s">
        <v>9</v>
      </c>
      <c r="C9" s="59" t="s">
        <v>10</v>
      </c>
      <c r="D9" s="59" t="s">
        <v>11</v>
      </c>
      <c r="E9" s="59" t="s">
        <v>12</v>
      </c>
    </row>
    <row r="10" spans="1:5" ht="120" x14ac:dyDescent="0.25">
      <c r="A10" s="56" t="s">
        <v>813</v>
      </c>
      <c r="B10" s="56" t="s">
        <v>814</v>
      </c>
      <c r="C10" s="56" t="s">
        <v>815</v>
      </c>
      <c r="D10" s="56" t="s">
        <v>816</v>
      </c>
      <c r="E10" s="56" t="s">
        <v>817</v>
      </c>
    </row>
    <row r="11" spans="1:5" x14ac:dyDescent="0.25">
      <c r="A11" s="48"/>
      <c r="B11" s="48"/>
      <c r="C11" s="48"/>
      <c r="D11" s="48"/>
      <c r="E11" s="48"/>
    </row>
    <row r="12" spans="1:5" ht="28.5" x14ac:dyDescent="0.25">
      <c r="A12" s="95" t="s">
        <v>13</v>
      </c>
      <c r="B12" s="96"/>
      <c r="C12" s="96"/>
      <c r="D12" s="97"/>
      <c r="E12" s="85">
        <v>4</v>
      </c>
    </row>
    <row r="13" spans="1:5" x14ac:dyDescent="0.25">
      <c r="A13" s="9"/>
      <c r="B13" s="9"/>
      <c r="C13" s="9"/>
      <c r="D13" s="9"/>
      <c r="E13" s="9"/>
    </row>
    <row r="14" spans="1:5" ht="28.5" x14ac:dyDescent="0.25">
      <c r="A14" s="95" t="s">
        <v>187</v>
      </c>
      <c r="B14" s="96"/>
      <c r="C14" s="96"/>
      <c r="D14" s="97"/>
      <c r="E14" s="86">
        <v>3.4</v>
      </c>
    </row>
    <row r="15" spans="1:5" x14ac:dyDescent="0.25">
      <c r="A15" s="9"/>
      <c r="B15" s="9"/>
      <c r="C15" s="9"/>
      <c r="D15" s="9"/>
      <c r="E15" s="9"/>
    </row>
    <row r="16" spans="1:5" ht="78.75" x14ac:dyDescent="0.4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zoomScale="90" zoomScaleNormal="90" workbookViewId="0">
      <selection activeCell="B17" sqref="B17"/>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396</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10.1" customHeight="1" x14ac:dyDescent="0.25">
      <c r="A5" s="107" t="s">
        <v>879</v>
      </c>
      <c r="B5" s="107" t="s">
        <v>880</v>
      </c>
      <c r="C5" s="107" t="s">
        <v>881</v>
      </c>
      <c r="D5" s="32" t="s">
        <v>882</v>
      </c>
      <c r="E5" s="157" t="s">
        <v>1119</v>
      </c>
    </row>
    <row r="6" spans="1:5" s="1" customFormat="1" ht="110.1" customHeight="1" x14ac:dyDescent="0.25">
      <c r="A6" s="107"/>
      <c r="B6" s="107"/>
      <c r="C6" s="107"/>
      <c r="D6" s="56" t="s">
        <v>883</v>
      </c>
      <c r="E6" s="157"/>
    </row>
    <row r="8" spans="1:5" x14ac:dyDescent="0.25">
      <c r="A8" s="104" t="s">
        <v>7</v>
      </c>
      <c r="B8" s="104"/>
      <c r="C8" s="104"/>
      <c r="D8" s="104"/>
      <c r="E8" s="104"/>
    </row>
    <row r="9" spans="1:5" x14ac:dyDescent="0.25">
      <c r="A9" s="59" t="s">
        <v>8</v>
      </c>
      <c r="B9" s="59" t="s">
        <v>9</v>
      </c>
      <c r="C9" s="59" t="s">
        <v>10</v>
      </c>
      <c r="D9" s="59" t="s">
        <v>11</v>
      </c>
      <c r="E9" s="59" t="s">
        <v>12</v>
      </c>
    </row>
    <row r="10" spans="1:5" ht="105" x14ac:dyDescent="0.25">
      <c r="A10" s="56" t="s">
        <v>818</v>
      </c>
      <c r="B10" s="56" t="s">
        <v>819</v>
      </c>
      <c r="C10" s="56" t="s">
        <v>820</v>
      </c>
      <c r="D10" s="56" t="s">
        <v>821</v>
      </c>
      <c r="E10" s="56" t="s">
        <v>822</v>
      </c>
    </row>
    <row r="11" spans="1:5" x14ac:dyDescent="0.25">
      <c r="A11" s="48"/>
      <c r="B11" s="48"/>
      <c r="C11" s="48"/>
      <c r="D11" s="48"/>
      <c r="E11" s="48"/>
    </row>
    <row r="12" spans="1:5" ht="28.5" x14ac:dyDescent="0.25">
      <c r="A12" s="95" t="s">
        <v>13</v>
      </c>
      <c r="B12" s="96"/>
      <c r="C12" s="96"/>
      <c r="D12" s="97"/>
      <c r="E12" s="85">
        <v>4</v>
      </c>
    </row>
    <row r="13" spans="1:5" x14ac:dyDescent="0.25">
      <c r="A13" s="9"/>
      <c r="B13" s="9"/>
      <c r="C13" s="9"/>
      <c r="D13" s="9"/>
      <c r="E13" s="9"/>
    </row>
    <row r="14" spans="1:5" ht="28.5" x14ac:dyDescent="0.25">
      <c r="A14" s="95" t="s">
        <v>187</v>
      </c>
      <c r="B14" s="96"/>
      <c r="C14" s="96"/>
      <c r="D14" s="97"/>
      <c r="E14" s="86">
        <v>3</v>
      </c>
    </row>
    <row r="15" spans="1:5" x14ac:dyDescent="0.25">
      <c r="A15" s="9"/>
      <c r="B15" s="9"/>
      <c r="C15" s="9"/>
      <c r="D15" s="9"/>
      <c r="E15" s="9"/>
    </row>
    <row r="16" spans="1:5" ht="78.75" x14ac:dyDescent="0.45">
      <c r="A16" s="69" t="s">
        <v>188</v>
      </c>
      <c r="B16" s="152" t="s">
        <v>1107</v>
      </c>
      <c r="C16" s="153"/>
      <c r="D16" s="153"/>
      <c r="E16" s="154"/>
    </row>
  </sheetData>
  <mergeCells count="10">
    <mergeCell ref="A8:E8"/>
    <mergeCell ref="A12:D12"/>
    <mergeCell ref="A14:D14"/>
    <mergeCell ref="B16:E16"/>
    <mergeCell ref="A1:D1"/>
    <mergeCell ref="A3:E3"/>
    <mergeCell ref="A5:A6"/>
    <mergeCell ref="B5:B6"/>
    <mergeCell ref="C5:C6"/>
    <mergeCell ref="E5:E6"/>
  </mergeCell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E5" sqref="E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397</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408.75" customHeight="1" x14ac:dyDescent="0.25">
      <c r="A5" s="56" t="s">
        <v>875</v>
      </c>
      <c r="B5" s="56" t="s">
        <v>877</v>
      </c>
      <c r="C5" s="56" t="s">
        <v>876</v>
      </c>
      <c r="D5" s="56" t="s">
        <v>878</v>
      </c>
      <c r="E5" s="93" t="s">
        <v>1120</v>
      </c>
    </row>
    <row r="7" spans="1:5" x14ac:dyDescent="0.25">
      <c r="A7" s="104" t="s">
        <v>7</v>
      </c>
      <c r="B7" s="104"/>
      <c r="C7" s="104"/>
      <c r="D7" s="104"/>
      <c r="E7" s="104"/>
    </row>
    <row r="8" spans="1:5" x14ac:dyDescent="0.25">
      <c r="A8" s="59" t="s">
        <v>8</v>
      </c>
      <c r="B8" s="59" t="s">
        <v>9</v>
      </c>
      <c r="C8" s="59" t="s">
        <v>10</v>
      </c>
      <c r="D8" s="59" t="s">
        <v>11</v>
      </c>
      <c r="E8" s="59" t="s">
        <v>12</v>
      </c>
    </row>
    <row r="9" spans="1:5" ht="75" x14ac:dyDescent="0.25">
      <c r="A9" s="56" t="s">
        <v>823</v>
      </c>
      <c r="B9" s="56" t="s">
        <v>824</v>
      </c>
      <c r="C9" s="56" t="s">
        <v>825</v>
      </c>
      <c r="D9" s="56" t="s">
        <v>826</v>
      </c>
      <c r="E9" s="56" t="s">
        <v>451</v>
      </c>
    </row>
    <row r="10" spans="1:5" x14ac:dyDescent="0.25">
      <c r="A10" s="48"/>
      <c r="B10" s="48"/>
      <c r="C10" s="48"/>
      <c r="D10" s="48"/>
      <c r="E10" s="48"/>
    </row>
    <row r="11" spans="1:5" ht="28.5" x14ac:dyDescent="0.25">
      <c r="A11" s="95" t="s">
        <v>13</v>
      </c>
      <c r="B11" s="96"/>
      <c r="C11" s="96"/>
      <c r="D11" s="97"/>
      <c r="E11" s="85">
        <v>3</v>
      </c>
    </row>
    <row r="12" spans="1:5" x14ac:dyDescent="0.25">
      <c r="A12" s="9"/>
      <c r="B12" s="9"/>
      <c r="C12" s="9"/>
      <c r="D12" s="9"/>
      <c r="E12" s="9"/>
    </row>
    <row r="13" spans="1:5" ht="28.5" x14ac:dyDescent="0.25">
      <c r="A13" s="95" t="s">
        <v>187</v>
      </c>
      <c r="B13" s="96"/>
      <c r="C13" s="96"/>
      <c r="D13" s="97"/>
      <c r="E13" s="86">
        <v>3.4</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zoomScale="90" zoomScaleNormal="90" workbookViewId="0">
      <selection activeCell="E15" sqref="E1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398</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95" x14ac:dyDescent="0.25">
      <c r="A5" s="56" t="s">
        <v>871</v>
      </c>
      <c r="B5" s="56" t="s">
        <v>873</v>
      </c>
      <c r="C5" s="56" t="s">
        <v>872</v>
      </c>
      <c r="D5" s="56" t="s">
        <v>874</v>
      </c>
      <c r="E5" s="93" t="s">
        <v>1121</v>
      </c>
    </row>
    <row r="7" spans="1:5" x14ac:dyDescent="0.25">
      <c r="A7" t="s">
        <v>610</v>
      </c>
    </row>
    <row r="8" spans="1:5" x14ac:dyDescent="0.25">
      <c r="A8" s="150" t="s">
        <v>891</v>
      </c>
      <c r="B8" s="151"/>
      <c r="C8" s="64">
        <v>9</v>
      </c>
    </row>
    <row r="9" spans="1:5" x14ac:dyDescent="0.25">
      <c r="A9" s="146" t="s">
        <v>614</v>
      </c>
      <c r="B9" s="146"/>
      <c r="C9" s="67">
        <f>IF(C8=0,0,IF(C8=1,2,IF(C8=2,3,IF(C8=3,4,4))))</f>
        <v>4</v>
      </c>
    </row>
    <row r="11" spans="1:5" ht="28.5" x14ac:dyDescent="0.25">
      <c r="A11" s="95" t="s">
        <v>615</v>
      </c>
      <c r="B11" s="96"/>
      <c r="C11" s="96"/>
      <c r="D11" s="97"/>
      <c r="E11" s="68">
        <f>IF(C9&lt;=4,C9,4)</f>
        <v>4</v>
      </c>
    </row>
    <row r="12" spans="1:5" x14ac:dyDescent="0.25">
      <c r="A12" s="9"/>
      <c r="B12" s="9"/>
      <c r="C12" s="9"/>
      <c r="D12" s="9"/>
      <c r="E12" s="9"/>
    </row>
    <row r="13" spans="1:5" ht="78.75" x14ac:dyDescent="0.45">
      <c r="A13" s="69" t="s">
        <v>188</v>
      </c>
      <c r="B13" s="118" t="s">
        <v>1107</v>
      </c>
      <c r="C13" s="118"/>
      <c r="D13" s="118"/>
      <c r="E13" s="118"/>
    </row>
  </sheetData>
  <mergeCells count="6">
    <mergeCell ref="A9:B9"/>
    <mergeCell ref="B13:E13"/>
    <mergeCell ref="A1:D1"/>
    <mergeCell ref="A3:E3"/>
    <mergeCell ref="A11:D11"/>
    <mergeCell ref="A8:B8"/>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C17" sqref="C17"/>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827</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05" x14ac:dyDescent="0.25">
      <c r="A5" s="56" t="s">
        <v>837</v>
      </c>
      <c r="B5" s="56" t="s">
        <v>868</v>
      </c>
      <c r="C5" s="56" t="s">
        <v>869</v>
      </c>
      <c r="D5" s="56" t="s">
        <v>870</v>
      </c>
      <c r="E5" s="93" t="s">
        <v>1122</v>
      </c>
    </row>
    <row r="7" spans="1:5" x14ac:dyDescent="0.25">
      <c r="A7" s="104" t="s">
        <v>7</v>
      </c>
      <c r="B7" s="104"/>
      <c r="C7" s="104"/>
      <c r="D7" s="104"/>
      <c r="E7" s="104"/>
    </row>
    <row r="8" spans="1:5" x14ac:dyDescent="0.25">
      <c r="A8" s="59" t="s">
        <v>8</v>
      </c>
      <c r="B8" s="59" t="s">
        <v>9</v>
      </c>
      <c r="C8" s="59" t="s">
        <v>10</v>
      </c>
      <c r="D8" s="59" t="s">
        <v>11</v>
      </c>
      <c r="E8" s="59" t="s">
        <v>12</v>
      </c>
    </row>
    <row r="9" spans="1:5" ht="60" x14ac:dyDescent="0.25">
      <c r="A9" s="56" t="s">
        <v>838</v>
      </c>
      <c r="B9" s="56" t="s">
        <v>839</v>
      </c>
      <c r="C9" s="56" t="s">
        <v>840</v>
      </c>
      <c r="D9" s="56" t="s">
        <v>841</v>
      </c>
      <c r="E9" s="56" t="s">
        <v>842</v>
      </c>
    </row>
    <row r="10" spans="1:5" x14ac:dyDescent="0.25">
      <c r="A10" s="48"/>
      <c r="B10" s="48"/>
      <c r="C10" s="48"/>
      <c r="D10" s="48"/>
      <c r="E10" s="48"/>
    </row>
    <row r="11" spans="1:5" ht="28.5" x14ac:dyDescent="0.25">
      <c r="A11" s="95" t="s">
        <v>13</v>
      </c>
      <c r="B11" s="96"/>
      <c r="C11" s="96"/>
      <c r="D11" s="97"/>
      <c r="E11" s="85">
        <v>3</v>
      </c>
    </row>
    <row r="12" spans="1:5" x14ac:dyDescent="0.25">
      <c r="A12" s="9"/>
      <c r="B12" s="9"/>
      <c r="C12" s="9"/>
      <c r="D12" s="9"/>
      <c r="E12" s="9"/>
    </row>
    <row r="13" spans="1:5" ht="28.5" x14ac:dyDescent="0.25">
      <c r="A13" s="95" t="s">
        <v>187</v>
      </c>
      <c r="B13" s="96"/>
      <c r="C13" s="96"/>
      <c r="D13" s="97"/>
      <c r="E13" s="86">
        <v>3.5</v>
      </c>
    </row>
    <row r="14" spans="1:5" x14ac:dyDescent="0.25">
      <c r="A14" s="9"/>
      <c r="B14" s="9"/>
      <c r="C14" s="9"/>
      <c r="D14" s="9"/>
      <c r="E14" s="9"/>
    </row>
    <row r="15" spans="1:5" ht="78.75" x14ac:dyDescent="0.45">
      <c r="A15" s="69" t="s">
        <v>188</v>
      </c>
      <c r="B15" s="152" t="s">
        <v>1107</v>
      </c>
      <c r="C15" s="153"/>
      <c r="D15" s="153"/>
      <c r="E15" s="154"/>
    </row>
  </sheetData>
  <mergeCells count="6">
    <mergeCell ref="A7:E7"/>
    <mergeCell ref="A11:D11"/>
    <mergeCell ref="A13:D13"/>
    <mergeCell ref="B15:E15"/>
    <mergeCell ref="A1:D1"/>
    <mergeCell ref="A3:E3"/>
  </mergeCell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zoomScale="90" zoomScaleNormal="90" workbookViewId="0">
      <selection activeCell="D18" sqref="D18"/>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835</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65" x14ac:dyDescent="0.25">
      <c r="A5" s="56" t="s">
        <v>836</v>
      </c>
      <c r="B5" s="56" t="s">
        <v>865</v>
      </c>
      <c r="C5" s="56" t="s">
        <v>866</v>
      </c>
      <c r="D5" s="56" t="s">
        <v>867</v>
      </c>
      <c r="E5" s="93" t="s">
        <v>1123</v>
      </c>
    </row>
    <row r="7" spans="1:5" x14ac:dyDescent="0.25">
      <c r="A7" t="s">
        <v>610</v>
      </c>
    </row>
    <row r="8" spans="1:5" x14ac:dyDescent="0.25">
      <c r="A8" s="146" t="s">
        <v>890</v>
      </c>
      <c r="B8" s="146"/>
      <c r="C8" s="75">
        <v>0.7</v>
      </c>
    </row>
    <row r="9" spans="1:5" x14ac:dyDescent="0.25">
      <c r="A9" s="146" t="s">
        <v>614</v>
      </c>
      <c r="B9" s="146"/>
      <c r="C9" s="67">
        <f>(8*C8)-2</f>
        <v>3.5999999999999996</v>
      </c>
    </row>
    <row r="11" spans="1:5" ht="28.5" x14ac:dyDescent="0.25">
      <c r="A11" s="95" t="s">
        <v>615</v>
      </c>
      <c r="B11" s="96"/>
      <c r="C11" s="96"/>
      <c r="D11" s="97"/>
      <c r="E11" s="68">
        <f>IF(C9&lt;=4,C9,4)</f>
        <v>3.5999999999999996</v>
      </c>
    </row>
    <row r="12" spans="1:5" x14ac:dyDescent="0.25">
      <c r="A12" s="9"/>
      <c r="B12" s="9"/>
      <c r="C12" s="9"/>
      <c r="D12" s="9"/>
      <c r="E12" s="9"/>
    </row>
    <row r="13" spans="1:5" ht="78.75" x14ac:dyDescent="0.45">
      <c r="A13" s="69" t="s">
        <v>188</v>
      </c>
      <c r="B13" s="118" t="s">
        <v>1107</v>
      </c>
      <c r="C13" s="118"/>
      <c r="D13" s="118"/>
      <c r="E13" s="118"/>
    </row>
  </sheetData>
  <mergeCells count="6">
    <mergeCell ref="A9:B9"/>
    <mergeCell ref="A11:D11"/>
    <mergeCell ref="B13:E13"/>
    <mergeCell ref="A8:B8"/>
    <mergeCell ref="A1:D1"/>
    <mergeCell ref="A3:E3"/>
  </mergeCell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G14" sqref="G14"/>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834</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80" x14ac:dyDescent="0.25">
      <c r="A5" s="56" t="s">
        <v>833</v>
      </c>
      <c r="B5" s="56" t="s">
        <v>888</v>
      </c>
      <c r="C5" s="56" t="s">
        <v>887</v>
      </c>
      <c r="D5" s="56" t="s">
        <v>889</v>
      </c>
      <c r="E5" s="93" t="s">
        <v>1124</v>
      </c>
    </row>
    <row r="7" spans="1:5" x14ac:dyDescent="0.25">
      <c r="A7" s="104" t="s">
        <v>7</v>
      </c>
      <c r="B7" s="104"/>
      <c r="C7" s="104"/>
      <c r="D7" s="104"/>
      <c r="E7" s="104"/>
    </row>
    <row r="8" spans="1:5" x14ac:dyDescent="0.25">
      <c r="A8" s="59" t="s">
        <v>8</v>
      </c>
      <c r="B8" s="59" t="s">
        <v>9</v>
      </c>
      <c r="C8" s="59" t="s">
        <v>10</v>
      </c>
      <c r="D8" s="59" t="s">
        <v>11</v>
      </c>
      <c r="E8" s="59" t="s">
        <v>12</v>
      </c>
    </row>
    <row r="9" spans="1:5" ht="105" x14ac:dyDescent="0.25">
      <c r="A9" s="56" t="s">
        <v>828</v>
      </c>
      <c r="B9" s="56" t="s">
        <v>829</v>
      </c>
      <c r="C9" s="56" t="s">
        <v>830</v>
      </c>
      <c r="D9" s="56" t="s">
        <v>831</v>
      </c>
      <c r="E9" s="56" t="s">
        <v>832</v>
      </c>
    </row>
    <row r="10" spans="1:5" x14ac:dyDescent="0.25">
      <c r="A10" s="48"/>
      <c r="B10" s="48"/>
      <c r="C10" s="48"/>
      <c r="D10" s="48"/>
      <c r="E10" s="48"/>
    </row>
    <row r="11" spans="1:5" ht="28.5" x14ac:dyDescent="0.25">
      <c r="A11" s="95" t="s">
        <v>13</v>
      </c>
      <c r="B11" s="96"/>
      <c r="C11" s="96"/>
      <c r="D11" s="97"/>
      <c r="E11" s="85">
        <v>3.2</v>
      </c>
    </row>
    <row r="12" spans="1:5" x14ac:dyDescent="0.25">
      <c r="A12" s="9"/>
      <c r="B12" s="9"/>
      <c r="C12" s="9"/>
      <c r="D12" s="9"/>
      <c r="E12" s="9"/>
    </row>
    <row r="13" spans="1:5" ht="28.5" x14ac:dyDescent="0.25">
      <c r="A13" s="95" t="s">
        <v>187</v>
      </c>
      <c r="B13" s="96"/>
      <c r="C13" s="96"/>
      <c r="D13" s="97"/>
      <c r="E13" s="86">
        <v>3.4</v>
      </c>
    </row>
    <row r="14" spans="1:5" x14ac:dyDescent="0.25">
      <c r="A14" s="9"/>
      <c r="B14" s="9"/>
      <c r="C14" s="9"/>
      <c r="D14" s="9"/>
      <c r="E14" s="9"/>
    </row>
    <row r="15" spans="1:5" ht="78.75" x14ac:dyDescent="0.45">
      <c r="A15" s="69" t="s">
        <v>188</v>
      </c>
      <c r="B15" s="152" t="s">
        <v>1107</v>
      </c>
      <c r="C15" s="153"/>
      <c r="D15" s="153"/>
      <c r="E15" s="154"/>
    </row>
  </sheetData>
  <mergeCells count="6">
    <mergeCell ref="A7:E7"/>
    <mergeCell ref="A11:D11"/>
    <mergeCell ref="A13:D13"/>
    <mergeCell ref="B15:E15"/>
    <mergeCell ref="A1:D1"/>
    <mergeCell ref="A3:E3"/>
  </mergeCell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E5" sqref="E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399</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330" x14ac:dyDescent="0.25">
      <c r="A5" s="56" t="s">
        <v>925</v>
      </c>
      <c r="B5" s="56" t="s">
        <v>920</v>
      </c>
      <c r="C5" s="56" t="s">
        <v>925</v>
      </c>
      <c r="D5" s="56" t="s">
        <v>938</v>
      </c>
      <c r="E5" s="93" t="s">
        <v>1125</v>
      </c>
    </row>
    <row r="7" spans="1:5" x14ac:dyDescent="0.25">
      <c r="A7" s="104" t="s">
        <v>7</v>
      </c>
      <c r="B7" s="104"/>
      <c r="C7" s="104"/>
      <c r="D7" s="104"/>
      <c r="E7" s="104"/>
    </row>
    <row r="8" spans="1:5" x14ac:dyDescent="0.25">
      <c r="A8" s="59" t="s">
        <v>8</v>
      </c>
      <c r="B8" s="59" t="s">
        <v>9</v>
      </c>
      <c r="C8" s="59" t="s">
        <v>10</v>
      </c>
      <c r="D8" s="59" t="s">
        <v>11</v>
      </c>
      <c r="E8" s="59" t="s">
        <v>12</v>
      </c>
    </row>
    <row r="9" spans="1:5" ht="75" x14ac:dyDescent="0.25">
      <c r="A9" s="56" t="s">
        <v>920</v>
      </c>
      <c r="B9" s="56" t="s">
        <v>921</v>
      </c>
      <c r="C9" s="56" t="s">
        <v>922</v>
      </c>
      <c r="D9" s="56" t="s">
        <v>923</v>
      </c>
      <c r="E9" s="56" t="s">
        <v>924</v>
      </c>
    </row>
    <row r="10" spans="1:5" x14ac:dyDescent="0.25">
      <c r="A10" s="48"/>
      <c r="B10" s="48"/>
      <c r="C10" s="48"/>
      <c r="D10" s="48"/>
      <c r="E10" s="48"/>
    </row>
    <row r="11" spans="1:5" ht="28.5" x14ac:dyDescent="0.25">
      <c r="A11" s="95" t="s">
        <v>13</v>
      </c>
      <c r="B11" s="96"/>
      <c r="C11" s="96"/>
      <c r="D11" s="97"/>
      <c r="E11" s="85">
        <v>3</v>
      </c>
    </row>
    <row r="12" spans="1:5" x14ac:dyDescent="0.25">
      <c r="A12" s="9"/>
      <c r="B12" s="9"/>
      <c r="C12" s="9"/>
      <c r="D12" s="9"/>
      <c r="E12" s="9"/>
    </row>
    <row r="13" spans="1:5" ht="28.5" x14ac:dyDescent="0.25">
      <c r="A13" s="95" t="s">
        <v>187</v>
      </c>
      <c r="B13" s="96"/>
      <c r="C13" s="96"/>
      <c r="D13" s="97"/>
      <c r="E13" s="86">
        <v>4</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opLeftCell="A10" zoomScale="90" zoomScaleNormal="90" workbookViewId="0">
      <selection activeCell="C20" sqref="C20"/>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400</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210" x14ac:dyDescent="0.25">
      <c r="A5" s="56" t="s">
        <v>926</v>
      </c>
      <c r="B5" s="56" t="s">
        <v>915</v>
      </c>
      <c r="C5" s="56" t="s">
        <v>937</v>
      </c>
      <c r="D5" s="56" t="s">
        <v>939</v>
      </c>
      <c r="E5" s="93" t="s">
        <v>1126</v>
      </c>
    </row>
    <row r="7" spans="1:5" x14ac:dyDescent="0.25">
      <c r="A7" s="104" t="s">
        <v>7</v>
      </c>
      <c r="B7" s="104"/>
      <c r="C7" s="104"/>
      <c r="D7" s="104"/>
      <c r="E7" s="104"/>
    </row>
    <row r="8" spans="1:5" x14ac:dyDescent="0.25">
      <c r="A8" s="59" t="s">
        <v>8</v>
      </c>
      <c r="B8" s="59" t="s">
        <v>9</v>
      </c>
      <c r="C8" s="59" t="s">
        <v>10</v>
      </c>
      <c r="D8" s="59" t="s">
        <v>11</v>
      </c>
      <c r="E8" s="59" t="s">
        <v>12</v>
      </c>
    </row>
    <row r="9" spans="1:5" ht="180" x14ac:dyDescent="0.25">
      <c r="A9" s="56" t="s">
        <v>915</v>
      </c>
      <c r="B9" s="56" t="s">
        <v>916</v>
      </c>
      <c r="C9" s="56" t="s">
        <v>917</v>
      </c>
      <c r="D9" s="56" t="s">
        <v>918</v>
      </c>
      <c r="E9" s="56" t="s">
        <v>919</v>
      </c>
    </row>
    <row r="10" spans="1:5" x14ac:dyDescent="0.25">
      <c r="A10" s="48"/>
      <c r="B10" s="48"/>
      <c r="C10" s="48"/>
      <c r="D10" s="48"/>
      <c r="E10" s="48"/>
    </row>
    <row r="11" spans="1:5" ht="28.5" x14ac:dyDescent="0.25">
      <c r="A11" s="95" t="s">
        <v>13</v>
      </c>
      <c r="B11" s="96"/>
      <c r="C11" s="96"/>
      <c r="D11" s="97"/>
      <c r="E11" s="85">
        <v>4</v>
      </c>
    </row>
    <row r="12" spans="1:5" x14ac:dyDescent="0.25">
      <c r="A12" s="9"/>
      <c r="B12" s="9"/>
      <c r="C12" s="9"/>
      <c r="D12" s="9"/>
      <c r="E12" s="9"/>
    </row>
    <row r="13" spans="1:5" ht="28.5" x14ac:dyDescent="0.25">
      <c r="A13" s="95" t="s">
        <v>187</v>
      </c>
      <c r="B13" s="96"/>
      <c r="C13" s="96"/>
      <c r="D13" s="97"/>
      <c r="E13" s="86">
        <v>3.6</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B15" sqref="B15:E1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401</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75" x14ac:dyDescent="0.25">
      <c r="A5" s="56" t="s">
        <v>927</v>
      </c>
      <c r="B5" s="56" t="s">
        <v>911</v>
      </c>
      <c r="C5" s="56" t="s">
        <v>936</v>
      </c>
      <c r="D5" s="56" t="s">
        <v>940</v>
      </c>
      <c r="E5" s="93" t="s">
        <v>1127</v>
      </c>
    </row>
    <row r="7" spans="1:5" x14ac:dyDescent="0.25">
      <c r="A7" s="104" t="s">
        <v>7</v>
      </c>
      <c r="B7" s="104"/>
      <c r="C7" s="104"/>
      <c r="D7" s="104"/>
      <c r="E7" s="104"/>
    </row>
    <row r="8" spans="1:5" x14ac:dyDescent="0.25">
      <c r="A8" s="59" t="s">
        <v>8</v>
      </c>
      <c r="B8" s="59" t="s">
        <v>9</v>
      </c>
      <c r="C8" s="59" t="s">
        <v>10</v>
      </c>
      <c r="D8" s="59" t="s">
        <v>11</v>
      </c>
      <c r="E8" s="59" t="s">
        <v>12</v>
      </c>
    </row>
    <row r="9" spans="1:5" ht="75" x14ac:dyDescent="0.25">
      <c r="A9" s="56" t="s">
        <v>911</v>
      </c>
      <c r="B9" s="56" t="s">
        <v>912</v>
      </c>
      <c r="C9" s="56" t="s">
        <v>913</v>
      </c>
      <c r="D9" s="56" t="s">
        <v>914</v>
      </c>
      <c r="E9" s="56" t="s">
        <v>842</v>
      </c>
    </row>
    <row r="10" spans="1:5" x14ac:dyDescent="0.25">
      <c r="A10" s="48"/>
      <c r="B10" s="48"/>
      <c r="C10" s="48"/>
      <c r="D10" s="48"/>
      <c r="E10" s="48"/>
    </row>
    <row r="11" spans="1:5" ht="28.5" x14ac:dyDescent="0.25">
      <c r="A11" s="95" t="s">
        <v>13</v>
      </c>
      <c r="B11" s="96"/>
      <c r="C11" s="96"/>
      <c r="D11" s="97"/>
      <c r="E11" s="85">
        <v>3</v>
      </c>
    </row>
    <row r="12" spans="1:5" x14ac:dyDescent="0.25">
      <c r="A12" s="9"/>
      <c r="B12" s="9"/>
      <c r="C12" s="9"/>
      <c r="D12" s="9"/>
      <c r="E12" s="9"/>
    </row>
    <row r="13" spans="1:5" ht="28.5" x14ac:dyDescent="0.25">
      <c r="A13" s="95" t="s">
        <v>187</v>
      </c>
      <c r="B13" s="96"/>
      <c r="C13" s="96"/>
      <c r="D13" s="97"/>
      <c r="E13" s="86">
        <v>3.1</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B16" sqref="B16"/>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402</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90" x14ac:dyDescent="0.25">
      <c r="A5" s="56" t="s">
        <v>928</v>
      </c>
      <c r="B5" s="56" t="s">
        <v>907</v>
      </c>
      <c r="C5" s="56" t="s">
        <v>935</v>
      </c>
      <c r="D5" s="56" t="s">
        <v>941</v>
      </c>
      <c r="E5" s="93" t="s">
        <v>1128</v>
      </c>
    </row>
    <row r="7" spans="1:5" x14ac:dyDescent="0.25">
      <c r="A7" s="104" t="s">
        <v>7</v>
      </c>
      <c r="B7" s="104"/>
      <c r="C7" s="104"/>
      <c r="D7" s="104"/>
      <c r="E7" s="104"/>
    </row>
    <row r="8" spans="1:5" x14ac:dyDescent="0.25">
      <c r="A8" s="59" t="s">
        <v>8</v>
      </c>
      <c r="B8" s="59" t="s">
        <v>9</v>
      </c>
      <c r="C8" s="59" t="s">
        <v>10</v>
      </c>
      <c r="D8" s="59" t="s">
        <v>11</v>
      </c>
      <c r="E8" s="59" t="s">
        <v>12</v>
      </c>
    </row>
    <row r="9" spans="1:5" ht="90" x14ac:dyDescent="0.25">
      <c r="A9" s="56" t="s">
        <v>907</v>
      </c>
      <c r="B9" s="56" t="s">
        <v>908</v>
      </c>
      <c r="C9" s="56" t="s">
        <v>909</v>
      </c>
      <c r="D9" s="56" t="s">
        <v>910</v>
      </c>
      <c r="E9" s="56" t="s">
        <v>842</v>
      </c>
    </row>
    <row r="10" spans="1:5" x14ac:dyDescent="0.25">
      <c r="A10" s="48"/>
      <c r="B10" s="48"/>
      <c r="C10" s="48"/>
      <c r="D10" s="48"/>
      <c r="E10" s="48"/>
    </row>
    <row r="11" spans="1:5" ht="28.5" x14ac:dyDescent="0.25">
      <c r="A11" s="95" t="s">
        <v>13</v>
      </c>
      <c r="B11" s="96"/>
      <c r="C11" s="96"/>
      <c r="D11" s="97"/>
      <c r="E11" s="85">
        <v>2</v>
      </c>
    </row>
    <row r="12" spans="1:5" x14ac:dyDescent="0.25">
      <c r="A12" s="9"/>
      <c r="B12" s="9"/>
      <c r="C12" s="9"/>
      <c r="D12" s="9"/>
      <c r="E12" s="9"/>
    </row>
    <row r="13" spans="1:5" ht="28.5" x14ac:dyDescent="0.25">
      <c r="A13" s="95" t="s">
        <v>187</v>
      </c>
      <c r="B13" s="96"/>
      <c r="C13" s="96"/>
      <c r="D13" s="97"/>
      <c r="E13" s="86">
        <v>3</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F15" sqref="F1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403</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75" x14ac:dyDescent="0.25">
      <c r="A5" s="56" t="s">
        <v>929</v>
      </c>
      <c r="B5" s="56" t="s">
        <v>902</v>
      </c>
      <c r="C5" s="56" t="s">
        <v>934</v>
      </c>
      <c r="D5" s="56" t="s">
        <v>942</v>
      </c>
      <c r="E5" s="93" t="s">
        <v>1129</v>
      </c>
    </row>
    <row r="7" spans="1:5" x14ac:dyDescent="0.25">
      <c r="A7" s="104" t="s">
        <v>7</v>
      </c>
      <c r="B7" s="104"/>
      <c r="C7" s="104"/>
      <c r="D7" s="104"/>
      <c r="E7" s="104"/>
    </row>
    <row r="8" spans="1:5" x14ac:dyDescent="0.25">
      <c r="A8" s="59" t="s">
        <v>8</v>
      </c>
      <c r="B8" s="59" t="s">
        <v>9</v>
      </c>
      <c r="C8" s="59" t="s">
        <v>10</v>
      </c>
      <c r="D8" s="59" t="s">
        <v>11</v>
      </c>
      <c r="E8" s="59" t="s">
        <v>12</v>
      </c>
    </row>
    <row r="9" spans="1:5" ht="90" x14ac:dyDescent="0.25">
      <c r="A9" s="56" t="s">
        <v>902</v>
      </c>
      <c r="B9" s="56" t="s">
        <v>903</v>
      </c>
      <c r="C9" s="56" t="s">
        <v>904</v>
      </c>
      <c r="D9" s="56" t="s">
        <v>905</v>
      </c>
      <c r="E9" s="56" t="s">
        <v>906</v>
      </c>
    </row>
    <row r="10" spans="1:5" x14ac:dyDescent="0.25">
      <c r="A10" s="48"/>
      <c r="B10" s="48"/>
      <c r="C10" s="48"/>
      <c r="D10" s="48"/>
      <c r="E10" s="48"/>
    </row>
    <row r="11" spans="1:5" ht="28.5" x14ac:dyDescent="0.25">
      <c r="A11" s="95" t="s">
        <v>13</v>
      </c>
      <c r="B11" s="96"/>
      <c r="C11" s="96"/>
      <c r="D11" s="97"/>
      <c r="E11" s="85">
        <v>3</v>
      </c>
    </row>
    <row r="12" spans="1:5" x14ac:dyDescent="0.25">
      <c r="A12" s="9"/>
      <c r="B12" s="9"/>
      <c r="C12" s="9"/>
      <c r="D12" s="9"/>
      <c r="E12" s="9"/>
    </row>
    <row r="13" spans="1:5" ht="28.5" x14ac:dyDescent="0.25">
      <c r="A13" s="95" t="s">
        <v>187</v>
      </c>
      <c r="B13" s="96"/>
      <c r="C13" s="96"/>
      <c r="D13" s="97"/>
      <c r="E13" s="86">
        <v>3</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E5" sqref="E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404</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210" x14ac:dyDescent="0.25">
      <c r="A5" s="56" t="s">
        <v>930</v>
      </c>
      <c r="B5" s="56" t="s">
        <v>897</v>
      </c>
      <c r="C5" s="56" t="s">
        <v>933</v>
      </c>
      <c r="D5" s="56" t="s">
        <v>943</v>
      </c>
      <c r="E5" s="93" t="s">
        <v>1130</v>
      </c>
    </row>
    <row r="7" spans="1:5" x14ac:dyDescent="0.25">
      <c r="A7" s="104" t="s">
        <v>7</v>
      </c>
      <c r="B7" s="104"/>
      <c r="C7" s="104"/>
      <c r="D7" s="104"/>
      <c r="E7" s="104"/>
    </row>
    <row r="8" spans="1:5" x14ac:dyDescent="0.25">
      <c r="A8" s="59" t="s">
        <v>8</v>
      </c>
      <c r="B8" s="59" t="s">
        <v>9</v>
      </c>
      <c r="C8" s="59" t="s">
        <v>10</v>
      </c>
      <c r="D8" s="59" t="s">
        <v>11</v>
      </c>
      <c r="E8" s="59" t="s">
        <v>12</v>
      </c>
    </row>
    <row r="9" spans="1:5" ht="180" x14ac:dyDescent="0.25">
      <c r="A9" s="56" t="s">
        <v>897</v>
      </c>
      <c r="B9" s="56" t="s">
        <v>898</v>
      </c>
      <c r="C9" s="56" t="s">
        <v>899</v>
      </c>
      <c r="D9" s="56" t="s">
        <v>901</v>
      </c>
      <c r="E9" s="56" t="s">
        <v>900</v>
      </c>
    </row>
    <row r="10" spans="1:5" x14ac:dyDescent="0.25">
      <c r="A10" s="48"/>
      <c r="B10" s="48"/>
      <c r="C10" s="48"/>
      <c r="D10" s="48"/>
      <c r="E10" s="48"/>
    </row>
    <row r="11" spans="1:5" ht="28.5" x14ac:dyDescent="0.25">
      <c r="A11" s="95" t="s">
        <v>13</v>
      </c>
      <c r="B11" s="96"/>
      <c r="C11" s="96"/>
      <c r="D11" s="97"/>
      <c r="E11" s="85">
        <v>4</v>
      </c>
    </row>
    <row r="12" spans="1:5" x14ac:dyDescent="0.25">
      <c r="A12" s="9"/>
      <c r="B12" s="9"/>
      <c r="C12" s="9"/>
      <c r="D12" s="9"/>
      <c r="E12" s="9"/>
    </row>
    <row r="13" spans="1:5" ht="28.5" x14ac:dyDescent="0.25">
      <c r="A13" s="95" t="s">
        <v>187</v>
      </c>
      <c r="B13" s="96"/>
      <c r="C13" s="96"/>
      <c r="D13" s="97"/>
      <c r="E13" s="86">
        <v>3.4</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F15" sqref="F1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405</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35" x14ac:dyDescent="0.25">
      <c r="A5" s="56" t="s">
        <v>931</v>
      </c>
      <c r="B5" s="56" t="s">
        <v>892</v>
      </c>
      <c r="C5" s="56" t="s">
        <v>932</v>
      </c>
      <c r="D5" s="56" t="s">
        <v>944</v>
      </c>
      <c r="E5" s="93" t="s">
        <v>1131</v>
      </c>
    </row>
    <row r="7" spans="1:5" x14ac:dyDescent="0.25">
      <c r="A7" s="104" t="s">
        <v>7</v>
      </c>
      <c r="B7" s="104"/>
      <c r="C7" s="104"/>
      <c r="D7" s="104"/>
      <c r="E7" s="104"/>
    </row>
    <row r="8" spans="1:5" x14ac:dyDescent="0.25">
      <c r="A8" s="59" t="s">
        <v>8</v>
      </c>
      <c r="B8" s="59" t="s">
        <v>9</v>
      </c>
      <c r="C8" s="59" t="s">
        <v>10</v>
      </c>
      <c r="D8" s="59" t="s">
        <v>11</v>
      </c>
      <c r="E8" s="59" t="s">
        <v>12</v>
      </c>
    </row>
    <row r="9" spans="1:5" ht="90" x14ac:dyDescent="0.25">
      <c r="A9" s="56" t="s">
        <v>892</v>
      </c>
      <c r="B9" s="56" t="s">
        <v>893</v>
      </c>
      <c r="C9" s="56" t="s">
        <v>894</v>
      </c>
      <c r="D9" s="56" t="s">
        <v>895</v>
      </c>
      <c r="E9" s="56" t="s">
        <v>896</v>
      </c>
    </row>
    <row r="10" spans="1:5" x14ac:dyDescent="0.25">
      <c r="A10" s="48"/>
      <c r="B10" s="48"/>
      <c r="C10" s="48"/>
      <c r="D10" s="48"/>
      <c r="E10" s="48"/>
    </row>
    <row r="11" spans="1:5" ht="28.5" x14ac:dyDescent="0.25">
      <c r="A11" s="95" t="s">
        <v>13</v>
      </c>
      <c r="B11" s="96"/>
      <c r="C11" s="96"/>
      <c r="D11" s="97"/>
      <c r="E11" s="85">
        <v>4</v>
      </c>
    </row>
    <row r="12" spans="1:5" x14ac:dyDescent="0.25">
      <c r="A12" s="9"/>
      <c r="B12" s="9"/>
      <c r="C12" s="9"/>
      <c r="D12" s="9"/>
      <c r="E12" s="9"/>
    </row>
    <row r="13" spans="1:5" ht="28.5" x14ac:dyDescent="0.25">
      <c r="A13" s="95" t="s">
        <v>187</v>
      </c>
      <c r="B13" s="96"/>
      <c r="C13" s="96"/>
      <c r="D13" s="97"/>
      <c r="E13" s="86">
        <v>3.4</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F15" sqref="F1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406</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330" x14ac:dyDescent="0.25">
      <c r="A5" s="56" t="s">
        <v>990</v>
      </c>
      <c r="B5" s="56" t="s">
        <v>945</v>
      </c>
      <c r="C5" s="56" t="s">
        <v>990</v>
      </c>
      <c r="D5" s="56" t="s">
        <v>991</v>
      </c>
      <c r="E5" s="93" t="s">
        <v>1132</v>
      </c>
    </row>
    <row r="7" spans="1:5" x14ac:dyDescent="0.25">
      <c r="A7" s="104" t="s">
        <v>7</v>
      </c>
      <c r="B7" s="104"/>
      <c r="C7" s="104"/>
      <c r="D7" s="104"/>
      <c r="E7" s="104"/>
    </row>
    <row r="8" spans="1:5" x14ac:dyDescent="0.25">
      <c r="A8" s="59" t="s">
        <v>8</v>
      </c>
      <c r="B8" s="59" t="s">
        <v>9</v>
      </c>
      <c r="C8" s="59" t="s">
        <v>10</v>
      </c>
      <c r="D8" s="59" t="s">
        <v>11</v>
      </c>
      <c r="E8" s="59" t="s">
        <v>12</v>
      </c>
    </row>
    <row r="9" spans="1:5" ht="75" x14ac:dyDescent="0.25">
      <c r="A9" s="56" t="s">
        <v>945</v>
      </c>
      <c r="B9" s="56" t="s">
        <v>946</v>
      </c>
      <c r="C9" s="56" t="s">
        <v>947</v>
      </c>
      <c r="D9" s="56" t="s">
        <v>948</v>
      </c>
      <c r="E9" s="56" t="s">
        <v>949</v>
      </c>
    </row>
    <row r="10" spans="1:5" x14ac:dyDescent="0.25">
      <c r="A10" s="48"/>
      <c r="B10" s="48"/>
      <c r="C10" s="48"/>
      <c r="D10" s="48"/>
      <c r="E10" s="48"/>
    </row>
    <row r="11" spans="1:5" ht="28.5" x14ac:dyDescent="0.25">
      <c r="A11" s="95" t="s">
        <v>13</v>
      </c>
      <c r="B11" s="96"/>
      <c r="C11" s="96"/>
      <c r="D11" s="97"/>
      <c r="E11" s="85">
        <v>3</v>
      </c>
    </row>
    <row r="12" spans="1:5" x14ac:dyDescent="0.25">
      <c r="A12" s="9"/>
      <c r="B12" s="9"/>
      <c r="C12" s="9"/>
      <c r="D12" s="9"/>
      <c r="E12" s="9"/>
    </row>
    <row r="13" spans="1:5" ht="28.5" x14ac:dyDescent="0.25">
      <c r="A13" s="95" t="s">
        <v>187</v>
      </c>
      <c r="B13" s="96"/>
      <c r="C13" s="96"/>
      <c r="D13" s="97"/>
      <c r="E13" s="86">
        <v>3.2</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F15" sqref="F1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407</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65" x14ac:dyDescent="0.25">
      <c r="A5" s="56" t="s">
        <v>950</v>
      </c>
      <c r="B5" s="56" t="s">
        <v>985</v>
      </c>
      <c r="C5" s="56" t="s">
        <v>951</v>
      </c>
      <c r="D5" s="56" t="s">
        <v>992</v>
      </c>
      <c r="E5" s="93" t="s">
        <v>1133</v>
      </c>
    </row>
    <row r="7" spans="1:5" x14ac:dyDescent="0.25">
      <c r="A7" s="104" t="s">
        <v>7</v>
      </c>
      <c r="B7" s="104"/>
      <c r="C7" s="104"/>
      <c r="D7" s="104"/>
      <c r="E7" s="104"/>
    </row>
    <row r="8" spans="1:5" x14ac:dyDescent="0.25">
      <c r="A8" s="59" t="s">
        <v>8</v>
      </c>
      <c r="B8" s="59" t="s">
        <v>9</v>
      </c>
      <c r="C8" s="59" t="s">
        <v>10</v>
      </c>
      <c r="D8" s="59" t="s">
        <v>11</v>
      </c>
      <c r="E8" s="59" t="s">
        <v>12</v>
      </c>
    </row>
    <row r="9" spans="1:5" ht="120" x14ac:dyDescent="0.25">
      <c r="A9" s="56" t="s">
        <v>985</v>
      </c>
      <c r="B9" s="56" t="s">
        <v>986</v>
      </c>
      <c r="C9" s="56" t="s">
        <v>987</v>
      </c>
      <c r="D9" s="56" t="s">
        <v>988</v>
      </c>
      <c r="E9" s="56" t="s">
        <v>989</v>
      </c>
    </row>
    <row r="10" spans="1:5" x14ac:dyDescent="0.25">
      <c r="A10" s="48"/>
      <c r="B10" s="48"/>
      <c r="C10" s="48"/>
      <c r="D10" s="48"/>
      <c r="E10" s="48"/>
    </row>
    <row r="11" spans="1:5" ht="28.5" x14ac:dyDescent="0.25">
      <c r="A11" s="95" t="s">
        <v>13</v>
      </c>
      <c r="B11" s="96"/>
      <c r="C11" s="96"/>
      <c r="D11" s="97"/>
      <c r="E11" s="85">
        <v>3.6</v>
      </c>
    </row>
    <row r="12" spans="1:5" x14ac:dyDescent="0.25">
      <c r="A12" s="9"/>
      <c r="B12" s="9"/>
      <c r="C12" s="9"/>
      <c r="D12" s="9"/>
      <c r="E12" s="9"/>
    </row>
    <row r="13" spans="1:5" ht="28.5" x14ac:dyDescent="0.25">
      <c r="A13" s="95" t="s">
        <v>187</v>
      </c>
      <c r="B13" s="96"/>
      <c r="C13" s="96"/>
      <c r="D13" s="97"/>
      <c r="E13" s="86">
        <v>4</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F5" sqref="F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408</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90" x14ac:dyDescent="0.25">
      <c r="A5" s="56" t="s">
        <v>993</v>
      </c>
      <c r="B5" s="56" t="s">
        <v>995</v>
      </c>
      <c r="C5" s="56" t="s">
        <v>994</v>
      </c>
      <c r="D5" s="56" t="s">
        <v>996</v>
      </c>
      <c r="E5" s="93" t="s">
        <v>1134</v>
      </c>
    </row>
    <row r="7" spans="1:5" x14ac:dyDescent="0.25">
      <c r="A7" t="s">
        <v>610</v>
      </c>
    </row>
    <row r="8" spans="1:5" x14ac:dyDescent="0.25">
      <c r="A8" s="146" t="s">
        <v>997</v>
      </c>
      <c r="B8" s="146"/>
      <c r="C8" s="76">
        <v>16</v>
      </c>
    </row>
    <row r="9" spans="1:5" x14ac:dyDescent="0.25">
      <c r="A9" s="148" t="s">
        <v>998</v>
      </c>
      <c r="B9" s="149"/>
      <c r="C9" s="76">
        <v>4</v>
      </c>
    </row>
    <row r="10" spans="1:5" x14ac:dyDescent="0.25">
      <c r="A10" s="148" t="s">
        <v>999</v>
      </c>
      <c r="B10" s="149"/>
      <c r="C10" s="76">
        <f>C9/C8</f>
        <v>0.25</v>
      </c>
    </row>
    <row r="11" spans="1:5" x14ac:dyDescent="0.25">
      <c r="A11" s="146" t="s">
        <v>614</v>
      </c>
      <c r="B11" s="146"/>
      <c r="C11" s="67">
        <f>2+(8*C10)</f>
        <v>4</v>
      </c>
    </row>
    <row r="13" spans="1:5" ht="28.5" x14ac:dyDescent="0.25">
      <c r="A13" s="95" t="s">
        <v>615</v>
      </c>
      <c r="B13" s="96"/>
      <c r="C13" s="96"/>
      <c r="D13" s="97"/>
      <c r="E13" s="68">
        <f>IF(C11&lt;=4,C11,4)</f>
        <v>4</v>
      </c>
    </row>
    <row r="14" spans="1:5" x14ac:dyDescent="0.25">
      <c r="A14" s="9"/>
      <c r="B14" s="9"/>
      <c r="C14" s="9"/>
      <c r="D14" s="9"/>
      <c r="E14" s="9"/>
    </row>
    <row r="15" spans="1:5" ht="78.75" x14ac:dyDescent="0.45">
      <c r="A15" s="69" t="s">
        <v>188</v>
      </c>
      <c r="B15" s="118" t="s">
        <v>1107</v>
      </c>
      <c r="C15" s="118"/>
      <c r="D15" s="118"/>
      <c r="E15" s="118"/>
    </row>
  </sheetData>
  <mergeCells count="8">
    <mergeCell ref="B15:E15"/>
    <mergeCell ref="A9:B9"/>
    <mergeCell ref="A10:B10"/>
    <mergeCell ref="A1:D1"/>
    <mergeCell ref="A3:E3"/>
    <mergeCell ref="A8:B8"/>
    <mergeCell ref="A11:B11"/>
    <mergeCell ref="A13:D13"/>
  </mergeCells>
  <pageMargins left="0.7" right="0.7" top="0.75" bottom="0.75" header="0.3" footer="0.3"/>
  <pageSetup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C17" sqref="C17"/>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409</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20" x14ac:dyDescent="0.25">
      <c r="A5" s="56" t="s">
        <v>983</v>
      </c>
      <c r="B5" s="56" t="s">
        <v>978</v>
      </c>
      <c r="C5" s="56" t="s">
        <v>984</v>
      </c>
      <c r="D5" s="56"/>
      <c r="E5" s="93" t="s">
        <v>1135</v>
      </c>
    </row>
    <row r="7" spans="1:5" x14ac:dyDescent="0.25">
      <c r="A7" s="104" t="s">
        <v>7</v>
      </c>
      <c r="B7" s="104"/>
      <c r="C7" s="104"/>
      <c r="D7" s="104"/>
      <c r="E7" s="104"/>
    </row>
    <row r="8" spans="1:5" x14ac:dyDescent="0.25">
      <c r="A8" s="59" t="s">
        <v>8</v>
      </c>
      <c r="B8" s="59" t="s">
        <v>9</v>
      </c>
      <c r="C8" s="59" t="s">
        <v>10</v>
      </c>
      <c r="D8" s="59" t="s">
        <v>11</v>
      </c>
      <c r="E8" s="59" t="s">
        <v>12</v>
      </c>
    </row>
    <row r="9" spans="1:5" ht="105" x14ac:dyDescent="0.25">
      <c r="A9" s="56" t="s">
        <v>978</v>
      </c>
      <c r="B9" s="56" t="s">
        <v>979</v>
      </c>
      <c r="C9" s="56" t="s">
        <v>980</v>
      </c>
      <c r="D9" s="56" t="s">
        <v>981</v>
      </c>
      <c r="E9" s="56" t="s">
        <v>982</v>
      </c>
    </row>
    <row r="10" spans="1:5" x14ac:dyDescent="0.25">
      <c r="A10" s="48"/>
      <c r="B10" s="48"/>
      <c r="C10" s="48"/>
      <c r="D10" s="48"/>
      <c r="E10" s="48"/>
    </row>
    <row r="11" spans="1:5" ht="28.5" x14ac:dyDescent="0.25">
      <c r="A11" s="95" t="s">
        <v>13</v>
      </c>
      <c r="B11" s="96"/>
      <c r="C11" s="96"/>
      <c r="D11" s="97"/>
      <c r="E11" s="85">
        <v>4</v>
      </c>
    </row>
    <row r="12" spans="1:5" x14ac:dyDescent="0.25">
      <c r="A12" s="9"/>
      <c r="B12" s="9"/>
      <c r="C12" s="9"/>
      <c r="D12" s="9"/>
      <c r="E12" s="9"/>
    </row>
    <row r="13" spans="1:5" ht="28.5" x14ac:dyDescent="0.25">
      <c r="A13" s="95" t="s">
        <v>187</v>
      </c>
      <c r="B13" s="96"/>
      <c r="C13" s="96"/>
      <c r="D13" s="97"/>
      <c r="E13" s="86">
        <v>3</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opLeftCell="A4" zoomScale="90" zoomScaleNormal="90" workbookViewId="0">
      <selection activeCell="A13" sqref="A13:D13"/>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410</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210" x14ac:dyDescent="0.25">
      <c r="A5" s="56" t="s">
        <v>976</v>
      </c>
      <c r="B5" s="56" t="s">
        <v>971</v>
      </c>
      <c r="C5" s="56" t="s">
        <v>977</v>
      </c>
      <c r="D5" s="56"/>
      <c r="E5" s="93" t="s">
        <v>1136</v>
      </c>
    </row>
    <row r="7" spans="1:5" x14ac:dyDescent="0.25">
      <c r="A7" s="104" t="s">
        <v>7</v>
      </c>
      <c r="B7" s="104"/>
      <c r="C7" s="104"/>
      <c r="D7" s="104"/>
      <c r="E7" s="104"/>
    </row>
    <row r="8" spans="1:5" x14ac:dyDescent="0.25">
      <c r="A8" s="59" t="s">
        <v>8</v>
      </c>
      <c r="B8" s="59" t="s">
        <v>9</v>
      </c>
      <c r="C8" s="59" t="s">
        <v>10</v>
      </c>
      <c r="D8" s="59" t="s">
        <v>11</v>
      </c>
      <c r="E8" s="59" t="s">
        <v>12</v>
      </c>
    </row>
    <row r="9" spans="1:5" ht="135" x14ac:dyDescent="0.25">
      <c r="A9" s="56" t="s">
        <v>971</v>
      </c>
      <c r="B9" s="56" t="s">
        <v>972</v>
      </c>
      <c r="C9" s="56" t="s">
        <v>973</v>
      </c>
      <c r="D9" s="56" t="s">
        <v>974</v>
      </c>
      <c r="E9" s="56" t="s">
        <v>975</v>
      </c>
    </row>
    <row r="10" spans="1:5" x14ac:dyDescent="0.25">
      <c r="A10" s="48"/>
      <c r="B10" s="48"/>
      <c r="C10" s="48"/>
      <c r="D10" s="48"/>
      <c r="E10" s="48"/>
    </row>
    <row r="11" spans="1:5" ht="28.5" x14ac:dyDescent="0.25">
      <c r="A11" s="95" t="s">
        <v>13</v>
      </c>
      <c r="B11" s="96"/>
      <c r="C11" s="96"/>
      <c r="D11" s="97"/>
      <c r="E11" s="85">
        <v>3</v>
      </c>
    </row>
    <row r="12" spans="1:5" x14ac:dyDescent="0.25">
      <c r="A12" s="9"/>
      <c r="B12" s="9"/>
      <c r="C12" s="9"/>
      <c r="D12" s="9"/>
      <c r="E12" s="9"/>
    </row>
    <row r="13" spans="1:5" ht="28.5" x14ac:dyDescent="0.25">
      <c r="A13" s="95" t="s">
        <v>187</v>
      </c>
      <c r="B13" s="96"/>
      <c r="C13" s="96"/>
      <c r="D13" s="97"/>
      <c r="E13" s="86">
        <v>3.5</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E5" sqref="E5"/>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411</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35" x14ac:dyDescent="0.25">
      <c r="A5" s="56" t="s">
        <v>969</v>
      </c>
      <c r="B5" s="56" t="s">
        <v>964</v>
      </c>
      <c r="C5" s="56" t="s">
        <v>970</v>
      </c>
      <c r="D5" s="56"/>
      <c r="E5" s="93" t="s">
        <v>1137</v>
      </c>
    </row>
    <row r="7" spans="1:5" x14ac:dyDescent="0.25">
      <c r="A7" s="104" t="s">
        <v>7</v>
      </c>
      <c r="B7" s="104"/>
      <c r="C7" s="104"/>
      <c r="D7" s="104"/>
      <c r="E7" s="104"/>
    </row>
    <row r="8" spans="1:5" x14ac:dyDescent="0.25">
      <c r="A8" s="59" t="s">
        <v>8</v>
      </c>
      <c r="B8" s="59" t="s">
        <v>9</v>
      </c>
      <c r="C8" s="59" t="s">
        <v>10</v>
      </c>
      <c r="D8" s="59" t="s">
        <v>11</v>
      </c>
      <c r="E8" s="59" t="s">
        <v>12</v>
      </c>
    </row>
    <row r="9" spans="1:5" ht="75" x14ac:dyDescent="0.25">
      <c r="A9" s="56" t="s">
        <v>964</v>
      </c>
      <c r="B9" s="56" t="s">
        <v>965</v>
      </c>
      <c r="C9" s="56" t="s">
        <v>966</v>
      </c>
      <c r="D9" s="56" t="s">
        <v>967</v>
      </c>
      <c r="E9" s="56" t="s">
        <v>968</v>
      </c>
    </row>
    <row r="10" spans="1:5" x14ac:dyDescent="0.25">
      <c r="A10" s="48"/>
      <c r="B10" s="48"/>
      <c r="C10" s="48"/>
      <c r="D10" s="48"/>
      <c r="E10" s="48"/>
    </row>
    <row r="11" spans="1:5" ht="28.5" x14ac:dyDescent="0.25">
      <c r="A11" s="95" t="s">
        <v>13</v>
      </c>
      <c r="B11" s="96"/>
      <c r="C11" s="96"/>
      <c r="D11" s="97"/>
      <c r="E11" s="85">
        <v>2</v>
      </c>
    </row>
    <row r="12" spans="1:5" x14ac:dyDescent="0.25">
      <c r="A12" s="9"/>
      <c r="B12" s="9"/>
      <c r="C12" s="9"/>
      <c r="D12" s="9"/>
      <c r="E12" s="9"/>
    </row>
    <row r="13" spans="1:5" ht="28.5" x14ac:dyDescent="0.25">
      <c r="A13" s="95" t="s">
        <v>187</v>
      </c>
      <c r="B13" s="96"/>
      <c r="C13" s="96"/>
      <c r="D13" s="97"/>
      <c r="E13" s="86">
        <v>3</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B16" sqref="B16"/>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412</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135" x14ac:dyDescent="0.25">
      <c r="A5" s="56" t="s">
        <v>962</v>
      </c>
      <c r="B5" s="56" t="s">
        <v>960</v>
      </c>
      <c r="C5" s="56" t="s">
        <v>963</v>
      </c>
      <c r="D5" s="56"/>
      <c r="E5" s="93" t="s">
        <v>1138</v>
      </c>
    </row>
    <row r="7" spans="1:5" x14ac:dyDescent="0.25">
      <c r="A7" s="104" t="s">
        <v>7</v>
      </c>
      <c r="B7" s="104"/>
      <c r="C7" s="104"/>
      <c r="D7" s="104"/>
      <c r="E7" s="104"/>
    </row>
    <row r="8" spans="1:5" x14ac:dyDescent="0.25">
      <c r="A8" s="59" t="s">
        <v>8</v>
      </c>
      <c r="B8" s="59" t="s">
        <v>9</v>
      </c>
      <c r="C8" s="59" t="s">
        <v>10</v>
      </c>
      <c r="D8" s="59" t="s">
        <v>11</v>
      </c>
      <c r="E8" s="59" t="s">
        <v>12</v>
      </c>
    </row>
    <row r="9" spans="1:5" ht="120" x14ac:dyDescent="0.25">
      <c r="A9" s="56" t="s">
        <v>960</v>
      </c>
      <c r="B9" s="56" t="s">
        <v>961</v>
      </c>
      <c r="C9" s="155" t="s">
        <v>959</v>
      </c>
      <c r="D9" s="158"/>
      <c r="E9" s="156"/>
    </row>
    <row r="10" spans="1:5" x14ac:dyDescent="0.25">
      <c r="A10" s="48"/>
      <c r="B10" s="48"/>
      <c r="C10" s="48"/>
      <c r="D10" s="48"/>
      <c r="E10" s="48"/>
    </row>
    <row r="11" spans="1:5" ht="28.5" x14ac:dyDescent="0.25">
      <c r="A11" s="95" t="s">
        <v>13</v>
      </c>
      <c r="B11" s="96"/>
      <c r="C11" s="96"/>
      <c r="D11" s="97"/>
      <c r="E11" s="85">
        <v>4</v>
      </c>
    </row>
    <row r="12" spans="1:5" x14ac:dyDescent="0.25">
      <c r="A12" s="9"/>
      <c r="B12" s="9"/>
      <c r="C12" s="9"/>
      <c r="D12" s="9"/>
      <c r="E12" s="9"/>
    </row>
    <row r="13" spans="1:5" ht="28.5" x14ac:dyDescent="0.25">
      <c r="A13" s="95" t="s">
        <v>187</v>
      </c>
      <c r="B13" s="96"/>
      <c r="C13" s="96"/>
      <c r="D13" s="97"/>
      <c r="E13" s="86">
        <v>3.9</v>
      </c>
    </row>
    <row r="14" spans="1:5" x14ac:dyDescent="0.25">
      <c r="A14" s="9"/>
      <c r="B14" s="9"/>
      <c r="C14" s="9"/>
      <c r="D14" s="9"/>
      <c r="E14" s="9"/>
    </row>
    <row r="15" spans="1:5" ht="78.75" x14ac:dyDescent="0.45">
      <c r="A15" s="69" t="s">
        <v>188</v>
      </c>
      <c r="B15" s="152" t="s">
        <v>1107</v>
      </c>
      <c r="C15" s="153"/>
      <c r="D15" s="153"/>
      <c r="E15" s="154"/>
    </row>
  </sheetData>
  <mergeCells count="7">
    <mergeCell ref="B15:E15"/>
    <mergeCell ref="C9:E9"/>
    <mergeCell ref="A1:D1"/>
    <mergeCell ref="A3:E3"/>
    <mergeCell ref="A7:E7"/>
    <mergeCell ref="A11:D11"/>
    <mergeCell ref="A13:D13"/>
  </mergeCells>
  <pageMargins left="0.7" right="0.7" top="0.75" bottom="0.75" header="0.3" footer="0.3"/>
  <pageSetup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zoomScale="90" zoomScaleNormal="90" workbookViewId="0">
      <selection activeCell="B16" sqref="B16"/>
    </sheetView>
  </sheetViews>
  <sheetFormatPr defaultRowHeight="15" x14ac:dyDescent="0.25"/>
  <cols>
    <col min="1" max="1" width="29.85546875" customWidth="1"/>
    <col min="2" max="5" width="25.7109375" customWidth="1"/>
  </cols>
  <sheetData>
    <row r="1" spans="1:5" ht="57" x14ac:dyDescent="0.85">
      <c r="A1" s="101" t="s">
        <v>14</v>
      </c>
      <c r="B1" s="101"/>
      <c r="C1" s="101"/>
      <c r="D1" s="101"/>
      <c r="E1" s="26" t="s">
        <v>413</v>
      </c>
    </row>
    <row r="3" spans="1:5" x14ac:dyDescent="0.25">
      <c r="A3" s="102" t="s">
        <v>4</v>
      </c>
      <c r="B3" s="102"/>
      <c r="C3" s="102"/>
      <c r="D3" s="102"/>
      <c r="E3" s="102"/>
    </row>
    <row r="4" spans="1:5" ht="30" x14ac:dyDescent="0.25">
      <c r="A4" s="50" t="s">
        <v>0</v>
      </c>
      <c r="B4" s="50" t="s">
        <v>1</v>
      </c>
      <c r="C4" s="50" t="s">
        <v>2</v>
      </c>
      <c r="D4" s="50" t="s">
        <v>3</v>
      </c>
      <c r="E4" s="15" t="s">
        <v>537</v>
      </c>
    </row>
    <row r="5" spans="1:5" s="1" customFormat="1" ht="90" x14ac:dyDescent="0.25">
      <c r="A5" s="56" t="s">
        <v>957</v>
      </c>
      <c r="B5" s="56" t="s">
        <v>952</v>
      </c>
      <c r="C5" s="56" t="s">
        <v>958</v>
      </c>
      <c r="D5" s="56"/>
      <c r="E5" s="93" t="s">
        <v>1139</v>
      </c>
    </row>
    <row r="7" spans="1:5" x14ac:dyDescent="0.25">
      <c r="A7" s="104" t="s">
        <v>7</v>
      </c>
      <c r="B7" s="104"/>
      <c r="C7" s="104"/>
      <c r="D7" s="104"/>
      <c r="E7" s="104"/>
    </row>
    <row r="8" spans="1:5" x14ac:dyDescent="0.25">
      <c r="A8" s="59" t="s">
        <v>8</v>
      </c>
      <c r="B8" s="59" t="s">
        <v>9</v>
      </c>
      <c r="C8" s="59" t="s">
        <v>10</v>
      </c>
      <c r="D8" s="59" t="s">
        <v>11</v>
      </c>
      <c r="E8" s="59" t="s">
        <v>12</v>
      </c>
    </row>
    <row r="9" spans="1:5" ht="90" x14ac:dyDescent="0.25">
      <c r="A9" s="56" t="s">
        <v>952</v>
      </c>
      <c r="B9" s="56" t="s">
        <v>953</v>
      </c>
      <c r="C9" s="56" t="s">
        <v>954</v>
      </c>
      <c r="D9" s="56" t="s">
        <v>955</v>
      </c>
      <c r="E9" s="56" t="s">
        <v>956</v>
      </c>
    </row>
    <row r="10" spans="1:5" x14ac:dyDescent="0.25">
      <c r="A10" s="48"/>
      <c r="B10" s="48"/>
      <c r="C10" s="48"/>
      <c r="D10" s="48"/>
      <c r="E10" s="48"/>
    </row>
    <row r="11" spans="1:5" ht="28.5" x14ac:dyDescent="0.25">
      <c r="A11" s="95" t="s">
        <v>13</v>
      </c>
      <c r="B11" s="96"/>
      <c r="C11" s="96"/>
      <c r="D11" s="97"/>
      <c r="E11" s="85">
        <v>3</v>
      </c>
    </row>
    <row r="12" spans="1:5" x14ac:dyDescent="0.25">
      <c r="A12" s="9"/>
      <c r="B12" s="9"/>
      <c r="C12" s="9"/>
      <c r="D12" s="9"/>
      <c r="E12" s="9"/>
    </row>
    <row r="13" spans="1:5" ht="28.5" x14ac:dyDescent="0.25">
      <c r="A13" s="95" t="s">
        <v>187</v>
      </c>
      <c r="B13" s="96"/>
      <c r="C13" s="96"/>
      <c r="D13" s="97"/>
      <c r="E13" s="86">
        <v>3.2</v>
      </c>
    </row>
    <row r="14" spans="1:5" x14ac:dyDescent="0.25">
      <c r="A14" s="9"/>
      <c r="B14" s="9"/>
      <c r="C14" s="9"/>
      <c r="D14" s="9"/>
      <c r="E14" s="9"/>
    </row>
    <row r="15" spans="1:5" ht="78.75" x14ac:dyDescent="0.45">
      <c r="A15" s="69" t="s">
        <v>188</v>
      </c>
      <c r="B15" s="152" t="s">
        <v>1107</v>
      </c>
      <c r="C15" s="153"/>
      <c r="D15" s="153"/>
      <c r="E15" s="154"/>
    </row>
  </sheetData>
  <mergeCells count="6">
    <mergeCell ref="B15:E15"/>
    <mergeCell ref="A1:D1"/>
    <mergeCell ref="A3:E3"/>
    <mergeCell ref="A7:E7"/>
    <mergeCell ref="A11:D11"/>
    <mergeCell ref="A13:D13"/>
  </mergeCells>
  <pageMargins left="0.7" right="0.7" top="0.75" bottom="0.75" header="0.3" footer="0.3"/>
  <pageSetup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topLeftCell="A7" zoomScale="90" zoomScaleNormal="90" workbookViewId="0">
      <selection activeCell="C23" sqref="C23"/>
    </sheetView>
  </sheetViews>
  <sheetFormatPr defaultRowHeight="15" x14ac:dyDescent="0.25"/>
  <cols>
    <col min="1" max="5" width="25.7109375" customWidth="1"/>
  </cols>
  <sheetData>
    <row r="1" spans="1:5" ht="57" x14ac:dyDescent="0.85">
      <c r="A1" s="101" t="s">
        <v>14</v>
      </c>
      <c r="B1" s="101"/>
      <c r="C1" s="101"/>
      <c r="D1" s="101"/>
      <c r="E1" s="26" t="s">
        <v>414</v>
      </c>
    </row>
    <row r="3" spans="1:5" x14ac:dyDescent="0.25">
      <c r="A3" s="102" t="s">
        <v>4</v>
      </c>
      <c r="B3" s="102"/>
      <c r="C3" s="102"/>
      <c r="D3" s="102"/>
      <c r="E3" s="102"/>
    </row>
    <row r="4" spans="1:5" ht="30" x14ac:dyDescent="0.25">
      <c r="A4" s="50" t="s">
        <v>0</v>
      </c>
      <c r="B4" s="50" t="s">
        <v>1</v>
      </c>
      <c r="C4" s="50" t="s">
        <v>2</v>
      </c>
      <c r="D4" s="50" t="s">
        <v>3</v>
      </c>
      <c r="E4" s="15" t="s">
        <v>537</v>
      </c>
    </row>
    <row r="5" spans="1:5" ht="45" customHeight="1" x14ac:dyDescent="0.25">
      <c r="A5" s="107" t="s">
        <v>1073</v>
      </c>
      <c r="B5" s="107" t="s">
        <v>268</v>
      </c>
      <c r="C5" s="107" t="s">
        <v>1074</v>
      </c>
      <c r="D5" s="33" t="s">
        <v>269</v>
      </c>
      <c r="E5" s="110" t="s">
        <v>1095</v>
      </c>
    </row>
    <row r="6" spans="1:5" ht="45" customHeight="1" x14ac:dyDescent="0.25">
      <c r="A6" s="107"/>
      <c r="B6" s="107"/>
      <c r="C6" s="107"/>
      <c r="D6" s="32" t="s">
        <v>270</v>
      </c>
      <c r="E6" s="111"/>
    </row>
    <row r="7" spans="1:5" ht="45" customHeight="1" x14ac:dyDescent="0.25">
      <c r="A7" s="107"/>
      <c r="B7" s="107"/>
      <c r="C7" s="107"/>
      <c r="D7" s="32" t="s">
        <v>271</v>
      </c>
      <c r="E7" s="111"/>
    </row>
    <row r="8" spans="1:5" ht="45" customHeight="1" x14ac:dyDescent="0.25">
      <c r="A8" s="107"/>
      <c r="B8" s="107"/>
      <c r="C8" s="107"/>
      <c r="D8" s="32" t="s">
        <v>272</v>
      </c>
      <c r="E8" s="111"/>
    </row>
    <row r="9" spans="1:5" ht="45" customHeight="1" x14ac:dyDescent="0.25">
      <c r="A9" s="107"/>
      <c r="B9" s="107"/>
      <c r="C9" s="107"/>
      <c r="D9" s="56" t="s">
        <v>273</v>
      </c>
      <c r="E9" s="111"/>
    </row>
    <row r="11" spans="1:5" x14ac:dyDescent="0.25">
      <c r="A11" s="104" t="s">
        <v>7</v>
      </c>
      <c r="B11" s="104"/>
      <c r="C11" s="104"/>
      <c r="D11" s="104"/>
      <c r="E11" s="104"/>
    </row>
    <row r="12" spans="1:5" x14ac:dyDescent="0.25">
      <c r="A12" s="59" t="s">
        <v>8</v>
      </c>
      <c r="B12" s="59" t="s">
        <v>9</v>
      </c>
      <c r="C12" s="59" t="s">
        <v>10</v>
      </c>
      <c r="D12" s="59" t="s">
        <v>11</v>
      </c>
      <c r="E12" s="59" t="s">
        <v>12</v>
      </c>
    </row>
    <row r="13" spans="1:5" ht="150" x14ac:dyDescent="0.25">
      <c r="A13" s="56" t="s">
        <v>1000</v>
      </c>
      <c r="B13" s="56" t="s">
        <v>1001</v>
      </c>
      <c r="C13" s="56" t="s">
        <v>1002</v>
      </c>
      <c r="D13" s="56" t="s">
        <v>1003</v>
      </c>
      <c r="E13" s="56" t="s">
        <v>1004</v>
      </c>
    </row>
    <row r="14" spans="1:5" x14ac:dyDescent="0.25">
      <c r="A14" s="11"/>
      <c r="B14" s="159"/>
      <c r="C14" s="159"/>
    </row>
    <row r="15" spans="1:5" ht="28.5" x14ac:dyDescent="0.25">
      <c r="A15" s="95" t="s">
        <v>13</v>
      </c>
      <c r="B15" s="96"/>
      <c r="C15" s="96"/>
      <c r="D15" s="97"/>
      <c r="E15" s="85">
        <v>3</v>
      </c>
    </row>
    <row r="16" spans="1:5" x14ac:dyDescent="0.25">
      <c r="A16" s="9"/>
      <c r="B16" s="9"/>
      <c r="C16" s="9"/>
      <c r="D16" s="9"/>
      <c r="E16" s="9"/>
    </row>
    <row r="17" spans="1:5" ht="28.5" x14ac:dyDescent="0.25">
      <c r="A17" s="95" t="s">
        <v>187</v>
      </c>
      <c r="B17" s="96"/>
      <c r="C17" s="96"/>
      <c r="D17" s="97"/>
      <c r="E17" s="86">
        <v>3.2</v>
      </c>
    </row>
    <row r="18" spans="1:5" x14ac:dyDescent="0.25">
      <c r="A18" s="9"/>
      <c r="B18" s="9"/>
      <c r="C18" s="9"/>
      <c r="D18" s="9"/>
      <c r="E18" s="9"/>
    </row>
    <row r="19" spans="1:5" ht="78.75" x14ac:dyDescent="0.45">
      <c r="A19" s="69" t="s">
        <v>188</v>
      </c>
      <c r="B19" s="152" t="s">
        <v>1107</v>
      </c>
      <c r="C19" s="153"/>
      <c r="D19" s="153"/>
      <c r="E19" s="154"/>
    </row>
  </sheetData>
  <mergeCells count="11">
    <mergeCell ref="A1:D1"/>
    <mergeCell ref="A3:E3"/>
    <mergeCell ref="A5:A9"/>
    <mergeCell ref="B5:B9"/>
    <mergeCell ref="C5:C9"/>
    <mergeCell ref="E5:E9"/>
    <mergeCell ref="A11:E11"/>
    <mergeCell ref="B14:C14"/>
    <mergeCell ref="A15:D15"/>
    <mergeCell ref="A17:D17"/>
    <mergeCell ref="B19:E19"/>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activeCell="B16" sqref="B16:E16"/>
    </sheetView>
  </sheetViews>
  <sheetFormatPr defaultRowHeight="15" x14ac:dyDescent="0.25"/>
  <cols>
    <col min="1" max="5" width="25.7109375" customWidth="1"/>
  </cols>
  <sheetData>
    <row r="1" spans="1:5" ht="57" x14ac:dyDescent="0.85">
      <c r="A1" s="101" t="s">
        <v>14</v>
      </c>
      <c r="B1" s="101"/>
      <c r="C1" s="101"/>
      <c r="D1" s="101"/>
      <c r="E1" s="26" t="s">
        <v>415</v>
      </c>
    </row>
    <row r="3" spans="1:5" x14ac:dyDescent="0.25">
      <c r="A3" s="102" t="s">
        <v>4</v>
      </c>
      <c r="B3" s="102"/>
      <c r="C3" s="102"/>
      <c r="D3" s="102"/>
      <c r="E3" s="102"/>
    </row>
    <row r="4" spans="1:5" ht="30" x14ac:dyDescent="0.25">
      <c r="A4" s="50" t="s">
        <v>0</v>
      </c>
      <c r="B4" s="50" t="s">
        <v>1</v>
      </c>
      <c r="C4" s="50" t="s">
        <v>2</v>
      </c>
      <c r="D4" s="50" t="s">
        <v>3</v>
      </c>
      <c r="E4" s="15" t="s">
        <v>537</v>
      </c>
    </row>
    <row r="5" spans="1:5" ht="75" x14ac:dyDescent="0.25">
      <c r="A5" s="56" t="s">
        <v>1075</v>
      </c>
      <c r="B5" s="56" t="s">
        <v>274</v>
      </c>
      <c r="C5" s="56" t="s">
        <v>275</v>
      </c>
      <c r="D5" s="56" t="s">
        <v>276</v>
      </c>
      <c r="E5" s="57" t="s">
        <v>1096</v>
      </c>
    </row>
    <row r="7" spans="1:5" x14ac:dyDescent="0.25">
      <c r="A7" t="s">
        <v>610</v>
      </c>
    </row>
    <row r="8" spans="1:5" x14ac:dyDescent="0.25">
      <c r="A8" s="146" t="s">
        <v>1005</v>
      </c>
      <c r="B8" s="146"/>
      <c r="C8" s="77">
        <v>3</v>
      </c>
    </row>
    <row r="9" spans="1:5" x14ac:dyDescent="0.25">
      <c r="A9" s="146" t="s">
        <v>1006</v>
      </c>
      <c r="B9" s="146"/>
      <c r="C9" s="77">
        <v>3.5</v>
      </c>
    </row>
    <row r="10" spans="1:5" x14ac:dyDescent="0.25">
      <c r="A10" s="146" t="s">
        <v>1007</v>
      </c>
      <c r="B10" s="146"/>
      <c r="C10" s="78">
        <v>3.8</v>
      </c>
    </row>
    <row r="11" spans="1:5" x14ac:dyDescent="0.25">
      <c r="A11" s="148" t="s">
        <v>1008</v>
      </c>
      <c r="B11" s="149"/>
      <c r="C11" s="66">
        <f>AVERAGE(C8:C10)</f>
        <v>3.4333333333333336</v>
      </c>
    </row>
    <row r="12" spans="1:5" x14ac:dyDescent="0.25">
      <c r="A12" s="146" t="s">
        <v>609</v>
      </c>
      <c r="B12" s="146"/>
      <c r="C12" s="67">
        <f>IF(C11&gt;=3.25,4,IF(AND(2&lt;=C11,C11&lt;3.25),((8*C11)-6)/5,2))</f>
        <v>4</v>
      </c>
    </row>
    <row r="14" spans="1:5" ht="28.5" x14ac:dyDescent="0.25">
      <c r="A14" s="95" t="s">
        <v>615</v>
      </c>
      <c r="B14" s="96"/>
      <c r="C14" s="96"/>
      <c r="D14" s="97"/>
      <c r="E14" s="68">
        <f>C12</f>
        <v>4</v>
      </c>
    </row>
    <row r="16" spans="1:5" ht="78.75" x14ac:dyDescent="0.45">
      <c r="A16" s="69" t="s">
        <v>188</v>
      </c>
      <c r="B16" s="118" t="s">
        <v>1107</v>
      </c>
      <c r="C16" s="118"/>
      <c r="D16" s="118"/>
      <c r="E16" s="118"/>
    </row>
  </sheetData>
  <mergeCells count="9">
    <mergeCell ref="A1:D1"/>
    <mergeCell ref="A3:E3"/>
    <mergeCell ref="A14:D14"/>
    <mergeCell ref="B16:E16"/>
    <mergeCell ref="A8:B8"/>
    <mergeCell ref="A9:B9"/>
    <mergeCell ref="A10:B10"/>
    <mergeCell ref="A11:B11"/>
    <mergeCell ref="A12:B12"/>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workbookViewId="0">
      <selection activeCell="B22" sqref="B22:E22"/>
    </sheetView>
  </sheetViews>
  <sheetFormatPr defaultRowHeight="15" x14ac:dyDescent="0.25"/>
  <cols>
    <col min="1" max="5" width="25.7109375" customWidth="1"/>
  </cols>
  <sheetData>
    <row r="1" spans="1:5" ht="57" x14ac:dyDescent="0.85">
      <c r="A1" s="101" t="s">
        <v>14</v>
      </c>
      <c r="B1" s="101"/>
      <c r="C1" s="101"/>
      <c r="D1" s="101"/>
      <c r="E1" s="26" t="s">
        <v>416</v>
      </c>
    </row>
    <row r="3" spans="1:5" x14ac:dyDescent="0.25">
      <c r="A3" s="102" t="s">
        <v>4</v>
      </c>
      <c r="B3" s="102"/>
      <c r="C3" s="102"/>
      <c r="D3" s="102"/>
      <c r="E3" s="102"/>
    </row>
    <row r="4" spans="1:5" ht="30" x14ac:dyDescent="0.25">
      <c r="A4" s="50" t="s">
        <v>0</v>
      </c>
      <c r="B4" s="50" t="s">
        <v>1</v>
      </c>
      <c r="C4" s="50" t="s">
        <v>2</v>
      </c>
      <c r="D4" s="50" t="s">
        <v>3</v>
      </c>
      <c r="E4" s="15" t="s">
        <v>537</v>
      </c>
    </row>
    <row r="5" spans="1:5" ht="75" x14ac:dyDescent="0.25">
      <c r="A5" s="56" t="s">
        <v>1076</v>
      </c>
      <c r="B5" s="56" t="s">
        <v>1077</v>
      </c>
      <c r="C5" s="56" t="s">
        <v>1078</v>
      </c>
      <c r="D5" s="56" t="s">
        <v>277</v>
      </c>
      <c r="E5" s="57" t="s">
        <v>1097</v>
      </c>
    </row>
    <row r="7" spans="1:5" x14ac:dyDescent="0.25">
      <c r="A7" t="s">
        <v>610</v>
      </c>
    </row>
    <row r="8" spans="1:5" x14ac:dyDescent="0.25">
      <c r="A8" s="146" t="s">
        <v>1009</v>
      </c>
      <c r="B8" s="146"/>
      <c r="C8" s="77">
        <v>190</v>
      </c>
    </row>
    <row r="9" spans="1:5" x14ac:dyDescent="0.25">
      <c r="A9" s="146" t="s">
        <v>1010</v>
      </c>
      <c r="B9" s="146"/>
      <c r="C9" s="77">
        <v>1</v>
      </c>
    </row>
    <row r="10" spans="1:5" x14ac:dyDescent="0.25">
      <c r="A10" s="146" t="s">
        <v>1011</v>
      </c>
      <c r="B10" s="146"/>
      <c r="C10" s="78">
        <v>1</v>
      </c>
    </row>
    <row r="11" spans="1:5" x14ac:dyDescent="0.25">
      <c r="A11" s="146" t="s">
        <v>1012</v>
      </c>
      <c r="B11" s="146"/>
      <c r="C11" s="78">
        <v>1</v>
      </c>
    </row>
    <row r="12" spans="1:5" x14ac:dyDescent="0.25">
      <c r="A12" s="146" t="s">
        <v>1013</v>
      </c>
      <c r="B12" s="146"/>
      <c r="C12" s="79">
        <v>1E-3</v>
      </c>
    </row>
    <row r="13" spans="1:5" x14ac:dyDescent="0.25">
      <c r="A13" s="146" t="s">
        <v>1014</v>
      </c>
      <c r="B13" s="146"/>
      <c r="C13" s="79">
        <v>0.01</v>
      </c>
    </row>
    <row r="14" spans="1:5" x14ac:dyDescent="0.25">
      <c r="A14" s="146" t="s">
        <v>1015</v>
      </c>
      <c r="B14" s="146"/>
      <c r="C14" s="79">
        <v>0.02</v>
      </c>
    </row>
    <row r="15" spans="1:5" x14ac:dyDescent="0.25">
      <c r="A15" s="146" t="s">
        <v>1016</v>
      </c>
      <c r="B15" s="146"/>
      <c r="C15" s="79">
        <f>C9/C8</f>
        <v>5.263157894736842E-3</v>
      </c>
      <c r="D15" s="74"/>
    </row>
    <row r="16" spans="1:5" x14ac:dyDescent="0.25">
      <c r="A16" s="146" t="s">
        <v>1017</v>
      </c>
      <c r="B16" s="146"/>
      <c r="C16" s="79">
        <f>C10/C8</f>
        <v>5.263157894736842E-3</v>
      </c>
    </row>
    <row r="17" spans="1:5" x14ac:dyDescent="0.25">
      <c r="A17" s="146" t="s">
        <v>1018</v>
      </c>
      <c r="B17" s="146"/>
      <c r="C17" s="79">
        <f>C11/C8</f>
        <v>5.263157894736842E-3</v>
      </c>
    </row>
    <row r="18" spans="1:5" x14ac:dyDescent="0.25">
      <c r="A18" s="146" t="s">
        <v>609</v>
      </c>
      <c r="B18" s="146"/>
      <c r="C18" s="67">
        <f>IF(C15&gt;=C12,4,IF(AND(C15&lt;C12,C16&gt;=C13),3+(C15/C12),IF(AND(0&lt;=C15,C15&lt;C12,0&lt;C16,C16&lt;C13),2+(2*(C15/C12))+(C16/C13)-((C15*C16)/(C12*C13)),IF(AND(C15=0,C16=0,C17&gt;=C14),2,IF(AND(C15=0,C16=0,C17&lt;C14),(2*C17)/C14,0)))))</f>
        <v>4</v>
      </c>
    </row>
    <row r="20" spans="1:5" ht="28.5" x14ac:dyDescent="0.25">
      <c r="A20" s="95" t="s">
        <v>615</v>
      </c>
      <c r="B20" s="96"/>
      <c r="C20" s="96"/>
      <c r="D20" s="97"/>
      <c r="E20" s="68">
        <f>C18</f>
        <v>4</v>
      </c>
    </row>
    <row r="22" spans="1:5" ht="78.75" x14ac:dyDescent="0.45">
      <c r="A22" s="69" t="s">
        <v>188</v>
      </c>
      <c r="B22" s="118" t="s">
        <v>1107</v>
      </c>
      <c r="C22" s="118"/>
      <c r="D22" s="118"/>
      <c r="E22" s="118"/>
    </row>
  </sheetData>
  <mergeCells count="15">
    <mergeCell ref="A13:B13"/>
    <mergeCell ref="A1:D1"/>
    <mergeCell ref="A3:E3"/>
    <mergeCell ref="A8:B8"/>
    <mergeCell ref="A9:B9"/>
    <mergeCell ref="A10:B10"/>
    <mergeCell ref="A11:B11"/>
    <mergeCell ref="A12:B12"/>
    <mergeCell ref="A20:D20"/>
    <mergeCell ref="B22:E22"/>
    <mergeCell ref="A14:B14"/>
    <mergeCell ref="A15:B15"/>
    <mergeCell ref="A16:B16"/>
    <mergeCell ref="A17:B17"/>
    <mergeCell ref="A18:B18"/>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workbookViewId="0">
      <selection activeCell="B22" sqref="B22:E22"/>
    </sheetView>
  </sheetViews>
  <sheetFormatPr defaultRowHeight="15" x14ac:dyDescent="0.25"/>
  <cols>
    <col min="1" max="5" width="25.7109375" customWidth="1"/>
  </cols>
  <sheetData>
    <row r="1" spans="1:5" ht="57" x14ac:dyDescent="0.85">
      <c r="A1" s="101" t="s">
        <v>14</v>
      </c>
      <c r="B1" s="101"/>
      <c r="C1" s="101"/>
      <c r="D1" s="101"/>
      <c r="E1" s="26" t="s">
        <v>417</v>
      </c>
    </row>
    <row r="3" spans="1:5" x14ac:dyDescent="0.25">
      <c r="A3" s="102" t="s">
        <v>4</v>
      </c>
      <c r="B3" s="102"/>
      <c r="C3" s="102"/>
      <c r="D3" s="102"/>
      <c r="E3" s="102"/>
    </row>
    <row r="4" spans="1:5" ht="30" x14ac:dyDescent="0.25">
      <c r="A4" s="50" t="s">
        <v>0</v>
      </c>
      <c r="B4" s="50" t="s">
        <v>1</v>
      </c>
      <c r="C4" s="50" t="s">
        <v>2</v>
      </c>
      <c r="D4" s="50" t="s">
        <v>3</v>
      </c>
      <c r="E4" s="15" t="s">
        <v>537</v>
      </c>
    </row>
    <row r="5" spans="1:5" ht="75" x14ac:dyDescent="0.25">
      <c r="A5" s="56" t="s">
        <v>1079</v>
      </c>
      <c r="B5" s="56" t="s">
        <v>1081</v>
      </c>
      <c r="C5" s="56" t="s">
        <v>1080</v>
      </c>
      <c r="D5" s="56" t="s">
        <v>277</v>
      </c>
      <c r="E5" s="57" t="s">
        <v>1098</v>
      </c>
    </row>
    <row r="7" spans="1:5" x14ac:dyDescent="0.25">
      <c r="A7" t="s">
        <v>610</v>
      </c>
    </row>
    <row r="8" spans="1:5" x14ac:dyDescent="0.25">
      <c r="A8" s="148" t="s">
        <v>1009</v>
      </c>
      <c r="B8" s="149"/>
      <c r="C8" s="77">
        <v>190</v>
      </c>
    </row>
    <row r="9" spans="1:5" x14ac:dyDescent="0.25">
      <c r="A9" s="148" t="s">
        <v>1019</v>
      </c>
      <c r="B9" s="149"/>
      <c r="C9" s="77">
        <v>1</v>
      </c>
    </row>
    <row r="10" spans="1:5" x14ac:dyDescent="0.25">
      <c r="A10" s="148" t="s">
        <v>1020</v>
      </c>
      <c r="B10" s="149"/>
      <c r="C10" s="78">
        <v>1</v>
      </c>
    </row>
    <row r="11" spans="1:5" x14ac:dyDescent="0.25">
      <c r="A11" s="148" t="s">
        <v>1021</v>
      </c>
      <c r="B11" s="149"/>
      <c r="C11" s="78">
        <v>1</v>
      </c>
    </row>
    <row r="12" spans="1:5" x14ac:dyDescent="0.25">
      <c r="A12" s="148" t="s">
        <v>1013</v>
      </c>
      <c r="B12" s="149"/>
      <c r="C12" s="79">
        <v>2E-3</v>
      </c>
    </row>
    <row r="13" spans="1:5" x14ac:dyDescent="0.25">
      <c r="A13" s="148" t="s">
        <v>1014</v>
      </c>
      <c r="B13" s="149"/>
      <c r="C13" s="79">
        <v>0.02</v>
      </c>
    </row>
    <row r="14" spans="1:5" x14ac:dyDescent="0.25">
      <c r="A14" s="148" t="s">
        <v>1015</v>
      </c>
      <c r="B14" s="149"/>
      <c r="C14" s="79">
        <v>0.04</v>
      </c>
    </row>
    <row r="15" spans="1:5" x14ac:dyDescent="0.25">
      <c r="A15" s="148" t="s">
        <v>1016</v>
      </c>
      <c r="B15" s="149"/>
      <c r="C15" s="79">
        <f>C9/C8</f>
        <v>5.263157894736842E-3</v>
      </c>
    </row>
    <row r="16" spans="1:5" x14ac:dyDescent="0.25">
      <c r="A16" s="148" t="s">
        <v>1017</v>
      </c>
      <c r="B16" s="149"/>
      <c r="C16" s="79">
        <f>C10/C8</f>
        <v>5.263157894736842E-3</v>
      </c>
    </row>
    <row r="17" spans="1:5" x14ac:dyDescent="0.25">
      <c r="A17" s="148" t="s">
        <v>1018</v>
      </c>
      <c r="B17" s="149"/>
      <c r="C17" s="79">
        <f>C11/C8</f>
        <v>5.263157894736842E-3</v>
      </c>
    </row>
    <row r="18" spans="1:5" x14ac:dyDescent="0.25">
      <c r="A18" s="148" t="s">
        <v>609</v>
      </c>
      <c r="B18" s="149"/>
      <c r="C18" s="67">
        <f>IF(C15&gt;=C12,4,IF(AND(C15&lt;C12,C16&gt;=C13),3+(C15/C12),IF(AND(0&lt;=C15,C15&lt;C12,0&lt;C16,C16&lt;C13),2+(2*(C15/C12))+(C16/C13)-((C15*C16)/(C12*C13)),IF(AND(C15=0,C16=0,C17&gt;=C14),2,IF(AND(C15=0,C16=0,C17&lt;C14),(2*C17)/C14,0)))))</f>
        <v>4</v>
      </c>
    </row>
    <row r="19" spans="1:5" x14ac:dyDescent="0.25">
      <c r="A19" s="11"/>
      <c r="B19" s="106"/>
      <c r="C19" s="106"/>
    </row>
    <row r="20" spans="1:5" ht="28.5" x14ac:dyDescent="0.25">
      <c r="A20" s="95" t="s">
        <v>615</v>
      </c>
      <c r="B20" s="96"/>
      <c r="C20" s="96"/>
      <c r="D20" s="97"/>
      <c r="E20" s="68">
        <f>C18</f>
        <v>4</v>
      </c>
    </row>
    <row r="22" spans="1:5" ht="78.75" x14ac:dyDescent="0.45">
      <c r="A22" s="69" t="s">
        <v>188</v>
      </c>
      <c r="B22" s="118" t="s">
        <v>1107</v>
      </c>
      <c r="C22" s="118"/>
      <c r="D22" s="118"/>
      <c r="E22" s="118"/>
    </row>
  </sheetData>
  <mergeCells count="16">
    <mergeCell ref="A13:B13"/>
    <mergeCell ref="A1:D1"/>
    <mergeCell ref="A3:E3"/>
    <mergeCell ref="A8:B8"/>
    <mergeCell ref="A9:B9"/>
    <mergeCell ref="A10:B10"/>
    <mergeCell ref="A11:B11"/>
    <mergeCell ref="A12:B12"/>
    <mergeCell ref="A20:D20"/>
    <mergeCell ref="B22:E22"/>
    <mergeCell ref="A14:B14"/>
    <mergeCell ref="A15:B15"/>
    <mergeCell ref="A16:B16"/>
    <mergeCell ref="A17:B17"/>
    <mergeCell ref="A18:B18"/>
    <mergeCell ref="B19:C19"/>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tabSelected="1" topLeftCell="A5" workbookViewId="0">
      <selection activeCell="E19" sqref="E19"/>
    </sheetView>
  </sheetViews>
  <sheetFormatPr defaultRowHeight="15" x14ac:dyDescent="0.25"/>
  <cols>
    <col min="1" max="5" width="25.7109375" customWidth="1"/>
  </cols>
  <sheetData>
    <row r="1" spans="1:5" ht="57" x14ac:dyDescent="0.85">
      <c r="A1" s="101" t="s">
        <v>14</v>
      </c>
      <c r="B1" s="101"/>
      <c r="C1" s="101"/>
      <c r="D1" s="101"/>
      <c r="E1" s="26" t="s">
        <v>418</v>
      </c>
    </row>
    <row r="3" spans="1:5" x14ac:dyDescent="0.25">
      <c r="A3" s="102" t="s">
        <v>4</v>
      </c>
      <c r="B3" s="102"/>
      <c r="C3" s="102"/>
      <c r="D3" s="102"/>
      <c r="E3" s="102"/>
    </row>
    <row r="4" spans="1:5" ht="30" x14ac:dyDescent="0.25">
      <c r="A4" s="50" t="s">
        <v>0</v>
      </c>
      <c r="B4" s="50" t="s">
        <v>1</v>
      </c>
      <c r="C4" s="50" t="s">
        <v>2</v>
      </c>
      <c r="D4" s="50" t="s">
        <v>3</v>
      </c>
      <c r="E4" s="15" t="s">
        <v>537</v>
      </c>
    </row>
    <row r="5" spans="1:5" ht="105" x14ac:dyDescent="0.25">
      <c r="A5" s="56" t="s">
        <v>1082</v>
      </c>
      <c r="B5" s="56" t="s">
        <v>278</v>
      </c>
      <c r="C5" s="56" t="s">
        <v>1083</v>
      </c>
      <c r="D5" s="56" t="s">
        <v>280</v>
      </c>
      <c r="E5" s="57" t="s">
        <v>1099</v>
      </c>
    </row>
    <row r="7" spans="1:5" x14ac:dyDescent="0.25">
      <c r="A7" t="s">
        <v>610</v>
      </c>
    </row>
    <row r="8" spans="1:5" x14ac:dyDescent="0.25">
      <c r="A8" s="148" t="s">
        <v>1022</v>
      </c>
      <c r="B8" s="149"/>
      <c r="C8" s="77">
        <v>190</v>
      </c>
    </row>
    <row r="9" spans="1:5" x14ac:dyDescent="0.25">
      <c r="A9" s="148" t="s">
        <v>1023</v>
      </c>
      <c r="B9" s="149"/>
      <c r="C9" s="77">
        <v>80</v>
      </c>
    </row>
    <row r="10" spans="1:5" x14ac:dyDescent="0.25">
      <c r="A10" s="148" t="s">
        <v>1024</v>
      </c>
      <c r="B10" s="149"/>
      <c r="C10" s="77">
        <v>70</v>
      </c>
    </row>
    <row r="11" spans="1:5" x14ac:dyDescent="0.25">
      <c r="A11" s="148" t="s">
        <v>1025</v>
      </c>
      <c r="B11" s="149"/>
      <c r="C11" s="77">
        <v>40</v>
      </c>
    </row>
    <row r="12" spans="1:5" x14ac:dyDescent="0.25">
      <c r="A12" s="148" t="s">
        <v>1026</v>
      </c>
      <c r="B12" s="149"/>
      <c r="C12" s="78">
        <v>3</v>
      </c>
    </row>
    <row r="13" spans="1:5" x14ac:dyDescent="0.25">
      <c r="A13" s="148" t="s">
        <v>1027</v>
      </c>
      <c r="B13" s="149"/>
      <c r="C13" s="80">
        <f>C9/C8</f>
        <v>0.42105263157894735</v>
      </c>
    </row>
    <row r="14" spans="1:5" x14ac:dyDescent="0.25">
      <c r="A14" s="148" t="s">
        <v>1028</v>
      </c>
      <c r="B14" s="149"/>
      <c r="C14" s="80">
        <f>C10/C8</f>
        <v>0.36842105263157893</v>
      </c>
    </row>
    <row r="15" spans="1:5" x14ac:dyDescent="0.25">
      <c r="A15" s="148" t="s">
        <v>1029</v>
      </c>
      <c r="B15" s="149"/>
      <c r="C15" s="80">
        <f>C11/C8</f>
        <v>0.21052631578947367</v>
      </c>
    </row>
    <row r="16" spans="1:5" x14ac:dyDescent="0.25">
      <c r="A16" s="148" t="s">
        <v>609</v>
      </c>
      <c r="B16" s="149"/>
      <c r="C16" s="67">
        <f>IF(C13&gt;=50%,4,IF(C14&gt;=50%,(8*C12)-24,IF(C15&gt;=50%,(56-(8*C12))/5,0)))</f>
        <v>0</v>
      </c>
    </row>
    <row r="17" spans="1:5" x14ac:dyDescent="0.25">
      <c r="A17" s="11"/>
      <c r="B17" s="106"/>
      <c r="C17" s="106"/>
    </row>
    <row r="18" spans="1:5" ht="28.5" x14ac:dyDescent="0.25">
      <c r="A18" s="95" t="s">
        <v>615</v>
      </c>
      <c r="B18" s="96"/>
      <c r="C18" s="96"/>
      <c r="D18" s="97"/>
      <c r="E18" s="68">
        <f>C16</f>
        <v>0</v>
      </c>
    </row>
    <row r="19" spans="1:5" x14ac:dyDescent="0.25">
      <c r="A19" s="9"/>
      <c r="B19" s="9"/>
      <c r="C19" s="9"/>
      <c r="D19" s="9"/>
      <c r="E19" s="9"/>
    </row>
    <row r="20" spans="1:5" ht="78.75" x14ac:dyDescent="0.45">
      <c r="A20" s="69" t="s">
        <v>188</v>
      </c>
      <c r="B20" s="118" t="s">
        <v>1107</v>
      </c>
      <c r="C20" s="118"/>
      <c r="D20" s="118"/>
      <c r="E20" s="118"/>
    </row>
  </sheetData>
  <mergeCells count="14">
    <mergeCell ref="A1:D1"/>
    <mergeCell ref="A3:E3"/>
    <mergeCell ref="B20:E20"/>
    <mergeCell ref="A8:B8"/>
    <mergeCell ref="A9:B9"/>
    <mergeCell ref="A10:B10"/>
    <mergeCell ref="A11:B11"/>
    <mergeCell ref="A12:B12"/>
    <mergeCell ref="A13:B13"/>
    <mergeCell ref="A14:B14"/>
    <mergeCell ref="A15:B15"/>
    <mergeCell ref="A16:B16"/>
    <mergeCell ref="B17:C17"/>
    <mergeCell ref="A18:D18"/>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D21" sqref="D21"/>
    </sheetView>
  </sheetViews>
  <sheetFormatPr defaultRowHeight="15" x14ac:dyDescent="0.25"/>
  <cols>
    <col min="1" max="5" width="25.7109375" customWidth="1"/>
  </cols>
  <sheetData>
    <row r="1" spans="1:5" ht="57" x14ac:dyDescent="0.85">
      <c r="A1" s="101" t="s">
        <v>14</v>
      </c>
      <c r="B1" s="101"/>
      <c r="C1" s="101"/>
      <c r="D1" s="101"/>
      <c r="E1" s="26" t="s">
        <v>419</v>
      </c>
    </row>
    <row r="3" spans="1:5" x14ac:dyDescent="0.25">
      <c r="A3" s="102" t="s">
        <v>4</v>
      </c>
      <c r="B3" s="102"/>
      <c r="C3" s="102"/>
      <c r="D3" s="102"/>
      <c r="E3" s="102"/>
    </row>
    <row r="4" spans="1:5" ht="30" x14ac:dyDescent="0.25">
      <c r="A4" s="50" t="s">
        <v>0</v>
      </c>
      <c r="B4" s="50" t="s">
        <v>1</v>
      </c>
      <c r="C4" s="50" t="s">
        <v>2</v>
      </c>
      <c r="D4" s="50" t="s">
        <v>3</v>
      </c>
      <c r="E4" s="15" t="s">
        <v>537</v>
      </c>
    </row>
    <row r="5" spans="1:5" ht="60" x14ac:dyDescent="0.25">
      <c r="A5" s="56" t="s">
        <v>1030</v>
      </c>
      <c r="B5" s="56" t="s">
        <v>278</v>
      </c>
      <c r="C5" s="56" t="s">
        <v>279</v>
      </c>
      <c r="D5" s="56" t="s">
        <v>280</v>
      </c>
      <c r="E5" s="57" t="s">
        <v>1100</v>
      </c>
    </row>
    <row r="7" spans="1:5" x14ac:dyDescent="0.25">
      <c r="A7" t="s">
        <v>610</v>
      </c>
    </row>
    <row r="8" spans="1:5" x14ac:dyDescent="0.25">
      <c r="A8" s="148" t="s">
        <v>1022</v>
      </c>
      <c r="B8" s="149"/>
      <c r="C8" s="77">
        <v>190</v>
      </c>
    </row>
    <row r="9" spans="1:5" x14ac:dyDescent="0.25">
      <c r="A9" s="148" t="s">
        <v>1023</v>
      </c>
      <c r="B9" s="149"/>
      <c r="C9" s="77">
        <v>80</v>
      </c>
    </row>
    <row r="10" spans="1:5" x14ac:dyDescent="0.25">
      <c r="A10" s="148" t="s">
        <v>1027</v>
      </c>
      <c r="B10" s="149"/>
      <c r="C10" s="80">
        <f>C9/C8</f>
        <v>0.42105263157894735</v>
      </c>
    </row>
    <row r="11" spans="1:5" x14ac:dyDescent="0.25">
      <c r="A11" s="148" t="s">
        <v>609</v>
      </c>
      <c r="B11" s="149"/>
      <c r="C11" s="67">
        <f>IF(C10&gt;=50%,4,1+(6*C10))</f>
        <v>3.5263157894736841</v>
      </c>
    </row>
    <row r="12" spans="1:5" x14ac:dyDescent="0.25">
      <c r="A12" s="11"/>
      <c r="B12" s="106"/>
      <c r="C12" s="106"/>
    </row>
    <row r="13" spans="1:5" ht="28.5" x14ac:dyDescent="0.25">
      <c r="A13" s="95" t="s">
        <v>615</v>
      </c>
      <c r="B13" s="96"/>
      <c r="C13" s="96"/>
      <c r="D13" s="97"/>
      <c r="E13" s="68">
        <f>C11</f>
        <v>3.5263157894736841</v>
      </c>
    </row>
    <row r="14" spans="1:5" x14ac:dyDescent="0.25">
      <c r="A14" s="9"/>
      <c r="B14" s="9"/>
      <c r="C14" s="9"/>
      <c r="D14" s="9"/>
      <c r="E14" s="9"/>
    </row>
    <row r="15" spans="1:5" ht="78.75" x14ac:dyDescent="0.45">
      <c r="A15" s="69" t="s">
        <v>188</v>
      </c>
      <c r="B15" s="118" t="s">
        <v>1107</v>
      </c>
      <c r="C15" s="118"/>
      <c r="D15" s="118"/>
      <c r="E15" s="118"/>
    </row>
  </sheetData>
  <mergeCells count="9">
    <mergeCell ref="A1:D1"/>
    <mergeCell ref="A3:E3"/>
    <mergeCell ref="B15:E15"/>
    <mergeCell ref="A8:B8"/>
    <mergeCell ref="A9:B9"/>
    <mergeCell ref="A10:B10"/>
    <mergeCell ref="A11:B11"/>
    <mergeCell ref="B12:C12"/>
    <mergeCell ref="A13:D13"/>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D21" sqref="D21"/>
    </sheetView>
  </sheetViews>
  <sheetFormatPr defaultRowHeight="15" x14ac:dyDescent="0.25"/>
  <cols>
    <col min="1" max="5" width="25.7109375" customWidth="1"/>
  </cols>
  <sheetData>
    <row r="1" spans="1:5" ht="57" x14ac:dyDescent="0.85">
      <c r="A1" s="101" t="s">
        <v>14</v>
      </c>
      <c r="B1" s="101"/>
      <c r="C1" s="101"/>
      <c r="D1" s="101"/>
      <c r="E1" s="26" t="s">
        <v>420</v>
      </c>
    </row>
    <row r="3" spans="1:5" x14ac:dyDescent="0.25">
      <c r="A3" s="102" t="s">
        <v>4</v>
      </c>
      <c r="B3" s="102"/>
      <c r="C3" s="102"/>
      <c r="D3" s="102"/>
      <c r="E3" s="102"/>
    </row>
    <row r="4" spans="1:5" ht="30" x14ac:dyDescent="0.25">
      <c r="A4" s="50" t="s">
        <v>0</v>
      </c>
      <c r="B4" s="50" t="s">
        <v>1</v>
      </c>
      <c r="C4" s="50" t="s">
        <v>2</v>
      </c>
      <c r="D4" s="50" t="s">
        <v>3</v>
      </c>
      <c r="E4" s="15" t="s">
        <v>537</v>
      </c>
    </row>
    <row r="5" spans="1:5" x14ac:dyDescent="0.25">
      <c r="A5" s="107" t="s">
        <v>1031</v>
      </c>
      <c r="B5" s="107" t="s">
        <v>281</v>
      </c>
      <c r="C5" s="107" t="s">
        <v>285</v>
      </c>
      <c r="D5" s="33" t="s">
        <v>282</v>
      </c>
      <c r="E5" s="110" t="s">
        <v>1101</v>
      </c>
    </row>
    <row r="6" spans="1:5" x14ac:dyDescent="0.25">
      <c r="A6" s="107"/>
      <c r="B6" s="107"/>
      <c r="C6" s="107"/>
      <c r="D6" s="32" t="s">
        <v>283</v>
      </c>
      <c r="E6" s="111"/>
    </row>
    <row r="7" spans="1:5" ht="30" x14ac:dyDescent="0.25">
      <c r="A7" s="107"/>
      <c r="B7" s="107"/>
      <c r="C7" s="107"/>
      <c r="D7" s="32" t="s">
        <v>284</v>
      </c>
      <c r="E7" s="111"/>
    </row>
    <row r="8" spans="1:5" x14ac:dyDescent="0.25">
      <c r="A8" s="107"/>
      <c r="B8" s="107"/>
      <c r="C8" s="107"/>
      <c r="D8" s="32" t="s">
        <v>280</v>
      </c>
      <c r="E8" s="111"/>
    </row>
    <row r="10" spans="1:5" x14ac:dyDescent="0.25">
      <c r="A10" t="s">
        <v>610</v>
      </c>
    </row>
    <row r="11" spans="1:5" x14ac:dyDescent="0.25">
      <c r="A11" s="148" t="s">
        <v>1022</v>
      </c>
      <c r="B11" s="149"/>
      <c r="C11" s="77">
        <v>190</v>
      </c>
      <c r="D11" s="81"/>
    </row>
    <row r="12" spans="1:5" x14ac:dyDescent="0.25">
      <c r="A12" s="148" t="s">
        <v>1032</v>
      </c>
      <c r="B12" s="149"/>
      <c r="C12" s="77">
        <v>180</v>
      </c>
      <c r="D12" s="81"/>
    </row>
    <row r="13" spans="1:5" x14ac:dyDescent="0.25">
      <c r="A13" s="148" t="s">
        <v>1033</v>
      </c>
      <c r="B13" s="149"/>
      <c r="C13" s="80">
        <f>C12/C11</f>
        <v>0.94736842105263153</v>
      </c>
      <c r="D13" s="81"/>
    </row>
    <row r="14" spans="1:5" x14ac:dyDescent="0.25">
      <c r="A14" s="148" t="s">
        <v>609</v>
      </c>
      <c r="B14" s="149"/>
      <c r="C14" s="67">
        <f>IF(C13&gt;=85%,4,IF(AND(30%&lt;=C13,C13&lt;85%),((80*C13)-24)/11,0))</f>
        <v>4</v>
      </c>
    </row>
    <row r="15" spans="1:5" x14ac:dyDescent="0.25">
      <c r="A15" s="11"/>
      <c r="B15" s="159"/>
      <c r="C15" s="159"/>
    </row>
    <row r="16" spans="1:5" ht="28.5" x14ac:dyDescent="0.25">
      <c r="A16" s="95" t="s">
        <v>615</v>
      </c>
      <c r="B16" s="96"/>
      <c r="C16" s="96"/>
      <c r="D16" s="97"/>
      <c r="E16" s="68">
        <f>C14</f>
        <v>4</v>
      </c>
    </row>
    <row r="17" spans="1:5" x14ac:dyDescent="0.25">
      <c r="A17" s="9"/>
      <c r="B17" s="9"/>
      <c r="C17" s="9"/>
      <c r="D17" s="9"/>
      <c r="E17" s="9"/>
    </row>
    <row r="18" spans="1:5" ht="78.75" x14ac:dyDescent="0.45">
      <c r="A18" s="69" t="s">
        <v>188</v>
      </c>
      <c r="B18" s="152" t="s">
        <v>1107</v>
      </c>
      <c r="C18" s="153"/>
      <c r="D18" s="153"/>
      <c r="E18" s="154"/>
    </row>
  </sheetData>
  <mergeCells count="13">
    <mergeCell ref="A1:D1"/>
    <mergeCell ref="A3:E3"/>
    <mergeCell ref="A5:A8"/>
    <mergeCell ref="B5:B8"/>
    <mergeCell ref="C5:C8"/>
    <mergeCell ref="E5:E8"/>
    <mergeCell ref="B18:E18"/>
    <mergeCell ref="A11:B11"/>
    <mergeCell ref="A12:B12"/>
    <mergeCell ref="A13:B13"/>
    <mergeCell ref="A14:B14"/>
    <mergeCell ref="B15:C15"/>
    <mergeCell ref="A16:D16"/>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election activeCell="E24" sqref="E24"/>
    </sheetView>
  </sheetViews>
  <sheetFormatPr defaultRowHeight="15" x14ac:dyDescent="0.25"/>
  <cols>
    <col min="1" max="5" width="25.7109375" customWidth="1"/>
  </cols>
  <sheetData>
    <row r="1" spans="1:5" ht="57" x14ac:dyDescent="0.85">
      <c r="A1" s="101" t="s">
        <v>14</v>
      </c>
      <c r="B1" s="101"/>
      <c r="C1" s="101"/>
      <c r="D1" s="101"/>
      <c r="E1" s="26" t="s">
        <v>421</v>
      </c>
    </row>
    <row r="3" spans="1:5" x14ac:dyDescent="0.25">
      <c r="A3" s="102" t="s">
        <v>4</v>
      </c>
      <c r="B3" s="102"/>
      <c r="C3" s="102"/>
      <c r="D3" s="102"/>
      <c r="E3" s="102"/>
    </row>
    <row r="4" spans="1:5" ht="30" x14ac:dyDescent="0.25">
      <c r="A4" s="50" t="s">
        <v>0</v>
      </c>
      <c r="B4" s="50" t="s">
        <v>1</v>
      </c>
      <c r="C4" s="50" t="s">
        <v>2</v>
      </c>
      <c r="D4" s="50" t="s">
        <v>3</v>
      </c>
      <c r="E4" s="15" t="s">
        <v>537</v>
      </c>
    </row>
    <row r="5" spans="1:5" ht="54.95" customHeight="1" x14ac:dyDescent="0.25">
      <c r="A5" s="115" t="s">
        <v>1034</v>
      </c>
      <c r="B5" s="115" t="s">
        <v>286</v>
      </c>
      <c r="C5" s="115" t="s">
        <v>287</v>
      </c>
      <c r="D5" s="34" t="s">
        <v>291</v>
      </c>
      <c r="E5" s="108" t="s">
        <v>1102</v>
      </c>
    </row>
    <row r="6" spans="1:5" ht="54.95" customHeight="1" x14ac:dyDescent="0.25">
      <c r="A6" s="116"/>
      <c r="B6" s="116"/>
      <c r="C6" s="116"/>
      <c r="D6" s="32" t="s">
        <v>290</v>
      </c>
      <c r="E6" s="114"/>
    </row>
    <row r="7" spans="1:5" ht="54.95" customHeight="1" x14ac:dyDescent="0.25">
      <c r="A7" s="116"/>
      <c r="B7" s="116"/>
      <c r="C7" s="116"/>
      <c r="D7" s="32" t="s">
        <v>280</v>
      </c>
      <c r="E7" s="114"/>
    </row>
    <row r="8" spans="1:5" ht="54.95" customHeight="1" x14ac:dyDescent="0.25">
      <c r="A8" s="116"/>
      <c r="B8" s="116"/>
      <c r="C8" s="116"/>
      <c r="D8" s="32" t="s">
        <v>289</v>
      </c>
      <c r="E8" s="114"/>
    </row>
    <row r="9" spans="1:5" ht="54.95" customHeight="1" x14ac:dyDescent="0.25">
      <c r="A9" s="116"/>
      <c r="B9" s="116"/>
      <c r="C9" s="116"/>
      <c r="D9" s="115" t="s">
        <v>288</v>
      </c>
      <c r="E9" s="114"/>
    </row>
    <row r="10" spans="1:5" ht="54.95" customHeight="1" x14ac:dyDescent="0.25">
      <c r="A10" s="117"/>
      <c r="B10" s="117"/>
      <c r="C10" s="117"/>
      <c r="D10" s="117"/>
      <c r="E10" s="109"/>
    </row>
    <row r="12" spans="1:5" x14ac:dyDescent="0.25">
      <c r="A12" s="104" t="s">
        <v>7</v>
      </c>
      <c r="B12" s="104"/>
      <c r="C12" s="104"/>
      <c r="D12" s="104"/>
      <c r="E12" s="104"/>
    </row>
    <row r="13" spans="1:5" x14ac:dyDescent="0.25">
      <c r="A13" s="59" t="s">
        <v>8</v>
      </c>
      <c r="B13" s="59" t="s">
        <v>9</v>
      </c>
      <c r="C13" s="59" t="s">
        <v>10</v>
      </c>
      <c r="D13" s="59" t="s">
        <v>11</v>
      </c>
      <c r="E13" s="59" t="s">
        <v>12</v>
      </c>
    </row>
    <row r="14" spans="1:5" ht="90" x14ac:dyDescent="0.25">
      <c r="A14" s="56" t="s">
        <v>1035</v>
      </c>
      <c r="B14" s="56" t="s">
        <v>1036</v>
      </c>
      <c r="C14" s="56" t="s">
        <v>1084</v>
      </c>
      <c r="D14" s="56" t="s">
        <v>1085</v>
      </c>
      <c r="E14" s="56" t="s">
        <v>1086</v>
      </c>
    </row>
    <row r="15" spans="1:5" x14ac:dyDescent="0.25">
      <c r="A15" s="11"/>
      <c r="B15" s="159"/>
      <c r="C15" s="159"/>
    </row>
    <row r="16" spans="1:5" ht="28.5" x14ac:dyDescent="0.25">
      <c r="A16" s="95" t="s">
        <v>126</v>
      </c>
      <c r="B16" s="96"/>
      <c r="C16" s="96"/>
      <c r="D16" s="97"/>
      <c r="E16" s="85">
        <v>3</v>
      </c>
    </row>
    <row r="17" spans="1:5" x14ac:dyDescent="0.25">
      <c r="A17" s="9"/>
      <c r="B17" s="9"/>
      <c r="C17" s="9"/>
      <c r="D17" s="9"/>
      <c r="E17" s="9"/>
    </row>
    <row r="18" spans="1:5" ht="28.5" x14ac:dyDescent="0.25">
      <c r="A18" s="95" t="s">
        <v>187</v>
      </c>
      <c r="B18" s="96"/>
      <c r="C18" s="96"/>
      <c r="D18" s="97"/>
      <c r="E18" s="86">
        <v>2</v>
      </c>
    </row>
    <row r="19" spans="1:5" x14ac:dyDescent="0.25">
      <c r="A19" s="9"/>
      <c r="B19" s="9"/>
      <c r="C19" s="9"/>
      <c r="D19" s="9"/>
      <c r="E19" s="9"/>
    </row>
    <row r="20" spans="1:5" ht="78.75" x14ac:dyDescent="0.45">
      <c r="A20" s="69" t="s">
        <v>188</v>
      </c>
      <c r="B20" s="152" t="s">
        <v>1107</v>
      </c>
      <c r="C20" s="153"/>
      <c r="D20" s="153"/>
      <c r="E20" s="154"/>
    </row>
  </sheetData>
  <mergeCells count="12">
    <mergeCell ref="A1:D1"/>
    <mergeCell ref="A3:E3"/>
    <mergeCell ref="A5:A10"/>
    <mergeCell ref="B5:B10"/>
    <mergeCell ref="C5:C10"/>
    <mergeCell ref="E5:E10"/>
    <mergeCell ref="D9:D10"/>
    <mergeCell ref="A12:E12"/>
    <mergeCell ref="B15:C15"/>
    <mergeCell ref="A16:D16"/>
    <mergeCell ref="A18:D18"/>
    <mergeCell ref="B20:E20"/>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election activeCell="B13" sqref="B13:E13"/>
    </sheetView>
  </sheetViews>
  <sheetFormatPr defaultRowHeight="15" x14ac:dyDescent="0.25"/>
  <cols>
    <col min="1" max="5" width="25.7109375" customWidth="1"/>
  </cols>
  <sheetData>
    <row r="1" spans="1:5" ht="57" x14ac:dyDescent="0.85">
      <c r="A1" s="101" t="s">
        <v>14</v>
      </c>
      <c r="B1" s="101"/>
      <c r="C1" s="101"/>
      <c r="D1" s="101"/>
      <c r="E1" s="26" t="s">
        <v>423</v>
      </c>
    </row>
    <row r="3" spans="1:5" x14ac:dyDescent="0.25">
      <c r="A3" s="102" t="s">
        <v>4</v>
      </c>
      <c r="B3" s="102"/>
      <c r="C3" s="102"/>
      <c r="D3" s="102"/>
      <c r="E3" s="102"/>
    </row>
    <row r="4" spans="1:5" ht="30" x14ac:dyDescent="0.25">
      <c r="A4" s="50" t="s">
        <v>0</v>
      </c>
      <c r="B4" s="50" t="s">
        <v>1</v>
      </c>
      <c r="C4" s="50" t="s">
        <v>2</v>
      </c>
      <c r="D4" s="50" t="s">
        <v>3</v>
      </c>
      <c r="E4" s="15" t="s">
        <v>537</v>
      </c>
    </row>
    <row r="5" spans="1:5" ht="90" x14ac:dyDescent="0.25">
      <c r="A5" s="56" t="s">
        <v>292</v>
      </c>
      <c r="B5" s="56" t="s">
        <v>293</v>
      </c>
      <c r="C5" s="56" t="s">
        <v>294</v>
      </c>
      <c r="D5" s="56" t="s">
        <v>290</v>
      </c>
      <c r="E5" s="57" t="s">
        <v>1103</v>
      </c>
    </row>
    <row r="7" spans="1:5" x14ac:dyDescent="0.25">
      <c r="A7" t="s">
        <v>610</v>
      </c>
    </row>
    <row r="8" spans="1:5" x14ac:dyDescent="0.25">
      <c r="A8" s="150" t="s">
        <v>1037</v>
      </c>
      <c r="B8" s="151"/>
      <c r="C8" s="82">
        <v>6.5</v>
      </c>
    </row>
    <row r="9" spans="1:5" x14ac:dyDescent="0.25">
      <c r="A9" s="148" t="s">
        <v>609</v>
      </c>
      <c r="B9" s="149"/>
      <c r="C9" s="67">
        <f>IF(C8&lt;6,4,IF(AND(6&lt;=C8,C8&lt;=18),(18-C8)/3,0))</f>
        <v>3.8333333333333335</v>
      </c>
    </row>
    <row r="11" spans="1:5" ht="28.5" x14ac:dyDescent="0.25">
      <c r="A11" s="95" t="s">
        <v>615</v>
      </c>
      <c r="B11" s="96"/>
      <c r="C11" s="96"/>
      <c r="D11" s="97"/>
      <c r="E11" s="68">
        <f>C9</f>
        <v>3.8333333333333335</v>
      </c>
    </row>
    <row r="12" spans="1:5" x14ac:dyDescent="0.25">
      <c r="A12" s="9"/>
      <c r="B12" s="9"/>
      <c r="C12" s="9"/>
      <c r="D12" s="9"/>
      <c r="E12" s="9"/>
    </row>
    <row r="13" spans="1:5" ht="78.75" x14ac:dyDescent="0.45">
      <c r="A13" s="69" t="s">
        <v>188</v>
      </c>
      <c r="B13" s="118" t="s">
        <v>1107</v>
      </c>
      <c r="C13" s="118"/>
      <c r="D13" s="118"/>
      <c r="E13" s="118"/>
    </row>
  </sheetData>
  <mergeCells count="6">
    <mergeCell ref="A8:B8"/>
    <mergeCell ref="A9:B9"/>
    <mergeCell ref="A11:D11"/>
    <mergeCell ref="B13:E13"/>
    <mergeCell ref="A1:D1"/>
    <mergeCell ref="A3:E3"/>
  </mergeCell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B15" sqref="B15:E15"/>
    </sheetView>
  </sheetViews>
  <sheetFormatPr defaultRowHeight="15" x14ac:dyDescent="0.25"/>
  <cols>
    <col min="1" max="5" width="25.7109375" customWidth="1"/>
  </cols>
  <sheetData>
    <row r="1" spans="1:5" ht="57" x14ac:dyDescent="0.85">
      <c r="A1" s="101" t="s">
        <v>14</v>
      </c>
      <c r="B1" s="101"/>
      <c r="C1" s="101"/>
      <c r="D1" s="101"/>
      <c r="E1" s="26" t="s">
        <v>424</v>
      </c>
    </row>
    <row r="3" spans="1:5" x14ac:dyDescent="0.25">
      <c r="A3" s="102" t="s">
        <v>4</v>
      </c>
      <c r="B3" s="102"/>
      <c r="C3" s="102"/>
      <c r="D3" s="102"/>
      <c r="E3" s="102"/>
    </row>
    <row r="4" spans="1:5" ht="30" x14ac:dyDescent="0.25">
      <c r="A4" s="50" t="s">
        <v>0</v>
      </c>
      <c r="B4" s="50" t="s">
        <v>1</v>
      </c>
      <c r="C4" s="50" t="s">
        <v>2</v>
      </c>
      <c r="D4" s="50" t="s">
        <v>3</v>
      </c>
      <c r="E4" s="15" t="s">
        <v>537</v>
      </c>
    </row>
    <row r="5" spans="1:5" ht="105" x14ac:dyDescent="0.25">
      <c r="A5" s="56" t="s">
        <v>295</v>
      </c>
      <c r="B5" s="56" t="s">
        <v>296</v>
      </c>
      <c r="C5" s="56" t="s">
        <v>297</v>
      </c>
      <c r="D5" s="56" t="s">
        <v>290</v>
      </c>
      <c r="E5" s="57" t="s">
        <v>1104</v>
      </c>
    </row>
    <row r="7" spans="1:5" x14ac:dyDescent="0.25">
      <c r="A7" t="s">
        <v>610</v>
      </c>
    </row>
    <row r="8" spans="1:5" x14ac:dyDescent="0.25">
      <c r="A8" s="148" t="s">
        <v>1038</v>
      </c>
      <c r="B8" s="149"/>
      <c r="C8" s="77">
        <v>180</v>
      </c>
    </row>
    <row r="9" spans="1:5" x14ac:dyDescent="0.25">
      <c r="A9" s="148" t="s">
        <v>1039</v>
      </c>
      <c r="B9" s="149"/>
      <c r="C9" s="77">
        <v>100</v>
      </c>
    </row>
    <row r="10" spans="1:5" x14ac:dyDescent="0.25">
      <c r="A10" s="148" t="s">
        <v>1040</v>
      </c>
      <c r="B10" s="149"/>
      <c r="C10" s="80">
        <f>C9/C8</f>
        <v>0.55555555555555558</v>
      </c>
    </row>
    <row r="11" spans="1:5" x14ac:dyDescent="0.25">
      <c r="A11" s="148" t="s">
        <v>609</v>
      </c>
      <c r="B11" s="149"/>
      <c r="C11" s="67">
        <f>IF(C10&gt;=60%,4,(20*C10)/3)</f>
        <v>3.7037037037037037</v>
      </c>
    </row>
    <row r="13" spans="1:5" ht="28.5" x14ac:dyDescent="0.25">
      <c r="A13" s="95" t="s">
        <v>615</v>
      </c>
      <c r="B13" s="96"/>
      <c r="C13" s="96"/>
      <c r="D13" s="97"/>
      <c r="E13" s="68">
        <f>C11</f>
        <v>3.7037037037037037</v>
      </c>
    </row>
    <row r="14" spans="1:5" x14ac:dyDescent="0.25">
      <c r="A14" s="9"/>
      <c r="B14" s="9"/>
      <c r="C14" s="9"/>
      <c r="D14" s="9"/>
      <c r="E14" s="9"/>
    </row>
    <row r="15" spans="1:5" ht="78.75" x14ac:dyDescent="0.45">
      <c r="A15" s="69" t="s">
        <v>188</v>
      </c>
      <c r="B15" s="118" t="s">
        <v>1107</v>
      </c>
      <c r="C15" s="118"/>
      <c r="D15" s="118"/>
      <c r="E15" s="118"/>
    </row>
  </sheetData>
  <mergeCells count="8">
    <mergeCell ref="B15:E15"/>
    <mergeCell ref="A1:D1"/>
    <mergeCell ref="A3:E3"/>
    <mergeCell ref="A8:B8"/>
    <mergeCell ref="A9:B9"/>
    <mergeCell ref="A10:B10"/>
    <mergeCell ref="A11:B11"/>
    <mergeCell ref="A13:D13"/>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zoomScale="90" zoomScaleNormal="90" workbookViewId="0">
      <selection activeCell="B22" sqref="B22:E22"/>
    </sheetView>
  </sheetViews>
  <sheetFormatPr defaultRowHeight="15" x14ac:dyDescent="0.25"/>
  <cols>
    <col min="1" max="5" width="25.7109375" customWidth="1"/>
  </cols>
  <sheetData>
    <row r="1" spans="1:5" ht="57" x14ac:dyDescent="0.85">
      <c r="A1" s="101" t="s">
        <v>14</v>
      </c>
      <c r="B1" s="101"/>
      <c r="C1" s="101"/>
      <c r="D1" s="101"/>
      <c r="E1" s="26" t="s">
        <v>425</v>
      </c>
    </row>
    <row r="3" spans="1:5" x14ac:dyDescent="0.25">
      <c r="A3" s="102" t="s">
        <v>4</v>
      </c>
      <c r="B3" s="102"/>
      <c r="C3" s="102"/>
      <c r="D3" s="102"/>
      <c r="E3" s="102"/>
    </row>
    <row r="4" spans="1:5" ht="30" x14ac:dyDescent="0.25">
      <c r="A4" s="50" t="s">
        <v>0</v>
      </c>
      <c r="B4" s="50" t="s">
        <v>1</v>
      </c>
      <c r="C4" s="50" t="s">
        <v>2</v>
      </c>
      <c r="D4" s="50" t="s">
        <v>3</v>
      </c>
      <c r="E4" s="15" t="s">
        <v>537</v>
      </c>
    </row>
    <row r="5" spans="1:5" ht="120" x14ac:dyDescent="0.25">
      <c r="A5" s="56" t="s">
        <v>1041</v>
      </c>
      <c r="B5" s="56" t="s">
        <v>1087</v>
      </c>
      <c r="C5" s="56" t="s">
        <v>1041</v>
      </c>
      <c r="D5" s="32" t="s">
        <v>290</v>
      </c>
      <c r="E5" s="57" t="s">
        <v>1088</v>
      </c>
    </row>
    <row r="7" spans="1:5" x14ac:dyDescent="0.25">
      <c r="A7" t="s">
        <v>610</v>
      </c>
    </row>
    <row r="8" spans="1:5" x14ac:dyDescent="0.25">
      <c r="A8" s="150" t="s">
        <v>1043</v>
      </c>
      <c r="B8" s="151"/>
      <c r="C8" s="64">
        <v>180</v>
      </c>
    </row>
    <row r="9" spans="1:5" ht="30" customHeight="1" x14ac:dyDescent="0.25">
      <c r="A9" s="150" t="s">
        <v>1044</v>
      </c>
      <c r="B9" s="151"/>
      <c r="C9" s="64">
        <v>80</v>
      </c>
    </row>
    <row r="10" spans="1:5" ht="30" customHeight="1" x14ac:dyDescent="0.25">
      <c r="A10" s="150" t="s">
        <v>1045</v>
      </c>
      <c r="B10" s="151"/>
      <c r="C10" s="60">
        <v>70</v>
      </c>
    </row>
    <row r="11" spans="1:5" ht="30" customHeight="1" x14ac:dyDescent="0.25">
      <c r="A11" s="150" t="s">
        <v>1046</v>
      </c>
      <c r="B11" s="151"/>
      <c r="C11" s="60">
        <v>30</v>
      </c>
    </row>
    <row r="12" spans="1:5" x14ac:dyDescent="0.25">
      <c r="A12" s="150" t="s">
        <v>1013</v>
      </c>
      <c r="B12" s="151"/>
      <c r="C12" s="80">
        <v>0.05</v>
      </c>
      <c r="D12" s="1"/>
      <c r="E12" s="83"/>
    </row>
    <row r="13" spans="1:5" x14ac:dyDescent="0.25">
      <c r="A13" s="150" t="s">
        <v>1014</v>
      </c>
      <c r="B13" s="151"/>
      <c r="C13" s="80">
        <v>0.2</v>
      </c>
      <c r="D13" s="1"/>
      <c r="E13" s="83"/>
    </row>
    <row r="14" spans="1:5" x14ac:dyDescent="0.25">
      <c r="A14" s="150" t="s">
        <v>1015</v>
      </c>
      <c r="B14" s="151"/>
      <c r="C14" s="80">
        <v>0.9</v>
      </c>
      <c r="D14" s="1"/>
      <c r="E14" s="83"/>
    </row>
    <row r="15" spans="1:5" x14ac:dyDescent="0.25">
      <c r="A15" s="150" t="s">
        <v>1016</v>
      </c>
      <c r="B15" s="151"/>
      <c r="C15" s="79">
        <f>C9/C8</f>
        <v>0.44444444444444442</v>
      </c>
      <c r="D15" s="1"/>
      <c r="E15" s="83"/>
    </row>
    <row r="16" spans="1:5" x14ac:dyDescent="0.25">
      <c r="A16" s="150" t="s">
        <v>1017</v>
      </c>
      <c r="B16" s="151"/>
      <c r="C16" s="79">
        <f>C10/C8</f>
        <v>0.3888888888888889</v>
      </c>
      <c r="D16" s="1"/>
      <c r="E16" s="83"/>
    </row>
    <row r="17" spans="1:5" x14ac:dyDescent="0.25">
      <c r="A17" s="150" t="s">
        <v>1018</v>
      </c>
      <c r="B17" s="151"/>
      <c r="C17" s="79">
        <f>C11/C8</f>
        <v>0.16666666666666666</v>
      </c>
    </row>
    <row r="18" spans="1:5" x14ac:dyDescent="0.25">
      <c r="A18" s="146" t="s">
        <v>609</v>
      </c>
      <c r="B18" s="146"/>
      <c r="C18" s="67">
        <f>IF(C15&gt;=C12,4,IF(AND(C15&lt;C12,C16&gt;=C13),3+(C15/C12),IF(AND(0&lt;C15,C15&lt;C12,0&lt;C16,C16&lt;C13),2+(2*(C15/C12))+(C16/C13)-((C15*C16)/(C12*C13)),IF(AND(C15=0,C16=0,C17&gt;=C14),2,IF(AND(C15=0,C16=0,C17&lt;C14),(2*C17)/C14,0)))))</f>
        <v>4</v>
      </c>
    </row>
    <row r="20" spans="1:5" ht="28.5" x14ac:dyDescent="0.25">
      <c r="A20" s="95" t="s">
        <v>615</v>
      </c>
      <c r="B20" s="96"/>
      <c r="C20" s="96"/>
      <c r="D20" s="97"/>
      <c r="E20" s="68">
        <f>C18</f>
        <v>4</v>
      </c>
    </row>
    <row r="21" spans="1:5" x14ac:dyDescent="0.25">
      <c r="A21" s="9"/>
      <c r="B21" s="9"/>
      <c r="C21" s="9"/>
      <c r="D21" s="9"/>
      <c r="E21" s="9"/>
    </row>
    <row r="22" spans="1:5" ht="78.75" x14ac:dyDescent="0.45">
      <c r="A22" s="69" t="s">
        <v>188</v>
      </c>
      <c r="B22" s="118" t="s">
        <v>1107</v>
      </c>
      <c r="C22" s="118"/>
      <c r="D22" s="118"/>
      <c r="E22" s="118"/>
    </row>
  </sheetData>
  <mergeCells count="15">
    <mergeCell ref="A13:B13"/>
    <mergeCell ref="A1:D1"/>
    <mergeCell ref="A3:E3"/>
    <mergeCell ref="A8:B8"/>
    <mergeCell ref="A9:B9"/>
    <mergeCell ref="A10:B10"/>
    <mergeCell ref="A11:B11"/>
    <mergeCell ref="A12:B12"/>
    <mergeCell ref="B22:E22"/>
    <mergeCell ref="A14:B14"/>
    <mergeCell ref="A15:B15"/>
    <mergeCell ref="A16:B16"/>
    <mergeCell ref="A17:B17"/>
    <mergeCell ref="A18:B18"/>
    <mergeCell ref="A20:D20"/>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10" workbookViewId="0">
      <selection activeCell="B17" sqref="B17:E17"/>
    </sheetView>
  </sheetViews>
  <sheetFormatPr defaultRowHeight="15" x14ac:dyDescent="0.25"/>
  <cols>
    <col min="1" max="5" width="25.7109375" customWidth="1"/>
  </cols>
  <sheetData>
    <row r="1" spans="1:5" ht="57" x14ac:dyDescent="0.85">
      <c r="A1" s="101" t="s">
        <v>14</v>
      </c>
      <c r="B1" s="101"/>
      <c r="C1" s="101"/>
      <c r="D1" s="101"/>
      <c r="E1" s="26" t="s">
        <v>1047</v>
      </c>
    </row>
    <row r="3" spans="1:5" x14ac:dyDescent="0.25">
      <c r="A3" s="102" t="s">
        <v>4</v>
      </c>
      <c r="B3" s="102"/>
      <c r="C3" s="102"/>
      <c r="D3" s="102"/>
      <c r="E3" s="102"/>
    </row>
    <row r="4" spans="1:5" ht="30" x14ac:dyDescent="0.25">
      <c r="A4" s="50" t="s">
        <v>0</v>
      </c>
      <c r="B4" s="50" t="s">
        <v>1</v>
      </c>
      <c r="C4" s="50" t="s">
        <v>2</v>
      </c>
      <c r="D4" s="50" t="s">
        <v>3</v>
      </c>
      <c r="E4" s="15" t="s">
        <v>537</v>
      </c>
    </row>
    <row r="5" spans="1:5" ht="75" customHeight="1" x14ac:dyDescent="0.25">
      <c r="A5" s="107" t="s">
        <v>298</v>
      </c>
      <c r="B5" s="107" t="s">
        <v>299</v>
      </c>
      <c r="C5" s="107" t="s">
        <v>422</v>
      </c>
      <c r="D5" s="33" t="s">
        <v>300</v>
      </c>
      <c r="E5" s="110" t="s">
        <v>1105</v>
      </c>
    </row>
    <row r="6" spans="1:5" ht="75" customHeight="1" x14ac:dyDescent="0.25">
      <c r="A6" s="107"/>
      <c r="B6" s="107"/>
      <c r="C6" s="107"/>
      <c r="D6" s="32" t="s">
        <v>301</v>
      </c>
      <c r="E6" s="111"/>
    </row>
    <row r="7" spans="1:5" ht="75" customHeight="1" x14ac:dyDescent="0.25">
      <c r="A7" s="107"/>
      <c r="B7" s="107"/>
      <c r="C7" s="107"/>
      <c r="D7" s="32" t="s">
        <v>302</v>
      </c>
      <c r="E7" s="111"/>
    </row>
    <row r="9" spans="1:5" x14ac:dyDescent="0.25">
      <c r="A9" s="104" t="s">
        <v>7</v>
      </c>
      <c r="B9" s="104"/>
      <c r="C9" s="104"/>
      <c r="D9" s="104"/>
      <c r="E9" s="104"/>
    </row>
    <row r="10" spans="1:5" x14ac:dyDescent="0.25">
      <c r="A10" s="59" t="s">
        <v>8</v>
      </c>
      <c r="B10" s="59" t="s">
        <v>9</v>
      </c>
      <c r="C10" s="59" t="s">
        <v>10</v>
      </c>
      <c r="D10" s="59" t="s">
        <v>11</v>
      </c>
      <c r="E10" s="59" t="s">
        <v>12</v>
      </c>
    </row>
    <row r="11" spans="1:5" ht="75" x14ac:dyDescent="0.25">
      <c r="A11" s="56" t="s">
        <v>1048</v>
      </c>
      <c r="B11" s="56" t="s">
        <v>1049</v>
      </c>
      <c r="C11" s="56" t="s">
        <v>1050</v>
      </c>
      <c r="D11" s="155" t="s">
        <v>1051</v>
      </c>
      <c r="E11" s="156"/>
    </row>
    <row r="12" spans="1:5" x14ac:dyDescent="0.25">
      <c r="A12" s="11"/>
      <c r="B12" s="159"/>
      <c r="C12" s="159"/>
    </row>
    <row r="13" spans="1:5" ht="28.5" x14ac:dyDescent="0.25">
      <c r="A13" s="95" t="s">
        <v>126</v>
      </c>
      <c r="B13" s="96"/>
      <c r="C13" s="96"/>
      <c r="D13" s="97"/>
      <c r="E13" s="85">
        <v>3</v>
      </c>
    </row>
    <row r="14" spans="1:5" x14ac:dyDescent="0.25">
      <c r="A14" s="9"/>
      <c r="B14" s="9"/>
      <c r="C14" s="9"/>
      <c r="D14" s="9"/>
      <c r="E14" s="9"/>
    </row>
    <row r="15" spans="1:5" ht="28.5" x14ac:dyDescent="0.25">
      <c r="A15" s="95" t="s">
        <v>187</v>
      </c>
      <c r="B15" s="96"/>
      <c r="C15" s="96"/>
      <c r="D15" s="97"/>
      <c r="E15" s="86">
        <v>4</v>
      </c>
    </row>
    <row r="16" spans="1:5" x14ac:dyDescent="0.25">
      <c r="A16" s="9"/>
      <c r="B16" s="9"/>
      <c r="C16" s="9"/>
      <c r="D16" s="9"/>
      <c r="E16" s="9"/>
    </row>
    <row r="17" spans="1:5" ht="78.75" x14ac:dyDescent="0.45">
      <c r="A17" s="69" t="s">
        <v>188</v>
      </c>
      <c r="B17" s="152" t="s">
        <v>1107</v>
      </c>
      <c r="C17" s="153"/>
      <c r="D17" s="153"/>
      <c r="E17" s="154"/>
    </row>
  </sheetData>
  <mergeCells count="12">
    <mergeCell ref="B17:E17"/>
    <mergeCell ref="A1:D1"/>
    <mergeCell ref="A3:E3"/>
    <mergeCell ref="A5:A7"/>
    <mergeCell ref="B5:B7"/>
    <mergeCell ref="C5:C7"/>
    <mergeCell ref="E5:E7"/>
    <mergeCell ref="A9:E9"/>
    <mergeCell ref="D11:E11"/>
    <mergeCell ref="B12:C12"/>
    <mergeCell ref="A13:D13"/>
    <mergeCell ref="A15:D15"/>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A6" workbookViewId="0">
      <selection activeCell="B29" sqref="B29:E29"/>
    </sheetView>
  </sheetViews>
  <sheetFormatPr defaultRowHeight="15" x14ac:dyDescent="0.25"/>
  <cols>
    <col min="1" max="5" width="25.7109375" customWidth="1"/>
  </cols>
  <sheetData>
    <row r="1" spans="1:5" ht="57" x14ac:dyDescent="0.85">
      <c r="A1" s="101" t="s">
        <v>14</v>
      </c>
      <c r="B1" s="101"/>
      <c r="C1" s="101"/>
      <c r="D1" s="101"/>
      <c r="E1" s="26" t="s">
        <v>1052</v>
      </c>
    </row>
    <row r="3" spans="1:5" x14ac:dyDescent="0.25">
      <c r="A3" s="102" t="s">
        <v>4</v>
      </c>
      <c r="B3" s="102"/>
      <c r="C3" s="102"/>
      <c r="D3" s="102"/>
      <c r="E3" s="102"/>
    </row>
    <row r="4" spans="1:5" ht="30" x14ac:dyDescent="0.25">
      <c r="A4" s="50" t="s">
        <v>0</v>
      </c>
      <c r="B4" s="50" t="s">
        <v>1</v>
      </c>
      <c r="C4" s="50" t="s">
        <v>2</v>
      </c>
      <c r="D4" s="50" t="s">
        <v>3</v>
      </c>
      <c r="E4" s="15" t="s">
        <v>537</v>
      </c>
    </row>
    <row r="5" spans="1:5" ht="165" x14ac:dyDescent="0.25">
      <c r="A5" s="56" t="s">
        <v>1053</v>
      </c>
      <c r="B5" s="56" t="s">
        <v>1089</v>
      </c>
      <c r="C5" s="56" t="s">
        <v>1090</v>
      </c>
      <c r="D5" s="32" t="s">
        <v>1091</v>
      </c>
      <c r="E5" s="57" t="s">
        <v>1042</v>
      </c>
    </row>
    <row r="7" spans="1:5" x14ac:dyDescent="0.25">
      <c r="A7" t="s">
        <v>610</v>
      </c>
    </row>
    <row r="8" spans="1:5" x14ac:dyDescent="0.25">
      <c r="A8" s="150" t="s">
        <v>1054</v>
      </c>
      <c r="B8" s="151"/>
      <c r="C8" s="64">
        <v>190</v>
      </c>
    </row>
    <row r="9" spans="1:5" x14ac:dyDescent="0.25">
      <c r="A9" s="150" t="s">
        <v>1055</v>
      </c>
      <c r="B9" s="151"/>
      <c r="C9" s="64">
        <v>10</v>
      </c>
    </row>
    <row r="10" spans="1:5" x14ac:dyDescent="0.25">
      <c r="A10" s="150" t="s">
        <v>1056</v>
      </c>
      <c r="B10" s="151"/>
      <c r="C10" s="60">
        <v>10</v>
      </c>
    </row>
    <row r="11" spans="1:5" x14ac:dyDescent="0.25">
      <c r="A11" s="150" t="s">
        <v>1057</v>
      </c>
      <c r="B11" s="151"/>
      <c r="C11" s="60">
        <v>10</v>
      </c>
    </row>
    <row r="12" spans="1:5" x14ac:dyDescent="0.25">
      <c r="A12" s="150" t="s">
        <v>1058</v>
      </c>
      <c r="B12" s="151"/>
      <c r="C12" s="60">
        <v>1</v>
      </c>
    </row>
    <row r="13" spans="1:5" x14ac:dyDescent="0.25">
      <c r="A13" s="150" t="s">
        <v>1059</v>
      </c>
      <c r="B13" s="151"/>
      <c r="C13" s="60">
        <v>1</v>
      </c>
    </row>
    <row r="14" spans="1:5" x14ac:dyDescent="0.25">
      <c r="A14" s="150" t="s">
        <v>1060</v>
      </c>
      <c r="B14" s="151"/>
      <c r="C14" s="60">
        <v>1</v>
      </c>
    </row>
    <row r="15" spans="1:5" x14ac:dyDescent="0.25">
      <c r="A15" s="150" t="s">
        <v>1061</v>
      </c>
      <c r="B15" s="151"/>
      <c r="C15" s="60">
        <v>10</v>
      </c>
    </row>
    <row r="16" spans="1:5" x14ac:dyDescent="0.25">
      <c r="A16" s="150" t="s">
        <v>1062</v>
      </c>
      <c r="B16" s="151"/>
      <c r="C16" s="60">
        <v>10</v>
      </c>
    </row>
    <row r="17" spans="1:5" x14ac:dyDescent="0.25">
      <c r="A17" s="150" t="s">
        <v>1063</v>
      </c>
      <c r="B17" s="151"/>
      <c r="C17" s="60">
        <v>5</v>
      </c>
    </row>
    <row r="18" spans="1:5" x14ac:dyDescent="0.25">
      <c r="A18" s="150" t="s">
        <v>1064</v>
      </c>
      <c r="B18" s="151"/>
      <c r="C18" s="60">
        <v>5</v>
      </c>
    </row>
    <row r="19" spans="1:5" x14ac:dyDescent="0.25">
      <c r="A19" s="150" t="s">
        <v>1013</v>
      </c>
      <c r="B19" s="151"/>
      <c r="C19" s="80">
        <v>0.01</v>
      </c>
      <c r="D19" s="1"/>
      <c r="E19" s="83"/>
    </row>
    <row r="20" spans="1:5" x14ac:dyDescent="0.25">
      <c r="A20" s="150" t="s">
        <v>1014</v>
      </c>
      <c r="B20" s="151"/>
      <c r="C20" s="80">
        <v>0.1</v>
      </c>
      <c r="D20" s="1"/>
      <c r="E20" s="83"/>
    </row>
    <row r="21" spans="1:5" x14ac:dyDescent="0.25">
      <c r="A21" s="150" t="s">
        <v>1015</v>
      </c>
      <c r="B21" s="151"/>
      <c r="C21" s="80">
        <v>0.5</v>
      </c>
      <c r="D21" s="1"/>
      <c r="E21" s="83"/>
    </row>
    <row r="22" spans="1:5" x14ac:dyDescent="0.25">
      <c r="A22" s="150" t="s">
        <v>1016</v>
      </c>
      <c r="B22" s="151"/>
      <c r="C22" s="79">
        <f>((C12+C15+C18)/C8)*100%</f>
        <v>8.4210526315789472E-2</v>
      </c>
      <c r="D22" s="1"/>
      <c r="E22" s="83"/>
    </row>
    <row r="23" spans="1:5" x14ac:dyDescent="0.25">
      <c r="A23" s="150" t="s">
        <v>1017</v>
      </c>
      <c r="B23" s="151"/>
      <c r="C23" s="79">
        <f>((C10+C11+C14+C17)/C8)*100%</f>
        <v>0.1368421052631579</v>
      </c>
      <c r="D23" s="1"/>
      <c r="E23" s="83"/>
    </row>
    <row r="24" spans="1:5" x14ac:dyDescent="0.25">
      <c r="A24" s="150" t="s">
        <v>1065</v>
      </c>
      <c r="B24" s="151"/>
      <c r="C24" s="79">
        <f>((C9+C13+C16)/C8)*100%</f>
        <v>0.11052631578947368</v>
      </c>
    </row>
    <row r="25" spans="1:5" x14ac:dyDescent="0.25">
      <c r="A25" s="146" t="s">
        <v>609</v>
      </c>
      <c r="B25" s="146"/>
      <c r="C25" s="67">
        <f>IF(C22&gt;=C19,4,IF(AND(C22&lt;C19,C23&gt;=C20),3+(C22/C19),IF(AND(0&lt;C22,C22&lt;C19,0&lt;C23,C23&lt;C20),2+(2*(C22/C19))+(C23/C20)-((C22*C23)/(C19*C20)),IF(AND(C22=0,C23=0,C24&gt;=C21),2,IF(AND(C22=0,C23=0,C24&lt;C21),(2*C24)/C21,0)))))</f>
        <v>4</v>
      </c>
    </row>
    <row r="27" spans="1:5" ht="28.5" x14ac:dyDescent="0.25">
      <c r="A27" s="95" t="s">
        <v>615</v>
      </c>
      <c r="B27" s="96"/>
      <c r="C27" s="96"/>
      <c r="D27" s="97"/>
      <c r="E27" s="68">
        <f>C25</f>
        <v>4</v>
      </c>
    </row>
    <row r="28" spans="1:5" x14ac:dyDescent="0.25">
      <c r="A28" s="9"/>
      <c r="B28" s="9"/>
      <c r="C28" s="9"/>
      <c r="D28" s="9"/>
      <c r="E28" s="9"/>
    </row>
    <row r="29" spans="1:5" ht="78.75" x14ac:dyDescent="0.45">
      <c r="A29" s="69" t="s">
        <v>188</v>
      </c>
      <c r="B29" s="118" t="s">
        <v>1107</v>
      </c>
      <c r="C29" s="118"/>
      <c r="D29" s="118"/>
      <c r="E29" s="118"/>
    </row>
  </sheetData>
  <mergeCells count="22">
    <mergeCell ref="A1:D1"/>
    <mergeCell ref="A3:E3"/>
    <mergeCell ref="A19:B19"/>
    <mergeCell ref="A8:B8"/>
    <mergeCell ref="A9:B9"/>
    <mergeCell ref="A10:B10"/>
    <mergeCell ref="A11:B11"/>
    <mergeCell ref="A12:B12"/>
    <mergeCell ref="A13:B13"/>
    <mergeCell ref="A14:B14"/>
    <mergeCell ref="A15:B15"/>
    <mergeCell ref="A16:B16"/>
    <mergeCell ref="A17:B17"/>
    <mergeCell ref="A18:B18"/>
    <mergeCell ref="A27:D27"/>
    <mergeCell ref="B29:E29"/>
    <mergeCell ref="A20:B20"/>
    <mergeCell ref="A21:B21"/>
    <mergeCell ref="A22:B22"/>
    <mergeCell ref="A23:B23"/>
    <mergeCell ref="A24:B24"/>
    <mergeCell ref="A25:B25"/>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7" workbookViewId="0">
      <selection activeCell="E15" sqref="E15"/>
    </sheetView>
  </sheetViews>
  <sheetFormatPr defaultRowHeight="15" x14ac:dyDescent="0.25"/>
  <cols>
    <col min="1" max="5" width="25.7109375" customWidth="1"/>
  </cols>
  <sheetData>
    <row r="1" spans="1:5" ht="57" x14ac:dyDescent="0.85">
      <c r="A1" s="101" t="s">
        <v>14</v>
      </c>
      <c r="B1" s="101"/>
      <c r="C1" s="101"/>
      <c r="D1" s="101"/>
      <c r="E1" s="26" t="s">
        <v>1066</v>
      </c>
    </row>
    <row r="3" spans="1:5" x14ac:dyDescent="0.25">
      <c r="A3" s="102" t="s">
        <v>4</v>
      </c>
      <c r="B3" s="102"/>
      <c r="C3" s="102"/>
      <c r="D3" s="102"/>
      <c r="E3" s="102"/>
    </row>
    <row r="4" spans="1:5" ht="30" x14ac:dyDescent="0.25">
      <c r="A4" s="50" t="s">
        <v>0</v>
      </c>
      <c r="B4" s="50" t="s">
        <v>1</v>
      </c>
      <c r="C4" s="50" t="s">
        <v>2</v>
      </c>
      <c r="D4" s="50" t="s">
        <v>3</v>
      </c>
      <c r="E4" s="15" t="s">
        <v>537</v>
      </c>
    </row>
    <row r="5" spans="1:5" ht="135" x14ac:dyDescent="0.25">
      <c r="A5" s="56" t="s">
        <v>1067</v>
      </c>
      <c r="B5" s="56" t="s">
        <v>1092</v>
      </c>
      <c r="C5" s="56" t="s">
        <v>1092</v>
      </c>
      <c r="D5" s="32" t="s">
        <v>1093</v>
      </c>
      <c r="E5" s="57" t="s">
        <v>1094</v>
      </c>
    </row>
    <row r="7" spans="1:5" x14ac:dyDescent="0.25">
      <c r="A7" t="s">
        <v>610</v>
      </c>
    </row>
    <row r="8" spans="1:5" x14ac:dyDescent="0.25">
      <c r="A8" s="150" t="s">
        <v>1068</v>
      </c>
      <c r="B8" s="151"/>
      <c r="C8" s="64">
        <v>1</v>
      </c>
    </row>
    <row r="9" spans="1:5" x14ac:dyDescent="0.25">
      <c r="A9" s="150" t="s">
        <v>1069</v>
      </c>
      <c r="B9" s="151"/>
      <c r="C9" s="60">
        <v>1</v>
      </c>
    </row>
    <row r="10" spans="1:5" x14ac:dyDescent="0.25">
      <c r="A10" s="150" t="s">
        <v>1070</v>
      </c>
      <c r="B10" s="151"/>
      <c r="C10" s="60">
        <v>1</v>
      </c>
    </row>
    <row r="11" spans="1:5" x14ac:dyDescent="0.25">
      <c r="A11" s="150" t="s">
        <v>1071</v>
      </c>
      <c r="B11" s="151"/>
      <c r="C11" s="60">
        <v>1</v>
      </c>
    </row>
    <row r="12" spans="1:5" x14ac:dyDescent="0.25">
      <c r="A12" s="150" t="s">
        <v>1072</v>
      </c>
      <c r="B12" s="151"/>
      <c r="C12" s="84">
        <f>(2*(C8+C9+C10))+C11</f>
        <v>7</v>
      </c>
    </row>
    <row r="13" spans="1:5" x14ac:dyDescent="0.25">
      <c r="A13" s="146" t="s">
        <v>609</v>
      </c>
      <c r="B13" s="146"/>
      <c r="C13" s="67">
        <f>IF(C12&gt;=1,4,2+(2*C12))</f>
        <v>4</v>
      </c>
    </row>
    <row r="15" spans="1:5" ht="28.5" x14ac:dyDescent="0.25">
      <c r="A15" s="95" t="s">
        <v>615</v>
      </c>
      <c r="B15" s="96"/>
      <c r="C15" s="96"/>
      <c r="D15" s="97"/>
      <c r="E15" s="68">
        <f>C13</f>
        <v>4</v>
      </c>
    </row>
    <row r="16" spans="1:5" x14ac:dyDescent="0.25">
      <c r="A16" s="9"/>
      <c r="B16" s="9"/>
      <c r="C16" s="9"/>
      <c r="D16" s="9"/>
      <c r="E16" s="9"/>
    </row>
    <row r="17" spans="1:5" ht="78.75" x14ac:dyDescent="0.45">
      <c r="A17" s="69" t="s">
        <v>188</v>
      </c>
      <c r="B17" s="118" t="s">
        <v>1107</v>
      </c>
      <c r="C17" s="118"/>
      <c r="D17" s="118"/>
      <c r="E17" s="118"/>
    </row>
  </sheetData>
  <mergeCells count="10">
    <mergeCell ref="A1:D1"/>
    <mergeCell ref="A3:E3"/>
    <mergeCell ref="A15:D15"/>
    <mergeCell ref="B17:E17"/>
    <mergeCell ref="A8:B8"/>
    <mergeCell ref="A9:B9"/>
    <mergeCell ref="A10:B10"/>
    <mergeCell ref="A11:B11"/>
    <mergeCell ref="A12:B12"/>
    <mergeCell ref="A13:B13"/>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103</vt:i4>
      </vt:variant>
      <vt:variant>
        <vt:lpstr>Named Ranges</vt:lpstr>
      </vt:variant>
      <vt:variant>
        <vt:i4>1</vt:i4>
      </vt:variant>
    </vt:vector>
  </HeadingPairs>
  <TitlesOfParts>
    <vt:vector size="104" baseType="lpstr">
      <vt:lpstr>1-1.1.1</vt:lpstr>
      <vt:lpstr>2-1.1.2</vt:lpstr>
      <vt:lpstr>3-1.1.3</vt:lpstr>
      <vt:lpstr>4-1.1.4</vt:lpstr>
      <vt:lpstr>5-1.2.1</vt:lpstr>
      <vt:lpstr>6-1.2.2</vt:lpstr>
      <vt:lpstr>7-1.2.3</vt:lpstr>
      <vt:lpstr>8-1.2.4</vt:lpstr>
      <vt:lpstr>9-1.2.5</vt:lpstr>
      <vt:lpstr>10-1.2.6</vt:lpstr>
      <vt:lpstr>11-1.2.7</vt:lpstr>
      <vt:lpstr>12-1.2.8</vt:lpstr>
      <vt:lpstr>13-1.2.9</vt:lpstr>
      <vt:lpstr>14-1.2.10</vt:lpstr>
      <vt:lpstr>15-1.2.11</vt:lpstr>
      <vt:lpstr>16-1.2.12</vt:lpstr>
      <vt:lpstr>17-1.2.13</vt:lpstr>
      <vt:lpstr>18-1.2.14</vt:lpstr>
      <vt:lpstr>19-1.2.15</vt:lpstr>
      <vt:lpstr>20-1.3.1</vt:lpstr>
      <vt:lpstr>21-1.3.2</vt:lpstr>
      <vt:lpstr>22-1.3.3</vt:lpstr>
      <vt:lpstr>23-1.3.4</vt:lpstr>
      <vt:lpstr>24-1.3.5</vt:lpstr>
      <vt:lpstr>25-1.3.6</vt:lpstr>
      <vt:lpstr>26-1.3.7</vt:lpstr>
      <vt:lpstr>27-1.3.8</vt:lpstr>
      <vt:lpstr>28-1.3.9</vt:lpstr>
      <vt:lpstr>29-1.3.10</vt:lpstr>
      <vt:lpstr>30-1.3.11</vt:lpstr>
      <vt:lpstr>31-1.4.1</vt:lpstr>
      <vt:lpstr>32-1.4.2</vt:lpstr>
      <vt:lpstr>33-1.4.3</vt:lpstr>
      <vt:lpstr>34-1.4.4</vt:lpstr>
      <vt:lpstr>35-1.4.5</vt:lpstr>
      <vt:lpstr>36-1.4.6</vt:lpstr>
      <vt:lpstr>37-1.4.7</vt:lpstr>
      <vt:lpstr>38-1.4.8</vt:lpstr>
      <vt:lpstr>39-1.4.9</vt:lpstr>
      <vt:lpstr>40-1.4.10</vt:lpstr>
      <vt:lpstr>41-1.4.11</vt:lpstr>
      <vt:lpstr>42-1.4.12</vt:lpstr>
      <vt:lpstr>43-1.4.13</vt:lpstr>
      <vt:lpstr>44-1.4.14</vt:lpstr>
      <vt:lpstr>45-1.4.15</vt:lpstr>
      <vt:lpstr>46-1.5.1</vt:lpstr>
      <vt:lpstr>47-1.5.2</vt:lpstr>
      <vt:lpstr>48-1.5.3</vt:lpstr>
      <vt:lpstr>49-1.5.4</vt:lpstr>
      <vt:lpstr>50-1.5.5</vt:lpstr>
      <vt:lpstr>51-1.5.6</vt:lpstr>
      <vt:lpstr>52-1.5.7</vt:lpstr>
      <vt:lpstr>53-1.5.8</vt:lpstr>
      <vt:lpstr>54-1.5.9</vt:lpstr>
      <vt:lpstr>55-1.5.10</vt:lpstr>
      <vt:lpstr>56-1.5.11</vt:lpstr>
      <vt:lpstr>57-1.6.1</vt:lpstr>
      <vt:lpstr>58-1.6.2</vt:lpstr>
      <vt:lpstr>59-1.6.3</vt:lpstr>
      <vt:lpstr>60-1.6.4</vt:lpstr>
      <vt:lpstr>61-1.6.5</vt:lpstr>
      <vt:lpstr>62-1.6.6</vt:lpstr>
      <vt:lpstr>63-1.6.7</vt:lpstr>
      <vt:lpstr>64-1.6.8</vt:lpstr>
      <vt:lpstr>65-1.6.9</vt:lpstr>
      <vt:lpstr>66-1.6.10</vt:lpstr>
      <vt:lpstr>67-1.6.11</vt:lpstr>
      <vt:lpstr>68-1.6.12</vt:lpstr>
      <vt:lpstr>69-1.6.13</vt:lpstr>
      <vt:lpstr>70-1.6.14</vt:lpstr>
      <vt:lpstr>71-1.6.15</vt:lpstr>
      <vt:lpstr>72-1.6.16</vt:lpstr>
      <vt:lpstr>73-1.6.17</vt:lpstr>
      <vt:lpstr>74-1.7.1</vt:lpstr>
      <vt:lpstr>75-1.7.2</vt:lpstr>
      <vt:lpstr>76-1.7.3</vt:lpstr>
      <vt:lpstr>77-1.7.4</vt:lpstr>
      <vt:lpstr>78-1.7.5</vt:lpstr>
      <vt:lpstr>79-1.7.6</vt:lpstr>
      <vt:lpstr>80-1.7.7</vt:lpstr>
      <vt:lpstr>81-1.8.1</vt:lpstr>
      <vt:lpstr>82-1.8.2</vt:lpstr>
      <vt:lpstr>83-1.8.3</vt:lpstr>
      <vt:lpstr>84-1.8.4</vt:lpstr>
      <vt:lpstr>85-1.8.5</vt:lpstr>
      <vt:lpstr>86-1.8.6</vt:lpstr>
      <vt:lpstr>87-1.8.7</vt:lpstr>
      <vt:lpstr>88-1.8.8</vt:lpstr>
      <vt:lpstr>89-1.9.1</vt:lpstr>
      <vt:lpstr>90-1.9.2</vt:lpstr>
      <vt:lpstr>91-1.9.3</vt:lpstr>
      <vt:lpstr>92-1.9.4</vt:lpstr>
      <vt:lpstr>93-1.9.5</vt:lpstr>
      <vt:lpstr>94-1.9.6</vt:lpstr>
      <vt:lpstr>95-1.9.7</vt:lpstr>
      <vt:lpstr>96-1.9.8</vt:lpstr>
      <vt:lpstr>97-1.9.9</vt:lpstr>
      <vt:lpstr>98-1.9.10</vt:lpstr>
      <vt:lpstr>99-1.9.11</vt:lpstr>
      <vt:lpstr>100-1.9.12</vt:lpstr>
      <vt:lpstr>101-1.9.13</vt:lpstr>
      <vt:lpstr>102-1.9.14</vt:lpstr>
      <vt:lpstr>Sheet1</vt:lpstr>
      <vt:lpstr>'53-1.5.8'!_GoBack</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ADELA LPMAI</dc:creator>
  <cp:lastModifiedBy>lenovo</cp:lastModifiedBy>
  <dcterms:created xsi:type="dcterms:W3CDTF">2019-10-16T06:20:24Z</dcterms:created>
  <dcterms:modified xsi:type="dcterms:W3CDTF">2020-03-17T06:25:17Z</dcterms:modified>
</cp:coreProperties>
</file>