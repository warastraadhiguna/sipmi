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026"/>
  <workbookPr defaultThemeVersion="124226"/>
  <mc:AlternateContent xmlns:mc="http://schemas.openxmlformats.org/markup-compatibility/2006">
    <mc:Choice Requires="x15">
      <x15ac:absPath xmlns:x15ac="http://schemas.microsoft.com/office/spreadsheetml/2010/11/ac" url="C:\Users\User\Documents\Instrumen AMI 2023\"/>
    </mc:Choice>
  </mc:AlternateContent>
  <xr:revisionPtr revIDLastSave="0" documentId="13_ncr:1_{23052734-114B-4361-997E-9B6BF9981C20}" xr6:coauthVersionLast="47" xr6:coauthVersionMax="47" xr10:uidLastSave="{00000000-0000-0000-0000-000000000000}"/>
  <bookViews>
    <workbookView xWindow="-120" yWindow="-120" windowWidth="29040" windowHeight="15720" tabRatio="964" activeTab="2" xr2:uid="{00000000-000D-0000-FFFF-FFFF00000000}"/>
  </bookViews>
  <sheets>
    <sheet name="DAFTAR ISI" sheetId="29" r:id="rId1"/>
    <sheet name="Isian Prodi" sheetId="5" r:id="rId2"/>
    <sheet name="Kertas Kerja" sheetId="1" r:id="rId3"/>
    <sheet name="Form Monev PT" sheetId="12" r:id="rId4"/>
    <sheet name="Form Monev UPPS BAN-PT" sheetId="13" r:id="rId5"/>
    <sheet name="Form Monev UPPS LAM INFOKOM" sheetId="14" r:id="rId6"/>
    <sheet name="Form Monev UPPS LAM PTKES NERS" sheetId="15" r:id="rId7"/>
    <sheet name="Form Monev UPPS LAM PTKES GIZI" sheetId="16" r:id="rId8"/>
    <sheet name="Form Monev UPPS LAMDIK" sheetId="17" r:id="rId9"/>
    <sheet name="Form Monev UPPS LAMEMBA" sheetId="18" r:id="rId10"/>
    <sheet name="Form Monev UPPS LAMSAMA" sheetId="19" r:id="rId11"/>
    <sheet name="Form Monev UPPS LAMTEK" sheetId="20" r:id="rId12"/>
    <sheet name="Form Monev PS BAN-PT" sheetId="21" r:id="rId13"/>
    <sheet name="Form Monev PS LAM INFOKOM" sheetId="22" r:id="rId14"/>
    <sheet name="Form Monev PS LAM PTKES NERS" sheetId="23" r:id="rId15"/>
    <sheet name="Form Monev PS LAM PTKES GIZI" sheetId="24" r:id="rId16"/>
    <sheet name="Form Monev PS LAMDIK" sheetId="25" r:id="rId17"/>
    <sheet name="Form Monev PS LAMEMBA" sheetId="26" r:id="rId18"/>
    <sheet name="Form Monev PS LAMSAMA" sheetId="27" r:id="rId19"/>
    <sheet name="Form Monev PS LAMTEK" sheetId="28" r:id="rId20"/>
    <sheet name="Lap AK" sheetId="4" r:id="rId21"/>
    <sheet name="Lap ED" sheetId="6" r:id="rId22"/>
    <sheet name="Peta Risiko" sheetId="8" r:id="rId23"/>
    <sheet name="Lap ISK" sheetId="10" r:id="rId24"/>
    <sheet name="IPEPA 1" sheetId="9" r:id="rId25"/>
    <sheet name="Analisis SWOT" sheetId="11" r:id="rId26"/>
  </sheets>
  <definedNames>
    <definedName name="diploma" localSheetId="25">#REF!</definedName>
    <definedName name="diploma" localSheetId="20">#REF!</definedName>
    <definedName name="diploma" localSheetId="23">#REF!</definedName>
    <definedName name="diploma">#REF!</definedName>
    <definedName name="_xlnm.Print_Area" localSheetId="20">'Lap AK'!$A$1:$F$97</definedName>
    <definedName name="_xlnm.Print_Area" localSheetId="23">'Lap ISK'!$B$1:$J$32</definedName>
    <definedName name="_xlnm.Print_Titles" localSheetId="20">'Lap AK'!$12:$12</definedName>
    <definedName name="_xlnm.Print_Titles" localSheetId="23">'Lap ISK'!$11:$12</definedName>
  </definedNames>
  <calcPr calcId="181029"/>
</workbook>
</file>

<file path=xl/calcChain.xml><?xml version="1.0" encoding="utf-8"?>
<calcChain xmlns="http://schemas.openxmlformats.org/spreadsheetml/2006/main">
  <c r="A2" i="11" l="1"/>
  <c r="E13" i="4"/>
  <c r="J788" i="1"/>
  <c r="C60" i="11" l="1"/>
  <c r="E59" i="11"/>
  <c r="E58" i="11"/>
  <c r="E57" i="11"/>
  <c r="E56" i="11"/>
  <c r="E55" i="11"/>
  <c r="E54" i="11"/>
  <c r="E53" i="11"/>
  <c r="E52" i="11"/>
  <c r="E51" i="11"/>
  <c r="E50" i="11"/>
  <c r="C46" i="11"/>
  <c r="E45" i="11"/>
  <c r="E44" i="11"/>
  <c r="E43" i="11"/>
  <c r="E42" i="11"/>
  <c r="E41" i="11"/>
  <c r="E40" i="11"/>
  <c r="E39" i="11"/>
  <c r="E38" i="11"/>
  <c r="E37" i="11"/>
  <c r="E36" i="11"/>
  <c r="C30" i="11"/>
  <c r="E29" i="11"/>
  <c r="E28" i="11"/>
  <c r="E27" i="11"/>
  <c r="E26" i="11"/>
  <c r="E25" i="11"/>
  <c r="E24" i="11"/>
  <c r="E23" i="11"/>
  <c r="E22" i="11"/>
  <c r="E21" i="11"/>
  <c r="E20" i="11"/>
  <c r="C16" i="11"/>
  <c r="E15" i="11"/>
  <c r="E14" i="11"/>
  <c r="E13" i="11"/>
  <c r="E12" i="11"/>
  <c r="E11" i="11"/>
  <c r="E10" i="11"/>
  <c r="E9" i="11"/>
  <c r="E8" i="11"/>
  <c r="E7" i="11"/>
  <c r="E6" i="11"/>
  <c r="A2" i="8"/>
  <c r="A2" i="6"/>
  <c r="D7" i="4"/>
  <c r="K862" i="1"/>
  <c r="K831" i="1"/>
  <c r="K826" i="1"/>
  <c r="K821" i="1"/>
  <c r="K816" i="1"/>
  <c r="K811" i="1"/>
  <c r="K806" i="1"/>
  <c r="K801" i="1"/>
  <c r="K830" i="1"/>
  <c r="K825" i="1"/>
  <c r="K820" i="1"/>
  <c r="K815" i="1"/>
  <c r="K810" i="1"/>
  <c r="K805" i="1"/>
  <c r="K800" i="1"/>
  <c r="K829" i="1"/>
  <c r="K824" i="1"/>
  <c r="K827" i="1" s="1"/>
  <c r="K819" i="1"/>
  <c r="K814" i="1"/>
  <c r="K809" i="1"/>
  <c r="K804" i="1"/>
  <c r="K799" i="1"/>
  <c r="K828" i="1"/>
  <c r="K823" i="1"/>
  <c r="K818" i="1"/>
  <c r="K813" i="1"/>
  <c r="K808" i="1"/>
  <c r="K803" i="1"/>
  <c r="K798" i="1"/>
  <c r="K793" i="1"/>
  <c r="K794" i="1"/>
  <c r="K792" i="1"/>
  <c r="K790" i="1"/>
  <c r="K791" i="1"/>
  <c r="K789" i="1"/>
  <c r="K746" i="1"/>
  <c r="K744" i="1"/>
  <c r="K743" i="1"/>
  <c r="K741" i="1"/>
  <c r="K740" i="1"/>
  <c r="K745" i="1"/>
  <c r="K742" i="1"/>
  <c r="K739" i="1"/>
  <c r="K738" i="1"/>
  <c r="K733" i="1"/>
  <c r="K734" i="1"/>
  <c r="K732" i="1"/>
  <c r="K730" i="1"/>
  <c r="K731" i="1"/>
  <c r="K729" i="1"/>
  <c r="K685" i="1"/>
  <c r="K684" i="1"/>
  <c r="K683" i="1"/>
  <c r="K682" i="1"/>
  <c r="K673" i="1"/>
  <c r="K674" i="1"/>
  <c r="K672" i="1"/>
  <c r="E46" i="11" l="1"/>
  <c r="E30" i="11"/>
  <c r="K817" i="1"/>
  <c r="K822" i="1"/>
  <c r="K802" i="1"/>
  <c r="K812" i="1"/>
  <c r="K807" i="1"/>
  <c r="E60" i="11"/>
  <c r="E16" i="11"/>
  <c r="K665" i="1"/>
  <c r="K663" i="1"/>
  <c r="K661" i="1"/>
  <c r="I220" i="5"/>
  <c r="H220" i="5"/>
  <c r="G220" i="5"/>
  <c r="K626" i="1"/>
  <c r="K627" i="1"/>
  <c r="K625" i="1"/>
  <c r="K623" i="1"/>
  <c r="K624" i="1"/>
  <c r="K622" i="1"/>
  <c r="K598" i="1"/>
  <c r="K594" i="1"/>
  <c r="K545" i="1"/>
  <c r="K544" i="1"/>
  <c r="K406" i="1"/>
  <c r="K407" i="1" s="1"/>
  <c r="K405" i="1"/>
  <c r="K400" i="1"/>
  <c r="K401" i="1" s="1"/>
  <c r="K399" i="1"/>
  <c r="K393" i="1"/>
  <c r="C62" i="11" l="1"/>
  <c r="C32" i="11"/>
  <c r="K340" i="1"/>
  <c r="K324" i="1"/>
  <c r="K308" i="1"/>
  <c r="K283" i="1"/>
  <c r="K265" i="1"/>
  <c r="K256" i="1"/>
  <c r="K245" i="1"/>
  <c r="K244" i="1"/>
  <c r="K240" i="1"/>
  <c r="K235" i="1"/>
  <c r="K234" i="1"/>
  <c r="K219" i="1"/>
  <c r="K220" i="1"/>
  <c r="K218" i="1"/>
  <c r="K217" i="1"/>
  <c r="K195" i="1"/>
  <c r="K167" i="1"/>
  <c r="K166" i="1"/>
  <c r="K165" i="1"/>
  <c r="K164" i="1"/>
  <c r="K88" i="1"/>
  <c r="D20" i="9" l="1"/>
  <c r="D17" i="9"/>
  <c r="K325" i="5"/>
  <c r="K324" i="5"/>
  <c r="K323" i="5"/>
  <c r="K322" i="5"/>
  <c r="K292" i="5"/>
  <c r="K291" i="5"/>
  <c r="K290" i="5"/>
  <c r="K289" i="5"/>
  <c r="K288" i="5"/>
  <c r="K287" i="5"/>
  <c r="K286" i="5"/>
  <c r="K285" i="5"/>
  <c r="K284" i="5"/>
  <c r="K283" i="5"/>
  <c r="M256" i="5"/>
  <c r="L256" i="5"/>
  <c r="K256" i="5"/>
  <c r="J256" i="5"/>
  <c r="I256" i="5"/>
  <c r="U238" i="5"/>
  <c r="T238" i="5"/>
  <c r="S238" i="5"/>
  <c r="N238" i="5"/>
  <c r="V237" i="5"/>
  <c r="V236" i="5"/>
  <c r="V235" i="5"/>
  <c r="E192" i="5"/>
  <c r="E186" i="5"/>
  <c r="E180" i="5"/>
  <c r="E174" i="5"/>
  <c r="E168" i="5"/>
  <c r="K148" i="5"/>
  <c r="K147" i="5"/>
  <c r="K146" i="5"/>
  <c r="K145" i="5"/>
  <c r="K139" i="5"/>
  <c r="K134" i="5"/>
  <c r="K129" i="5"/>
  <c r="K128" i="5"/>
  <c r="K127" i="5"/>
  <c r="K126" i="5"/>
  <c r="K125" i="5"/>
  <c r="K124" i="5"/>
  <c r="K123" i="5"/>
  <c r="K122" i="5"/>
  <c r="K121" i="5"/>
  <c r="K120" i="5"/>
  <c r="K115" i="5"/>
  <c r="K114" i="5"/>
  <c r="K113" i="5"/>
  <c r="K112" i="5"/>
  <c r="K111" i="5"/>
  <c r="K110" i="5"/>
  <c r="K109" i="5"/>
  <c r="K108" i="5"/>
  <c r="K107" i="5"/>
  <c r="K106" i="5"/>
  <c r="K101" i="5"/>
  <c r="K100" i="5"/>
  <c r="K99" i="5"/>
  <c r="K94" i="5"/>
  <c r="K93" i="5"/>
  <c r="K92" i="5"/>
  <c r="G76" i="5"/>
  <c r="F55" i="5"/>
  <c r="G46" i="5"/>
  <c r="F45" i="5"/>
  <c r="F44" i="5"/>
  <c r="F43" i="5"/>
  <c r="F42" i="5"/>
  <c r="F41" i="5"/>
  <c r="P36" i="5"/>
  <c r="O36" i="5"/>
  <c r="N36" i="5"/>
  <c r="M36" i="5"/>
  <c r="L36" i="5"/>
  <c r="K36" i="5"/>
  <c r="F46" i="5" s="1"/>
  <c r="K25" i="5"/>
  <c r="J25" i="5"/>
  <c r="I25" i="5"/>
  <c r="K21" i="5"/>
  <c r="J21" i="5"/>
  <c r="I21" i="5"/>
  <c r="K17" i="5"/>
  <c r="J17" i="5"/>
  <c r="I17" i="5"/>
  <c r="J6" i="10"/>
  <c r="B4" i="10"/>
  <c r="B3" i="10"/>
  <c r="V238" i="5" l="1"/>
  <c r="K161" i="1" l="1"/>
  <c r="B3" i="4" l="1"/>
  <c r="H3" i="4" s="1"/>
  <c r="B82" i="4" l="1"/>
  <c r="F82" i="4" s="1"/>
  <c r="B78" i="4"/>
  <c r="F78" i="4" s="1"/>
  <c r="B76" i="4"/>
  <c r="F76" i="4" s="1"/>
  <c r="B71" i="4"/>
  <c r="F71" i="4" s="1"/>
  <c r="B67" i="4"/>
  <c r="F67" i="4" s="1"/>
  <c r="B57" i="4"/>
  <c r="F57" i="4" s="1"/>
  <c r="B43" i="4"/>
  <c r="F43" i="4" s="1"/>
  <c r="B37" i="4"/>
  <c r="F37" i="4" s="1"/>
  <c r="B33" i="4"/>
  <c r="F33" i="4" s="1"/>
  <c r="I82" i="4"/>
  <c r="I78" i="4"/>
  <c r="I76" i="4"/>
  <c r="I71" i="4"/>
  <c r="I67" i="4"/>
  <c r="I57" i="4"/>
  <c r="I43" i="4"/>
  <c r="I37" i="4"/>
  <c r="I33" i="4"/>
  <c r="I31" i="4"/>
  <c r="I30" i="4"/>
  <c r="B31" i="4"/>
  <c r="F31" i="4" s="1"/>
  <c r="B30" i="4"/>
  <c r="F30" i="4" s="1"/>
  <c r="K595" i="1" l="1"/>
  <c r="K546" i="1"/>
  <c r="K547" i="1" s="1"/>
  <c r="D24" i="9" l="1"/>
  <c r="D25" i="9" s="1"/>
  <c r="D21" i="9"/>
  <c r="D18" i="9" s="1"/>
  <c r="D16" i="9"/>
  <c r="K202" i="1"/>
  <c r="B13" i="4"/>
  <c r="A6" i="6" s="1"/>
  <c r="E292" i="5" l="1"/>
  <c r="K846" i="1" s="1"/>
  <c r="E291" i="5"/>
  <c r="K845" i="1" s="1"/>
  <c r="E290" i="5"/>
  <c r="K844" i="1" s="1"/>
  <c r="E289" i="5"/>
  <c r="K843" i="1" s="1"/>
  <c r="E288" i="5"/>
  <c r="K842" i="1" s="1"/>
  <c r="E287" i="5"/>
  <c r="K841" i="1" s="1"/>
  <c r="E286" i="5"/>
  <c r="K840" i="1" s="1"/>
  <c r="E285" i="5"/>
  <c r="K839" i="1" s="1"/>
  <c r="E284" i="5"/>
  <c r="K838" i="1" s="1"/>
  <c r="E283" i="5"/>
  <c r="K837" i="1" s="1"/>
  <c r="E115" i="5"/>
  <c r="K307" i="1" s="1"/>
  <c r="E114" i="5"/>
  <c r="K306" i="1" s="1"/>
  <c r="E113" i="5"/>
  <c r="K305" i="1" s="1"/>
  <c r="E112" i="5"/>
  <c r="K304" i="1" s="1"/>
  <c r="E111" i="5"/>
  <c r="K303" i="1" s="1"/>
  <c r="E110" i="5"/>
  <c r="K302" i="1" s="1"/>
  <c r="E109" i="5"/>
  <c r="K301" i="1" s="1"/>
  <c r="E108" i="5"/>
  <c r="K300" i="1" s="1"/>
  <c r="E107" i="5"/>
  <c r="K299" i="1" s="1"/>
  <c r="E106" i="5"/>
  <c r="K298" i="1" s="1"/>
  <c r="H74" i="6" l="1"/>
  <c r="G74" i="6"/>
  <c r="D74" i="6"/>
  <c r="C74" i="6"/>
  <c r="H58" i="6"/>
  <c r="G58" i="6"/>
  <c r="D67" i="8" s="1"/>
  <c r="D58" i="6"/>
  <c r="C58" i="6"/>
  <c r="E81" i="4"/>
  <c r="D81" i="4"/>
  <c r="K863" i="1"/>
  <c r="F81" i="4" s="1"/>
  <c r="I81" i="4" s="1"/>
  <c r="H55" i="6"/>
  <c r="G55" i="6"/>
  <c r="H52" i="6"/>
  <c r="G52" i="6"/>
  <c r="J861" i="1"/>
  <c r="E74" i="6" s="1"/>
  <c r="E65" i="4"/>
  <c r="D65" i="4"/>
  <c r="K599" i="1"/>
  <c r="F65" i="4" s="1"/>
  <c r="I65" i="4" s="1"/>
  <c r="J597" i="1"/>
  <c r="E58" i="6" s="1"/>
  <c r="S67" i="8" l="1"/>
  <c r="P67" i="8"/>
  <c r="AA67" i="8"/>
  <c r="X67" i="8"/>
  <c r="E83" i="8"/>
  <c r="AA83" i="8"/>
  <c r="S83" i="8"/>
  <c r="O83" i="8"/>
  <c r="K83" i="8"/>
  <c r="G83" i="8"/>
  <c r="C83" i="8"/>
  <c r="X83" i="8"/>
  <c r="T83" i="8"/>
  <c r="P83" i="8"/>
  <c r="L83" i="8"/>
  <c r="H83" i="8"/>
  <c r="D83" i="8"/>
  <c r="Z83" i="8"/>
  <c r="V83" i="8"/>
  <c r="R83" i="8"/>
  <c r="N83" i="8"/>
  <c r="J83" i="8"/>
  <c r="F83" i="8"/>
  <c r="Y83" i="8"/>
  <c r="U83" i="8"/>
  <c r="Q83" i="8"/>
  <c r="M83" i="8"/>
  <c r="I83" i="8"/>
  <c r="O67" i="8"/>
  <c r="C67" i="8"/>
  <c r="T67" i="8"/>
  <c r="L67" i="8"/>
  <c r="K67" i="8"/>
  <c r="G67" i="8"/>
  <c r="Z67" i="8"/>
  <c r="V67" i="8"/>
  <c r="R67" i="8"/>
  <c r="N67" i="8"/>
  <c r="J67" i="8"/>
  <c r="F67" i="8"/>
  <c r="Y67" i="8"/>
  <c r="U67" i="8"/>
  <c r="Q67" i="8"/>
  <c r="M67" i="8"/>
  <c r="I67" i="8"/>
  <c r="E67" i="8"/>
  <c r="H67" i="8"/>
  <c r="H75" i="6" l="1"/>
  <c r="G75" i="6"/>
  <c r="D75" i="6"/>
  <c r="C75" i="6"/>
  <c r="E82" i="4"/>
  <c r="D82" i="4"/>
  <c r="E316" i="5"/>
  <c r="K866" i="1" s="1"/>
  <c r="K867" i="1" s="1"/>
  <c r="J865" i="1"/>
  <c r="E75" i="6" s="1"/>
  <c r="H36" i="6"/>
  <c r="G36" i="6"/>
  <c r="D36" i="6"/>
  <c r="C36" i="6"/>
  <c r="E43" i="4"/>
  <c r="D43" i="4"/>
  <c r="E139" i="5"/>
  <c r="K330" i="1" s="1"/>
  <c r="K331" i="1"/>
  <c r="J329" i="1"/>
  <c r="E36" i="6" s="1"/>
  <c r="A16" i="1"/>
  <c r="H30" i="6"/>
  <c r="G30" i="6"/>
  <c r="D30" i="6"/>
  <c r="C30" i="6"/>
  <c r="E37" i="4"/>
  <c r="D37" i="4"/>
  <c r="K251" i="1"/>
  <c r="K250" i="1"/>
  <c r="J249" i="1"/>
  <c r="E30" i="6" s="1"/>
  <c r="A24" i="1" l="1"/>
  <c r="B14" i="4"/>
  <c r="A7" i="6" s="1"/>
  <c r="E84" i="8"/>
  <c r="I84" i="8"/>
  <c r="M84" i="8"/>
  <c r="Q84" i="8"/>
  <c r="U84" i="8"/>
  <c r="Y84" i="8"/>
  <c r="D84" i="8"/>
  <c r="H84" i="8"/>
  <c r="L84" i="8"/>
  <c r="P84" i="8"/>
  <c r="T84" i="8"/>
  <c r="F84" i="8"/>
  <c r="J84" i="8"/>
  <c r="N84" i="8"/>
  <c r="R84" i="8"/>
  <c r="V84" i="8"/>
  <c r="Z84" i="8"/>
  <c r="C84" i="8"/>
  <c r="G84" i="8"/>
  <c r="K84" i="8"/>
  <c r="O84" i="8"/>
  <c r="S84" i="8"/>
  <c r="AA84" i="8"/>
  <c r="X84" i="8"/>
  <c r="D45" i="8"/>
  <c r="Y39" i="8"/>
  <c r="F45" i="8"/>
  <c r="K252" i="1"/>
  <c r="K253" i="1" s="1"/>
  <c r="Y45" i="8"/>
  <c r="U45" i="8"/>
  <c r="Q45" i="8"/>
  <c r="M45" i="8"/>
  <c r="I45" i="8"/>
  <c r="E45" i="8"/>
  <c r="T45" i="8"/>
  <c r="L45" i="8"/>
  <c r="H45" i="8"/>
  <c r="AA45" i="8"/>
  <c r="S45" i="8"/>
  <c r="O45" i="8"/>
  <c r="K45" i="8"/>
  <c r="C45" i="8"/>
  <c r="X45" i="8"/>
  <c r="P45" i="8"/>
  <c r="E39" i="8"/>
  <c r="Z45" i="8"/>
  <c r="V45" i="8"/>
  <c r="R45" i="8"/>
  <c r="N45" i="8"/>
  <c r="J45" i="8"/>
  <c r="F39" i="8"/>
  <c r="U39" i="8"/>
  <c r="K332" i="1"/>
  <c r="K333" i="1" s="1"/>
  <c r="Q39" i="8"/>
  <c r="X39" i="8"/>
  <c r="T39" i="8"/>
  <c r="P39" i="8"/>
  <c r="L39" i="8"/>
  <c r="H39" i="8"/>
  <c r="D39" i="8"/>
  <c r="I39" i="8"/>
  <c r="AA39" i="8"/>
  <c r="S39" i="8"/>
  <c r="O39" i="8"/>
  <c r="K39" i="8"/>
  <c r="G39" i="8"/>
  <c r="C39" i="8"/>
  <c r="Z39" i="8"/>
  <c r="V39" i="8"/>
  <c r="R39" i="8"/>
  <c r="N39" i="8"/>
  <c r="J39" i="8"/>
  <c r="A32" i="1" l="1"/>
  <c r="B15" i="4"/>
  <c r="A8" i="6" s="1"/>
  <c r="B16" i="8"/>
  <c r="B17" i="8" s="1"/>
  <c r="B18" i="8" s="1"/>
  <c r="B19" i="8" s="1"/>
  <c r="B20" i="8" s="1"/>
  <c r="B21" i="8" s="1"/>
  <c r="B22" i="8" s="1"/>
  <c r="B23" i="8" s="1"/>
  <c r="B24" i="8" s="1"/>
  <c r="B25" i="8" s="1"/>
  <c r="B26" i="8" s="1"/>
  <c r="B27" i="8" s="1"/>
  <c r="B28" i="8" s="1"/>
  <c r="B29" i="8" s="1"/>
  <c r="B30" i="8" s="1"/>
  <c r="B31" i="8" s="1"/>
  <c r="B32" i="8" s="1"/>
  <c r="B33" i="8" s="1"/>
  <c r="B34" i="8" s="1"/>
  <c r="B35" i="8" s="1"/>
  <c r="B36" i="8" s="1"/>
  <c r="B37" i="8" s="1"/>
  <c r="B38" i="8" s="1"/>
  <c r="B39" i="8" s="1"/>
  <c r="B40" i="8" s="1"/>
  <c r="B41" i="8" s="1"/>
  <c r="B42" i="8" s="1"/>
  <c r="B43" i="8" s="1"/>
  <c r="B44" i="8" s="1"/>
  <c r="B45" i="8" s="1"/>
  <c r="B46" i="8" s="1"/>
  <c r="B47" i="8" s="1"/>
  <c r="B48" i="8" s="1"/>
  <c r="B49" i="8" s="1"/>
  <c r="B50" i="8" s="1"/>
  <c r="B51" i="8" s="1"/>
  <c r="B52" i="8" s="1"/>
  <c r="B53" i="8" s="1"/>
  <c r="B54" i="8" s="1"/>
  <c r="B55" i="8" s="1"/>
  <c r="B56" i="8" s="1"/>
  <c r="B57" i="8" s="1"/>
  <c r="B58" i="8" s="1"/>
  <c r="B59" i="8" s="1"/>
  <c r="B60" i="8" s="1"/>
  <c r="B61" i="8" s="1"/>
  <c r="B62" i="8" s="1"/>
  <c r="B63" i="8" s="1"/>
  <c r="B64" i="8" s="1"/>
  <c r="B65" i="8" s="1"/>
  <c r="B66" i="8" s="1"/>
  <c r="B67" i="8" s="1"/>
  <c r="B68" i="8" s="1"/>
  <c r="B69" i="8" s="1"/>
  <c r="B70" i="8" s="1"/>
  <c r="B71" i="8" s="1"/>
  <c r="B72" i="8" s="1"/>
  <c r="B73" i="8" s="1"/>
  <c r="B74" i="8" s="1"/>
  <c r="B75" i="8" s="1"/>
  <c r="B76" i="8" s="1"/>
  <c r="B77" i="8" s="1"/>
  <c r="B78" i="8" s="1"/>
  <c r="B79" i="8" s="1"/>
  <c r="B80" i="8" s="1"/>
  <c r="B81" i="8" s="1"/>
  <c r="B82" i="8" s="1"/>
  <c r="B83" i="8" s="1"/>
  <c r="B84" i="8" s="1"/>
  <c r="B85" i="8" s="1"/>
  <c r="B86" i="8" s="1"/>
  <c r="B87" i="8" s="1"/>
  <c r="B88" i="8" s="1"/>
  <c r="B89" i="8" s="1"/>
  <c r="H24" i="6"/>
  <c r="G24" i="6"/>
  <c r="D24" i="6"/>
  <c r="C24" i="6"/>
  <c r="E31" i="4"/>
  <c r="D31" i="4"/>
  <c r="K212" i="1"/>
  <c r="K211" i="1"/>
  <c r="J210" i="1"/>
  <c r="E24" i="6" s="1"/>
  <c r="A40" i="1" l="1"/>
  <c r="B16" i="4"/>
  <c r="A9" i="6" s="1"/>
  <c r="K213" i="1"/>
  <c r="K214" i="1" s="1"/>
  <c r="F33" i="8"/>
  <c r="J33" i="8"/>
  <c r="N33" i="8"/>
  <c r="R33" i="8"/>
  <c r="V33" i="8"/>
  <c r="Z33" i="8"/>
  <c r="C33" i="8"/>
  <c r="G33" i="8"/>
  <c r="K33" i="8"/>
  <c r="O33" i="8"/>
  <c r="S33" i="8"/>
  <c r="AA33" i="8"/>
  <c r="D33" i="8"/>
  <c r="H33" i="8"/>
  <c r="L33" i="8"/>
  <c r="P33" i="8"/>
  <c r="T33" i="8"/>
  <c r="X33" i="8"/>
  <c r="M33" i="8"/>
  <c r="Q33" i="8"/>
  <c r="E33" i="8"/>
  <c r="U33" i="8"/>
  <c r="I33" i="8"/>
  <c r="Y33" i="8"/>
  <c r="A48" i="1" l="1"/>
  <c r="B17" i="4"/>
  <c r="A10" i="6" s="1"/>
  <c r="D55" i="6"/>
  <c r="C55" i="6"/>
  <c r="E62" i="4"/>
  <c r="D62" i="4"/>
  <c r="E59" i="4"/>
  <c r="D59" i="4"/>
  <c r="C52" i="6"/>
  <c r="D52" i="6"/>
  <c r="J902" i="1"/>
  <c r="J894" i="1"/>
  <c r="J886" i="1"/>
  <c r="J878" i="1"/>
  <c r="J869" i="1"/>
  <c r="J836" i="1"/>
  <c r="J755" i="1"/>
  <c r="J728" i="1"/>
  <c r="J699" i="1"/>
  <c r="J691" i="1"/>
  <c r="J681" i="1"/>
  <c r="J671" i="1"/>
  <c r="J659" i="1"/>
  <c r="J646" i="1"/>
  <c r="J633" i="1"/>
  <c r="J621" i="1"/>
  <c r="J613" i="1"/>
  <c r="J609" i="1"/>
  <c r="J601" i="1"/>
  <c r="J593" i="1"/>
  <c r="J569" i="1"/>
  <c r="J557" i="1"/>
  <c r="E55" i="6" s="1"/>
  <c r="J549" i="1"/>
  <c r="J543" i="1"/>
  <c r="J523" i="1"/>
  <c r="E52" i="6" s="1"/>
  <c r="J515" i="1"/>
  <c r="J509" i="1"/>
  <c r="J477" i="1"/>
  <c r="J463" i="1"/>
  <c r="J455" i="1"/>
  <c r="J435" i="1"/>
  <c r="J427" i="1"/>
  <c r="J419" i="1"/>
  <c r="J410" i="1"/>
  <c r="J404" i="1"/>
  <c r="J398" i="1"/>
  <c r="J392" i="1"/>
  <c r="J354" i="1"/>
  <c r="J345" i="1"/>
  <c r="J322" i="1"/>
  <c r="J335" i="1"/>
  <c r="J297" i="1"/>
  <c r="J279" i="1"/>
  <c r="J261" i="1"/>
  <c r="J255" i="1"/>
  <c r="J243" i="1"/>
  <c r="J239" i="1"/>
  <c r="J233" i="1"/>
  <c r="J224" i="1"/>
  <c r="J216" i="1"/>
  <c r="J204" i="1"/>
  <c r="J194" i="1"/>
  <c r="J180" i="1"/>
  <c r="J163" i="1"/>
  <c r="J143" i="1"/>
  <c r="J135" i="1"/>
  <c r="J127" i="1"/>
  <c r="J119" i="1"/>
  <c r="J111" i="1"/>
  <c r="J84" i="1"/>
  <c r="J76" i="1"/>
  <c r="J62" i="1"/>
  <c r="J48" i="1"/>
  <c r="J40" i="1"/>
  <c r="J32" i="1"/>
  <c r="J24" i="1"/>
  <c r="J16" i="1"/>
  <c r="J8" i="1"/>
  <c r="B18" i="4" l="1"/>
  <c r="A11" i="6" s="1"/>
  <c r="A62" i="1"/>
  <c r="G6" i="6"/>
  <c r="H6" i="6"/>
  <c r="H7" i="6"/>
  <c r="H8" i="6"/>
  <c r="H9" i="6"/>
  <c r="H10" i="6"/>
  <c r="H11" i="6"/>
  <c r="H12" i="6"/>
  <c r="H13" i="6"/>
  <c r="H14" i="6"/>
  <c r="H15" i="6"/>
  <c r="H16" i="6"/>
  <c r="H17" i="6"/>
  <c r="H18" i="6"/>
  <c r="H19" i="6"/>
  <c r="H20" i="6"/>
  <c r="H21" i="6"/>
  <c r="H22" i="6"/>
  <c r="H23" i="6"/>
  <c r="H25" i="6"/>
  <c r="H26" i="6"/>
  <c r="H27" i="6"/>
  <c r="H28" i="6"/>
  <c r="H29" i="6"/>
  <c r="H31" i="6"/>
  <c r="H32" i="6"/>
  <c r="H33" i="6"/>
  <c r="H34" i="6"/>
  <c r="H35" i="6"/>
  <c r="H37" i="6"/>
  <c r="H38" i="6"/>
  <c r="H39" i="6"/>
  <c r="H40" i="6"/>
  <c r="H41" i="6"/>
  <c r="H42" i="6"/>
  <c r="H43" i="6"/>
  <c r="H44" i="6"/>
  <c r="H45" i="6"/>
  <c r="H46" i="6"/>
  <c r="H47" i="6"/>
  <c r="H48" i="6"/>
  <c r="H49" i="6"/>
  <c r="H50" i="6"/>
  <c r="H51" i="6"/>
  <c r="H53" i="6"/>
  <c r="H54" i="6"/>
  <c r="H56" i="6"/>
  <c r="H57" i="6"/>
  <c r="H59" i="6"/>
  <c r="H60" i="6"/>
  <c r="H61" i="6"/>
  <c r="H62" i="6"/>
  <c r="H63" i="6"/>
  <c r="H64" i="6"/>
  <c r="H65" i="6"/>
  <c r="H66" i="6"/>
  <c r="H67" i="6"/>
  <c r="H68" i="6"/>
  <c r="H69" i="6"/>
  <c r="H70" i="6"/>
  <c r="H71" i="6"/>
  <c r="H72" i="6"/>
  <c r="H73" i="6"/>
  <c r="H76" i="6"/>
  <c r="H77" i="6"/>
  <c r="H78" i="6"/>
  <c r="H79" i="6"/>
  <c r="H80" i="6"/>
  <c r="G80" i="6"/>
  <c r="G79" i="6"/>
  <c r="G78" i="6"/>
  <c r="G77" i="6"/>
  <c r="G76" i="6"/>
  <c r="G73" i="6"/>
  <c r="G72" i="6"/>
  <c r="G71" i="6"/>
  <c r="G70" i="6"/>
  <c r="G69" i="6"/>
  <c r="G68" i="6"/>
  <c r="G67" i="6"/>
  <c r="G66" i="6"/>
  <c r="G65" i="6"/>
  <c r="G64" i="6"/>
  <c r="G63" i="6"/>
  <c r="G62" i="6"/>
  <c r="G61" i="6"/>
  <c r="G60" i="6"/>
  <c r="G59" i="6"/>
  <c r="G57" i="6"/>
  <c r="G56" i="6"/>
  <c r="G54" i="6"/>
  <c r="G53" i="6"/>
  <c r="G51" i="6"/>
  <c r="G50" i="6"/>
  <c r="G49" i="6"/>
  <c r="G48" i="6"/>
  <c r="G47" i="6"/>
  <c r="G46" i="6"/>
  <c r="G45" i="6"/>
  <c r="G44" i="6"/>
  <c r="G43" i="6"/>
  <c r="G42" i="6"/>
  <c r="G41" i="6"/>
  <c r="G40" i="6"/>
  <c r="G39" i="6"/>
  <c r="G38" i="6"/>
  <c r="G37" i="6"/>
  <c r="G35" i="6"/>
  <c r="G34" i="6"/>
  <c r="G33" i="6"/>
  <c r="G32" i="6"/>
  <c r="G31" i="6"/>
  <c r="G29" i="6"/>
  <c r="G28" i="6"/>
  <c r="G27" i="6"/>
  <c r="G26" i="6"/>
  <c r="G25" i="6"/>
  <c r="G23" i="6"/>
  <c r="G22" i="6"/>
  <c r="G21" i="6"/>
  <c r="G20" i="6"/>
  <c r="G19" i="6"/>
  <c r="G18" i="6"/>
  <c r="G17" i="6"/>
  <c r="G16" i="6"/>
  <c r="G15" i="6"/>
  <c r="G14" i="6"/>
  <c r="G13" i="6"/>
  <c r="G12" i="6"/>
  <c r="G11" i="6"/>
  <c r="G10" i="6"/>
  <c r="G9" i="6"/>
  <c r="G8" i="6"/>
  <c r="G7" i="6"/>
  <c r="E56" i="4"/>
  <c r="D56" i="4"/>
  <c r="E49" i="6"/>
  <c r="D49" i="6"/>
  <c r="C49" i="6"/>
  <c r="D48" i="6"/>
  <c r="C48" i="6"/>
  <c r="E55" i="4"/>
  <c r="D55" i="4"/>
  <c r="B19" i="4" l="1"/>
  <c r="A12" i="6" s="1"/>
  <c r="A76" i="1"/>
  <c r="F88" i="8"/>
  <c r="J88" i="8"/>
  <c r="N88" i="8"/>
  <c r="R88" i="8"/>
  <c r="V88" i="8"/>
  <c r="Z88" i="8"/>
  <c r="C88" i="8"/>
  <c r="G88" i="8"/>
  <c r="K88" i="8"/>
  <c r="O88" i="8"/>
  <c r="S88" i="8"/>
  <c r="AA88" i="8"/>
  <c r="D88" i="8"/>
  <c r="H88" i="8"/>
  <c r="L88" i="8"/>
  <c r="P88" i="8"/>
  <c r="T88" i="8"/>
  <c r="X88" i="8"/>
  <c r="E88" i="8"/>
  <c r="I88" i="8"/>
  <c r="M88" i="8"/>
  <c r="U88" i="8"/>
  <c r="Y88" i="8"/>
  <c r="Q88" i="8"/>
  <c r="D89" i="8"/>
  <c r="H89" i="8"/>
  <c r="L89" i="8"/>
  <c r="P89" i="8"/>
  <c r="T89" i="8"/>
  <c r="X89" i="8"/>
  <c r="F89" i="8"/>
  <c r="J89" i="8"/>
  <c r="N89" i="8"/>
  <c r="R89" i="8"/>
  <c r="V89" i="8"/>
  <c r="Z89" i="8"/>
  <c r="E89" i="8"/>
  <c r="I89" i="8"/>
  <c r="M89" i="8"/>
  <c r="Q89" i="8"/>
  <c r="U89" i="8"/>
  <c r="Y89" i="8"/>
  <c r="C89" i="8"/>
  <c r="G89" i="8"/>
  <c r="K89" i="8"/>
  <c r="O89" i="8"/>
  <c r="S89" i="8"/>
  <c r="AA89" i="8"/>
  <c r="F87" i="8"/>
  <c r="J87" i="8"/>
  <c r="N87" i="8"/>
  <c r="R87" i="8"/>
  <c r="V87" i="8"/>
  <c r="Z87" i="8"/>
  <c r="D87" i="8"/>
  <c r="H87" i="8"/>
  <c r="L87" i="8"/>
  <c r="P87" i="8"/>
  <c r="T87" i="8"/>
  <c r="X87" i="8"/>
  <c r="E87" i="8"/>
  <c r="I87" i="8"/>
  <c r="M87" i="8"/>
  <c r="Q87" i="8"/>
  <c r="U87" i="8"/>
  <c r="Y87" i="8"/>
  <c r="C87" i="8"/>
  <c r="G87" i="8"/>
  <c r="K87" i="8"/>
  <c r="O87" i="8"/>
  <c r="S87" i="8"/>
  <c r="AA87" i="8"/>
  <c r="E86" i="8"/>
  <c r="I86" i="8"/>
  <c r="M86" i="8"/>
  <c r="Q86" i="8"/>
  <c r="U86" i="8"/>
  <c r="Y86" i="8"/>
  <c r="S86" i="8"/>
  <c r="D86" i="8"/>
  <c r="H86" i="8"/>
  <c r="L86" i="8"/>
  <c r="P86" i="8"/>
  <c r="T86" i="8"/>
  <c r="X86" i="8"/>
  <c r="F86" i="8"/>
  <c r="J86" i="8"/>
  <c r="N86" i="8"/>
  <c r="R86" i="8"/>
  <c r="V86" i="8"/>
  <c r="Z86" i="8"/>
  <c r="C86" i="8"/>
  <c r="G86" i="8"/>
  <c r="K86" i="8"/>
  <c r="O86" i="8"/>
  <c r="AA86" i="8"/>
  <c r="E85" i="8"/>
  <c r="I85" i="8"/>
  <c r="M85" i="8"/>
  <c r="Q85" i="8"/>
  <c r="U85" i="8"/>
  <c r="Y85" i="8"/>
  <c r="F85" i="8"/>
  <c r="J85" i="8"/>
  <c r="N85" i="8"/>
  <c r="R85" i="8"/>
  <c r="V85" i="8"/>
  <c r="Z85" i="8"/>
  <c r="C85" i="8"/>
  <c r="G85" i="8"/>
  <c r="K85" i="8"/>
  <c r="O85" i="8"/>
  <c r="S85" i="8"/>
  <c r="AA85" i="8"/>
  <c r="D85" i="8"/>
  <c r="H85" i="8"/>
  <c r="L85" i="8"/>
  <c r="P85" i="8"/>
  <c r="T85" i="8"/>
  <c r="X85" i="8"/>
  <c r="D35" i="8"/>
  <c r="H35" i="8"/>
  <c r="L35" i="8"/>
  <c r="P35" i="8"/>
  <c r="T35" i="8"/>
  <c r="X35" i="8"/>
  <c r="E35" i="8"/>
  <c r="I35" i="8"/>
  <c r="M35" i="8"/>
  <c r="Q35" i="8"/>
  <c r="U35" i="8"/>
  <c r="Y35" i="8"/>
  <c r="F35" i="8"/>
  <c r="J35" i="8"/>
  <c r="N35" i="8"/>
  <c r="R35" i="8"/>
  <c r="V35" i="8"/>
  <c r="Z35" i="8"/>
  <c r="K35" i="8"/>
  <c r="AA35" i="8"/>
  <c r="O35" i="8"/>
  <c r="C35" i="8"/>
  <c r="S35" i="8"/>
  <c r="G35" i="8"/>
  <c r="D44" i="8"/>
  <c r="H44" i="8"/>
  <c r="L44" i="8"/>
  <c r="P44" i="8"/>
  <c r="T44" i="8"/>
  <c r="X44" i="8"/>
  <c r="E44" i="8"/>
  <c r="I44" i="8"/>
  <c r="Q44" i="8"/>
  <c r="U44" i="8"/>
  <c r="Y44" i="8"/>
  <c r="F44" i="8"/>
  <c r="J44" i="8"/>
  <c r="N44" i="8"/>
  <c r="R44" i="8"/>
  <c r="V44" i="8"/>
  <c r="Z44" i="8"/>
  <c r="C44" i="8"/>
  <c r="S44" i="8"/>
  <c r="G44" i="8"/>
  <c r="K44" i="8"/>
  <c r="AA44" i="8"/>
  <c r="O44" i="8"/>
  <c r="E61" i="8"/>
  <c r="I61" i="8"/>
  <c r="M61" i="8"/>
  <c r="Q61" i="8"/>
  <c r="U61" i="8"/>
  <c r="Y61" i="8"/>
  <c r="F61" i="8"/>
  <c r="J61" i="8"/>
  <c r="N61" i="8"/>
  <c r="R61" i="8"/>
  <c r="V61" i="8"/>
  <c r="Z61" i="8"/>
  <c r="C61" i="8"/>
  <c r="G61" i="8"/>
  <c r="K61" i="8"/>
  <c r="O61" i="8"/>
  <c r="S61" i="8"/>
  <c r="AA61" i="8"/>
  <c r="H61" i="8"/>
  <c r="X61" i="8"/>
  <c r="L61" i="8"/>
  <c r="P61" i="8"/>
  <c r="D61" i="8"/>
  <c r="T61" i="8"/>
  <c r="E70" i="8"/>
  <c r="I70" i="8"/>
  <c r="Q70" i="8"/>
  <c r="U70" i="8"/>
  <c r="Y70" i="8"/>
  <c r="C70" i="8"/>
  <c r="G70" i="8"/>
  <c r="K70" i="8"/>
  <c r="O70" i="8"/>
  <c r="S70" i="8"/>
  <c r="H70" i="8"/>
  <c r="P70" i="8"/>
  <c r="X70" i="8"/>
  <c r="J70" i="8"/>
  <c r="R70" i="8"/>
  <c r="Z70" i="8"/>
  <c r="D70" i="8"/>
  <c r="L70" i="8"/>
  <c r="T70" i="8"/>
  <c r="AA70" i="8"/>
  <c r="F70" i="8"/>
  <c r="N70" i="8"/>
  <c r="V70" i="8"/>
  <c r="F82" i="8"/>
  <c r="J82" i="8"/>
  <c r="N82" i="8"/>
  <c r="R82" i="8"/>
  <c r="V82" i="8"/>
  <c r="Z82" i="8"/>
  <c r="D82" i="8"/>
  <c r="H82" i="8"/>
  <c r="L82" i="8"/>
  <c r="P82" i="8"/>
  <c r="T82" i="8"/>
  <c r="X82" i="8"/>
  <c r="G82" i="8"/>
  <c r="O82" i="8"/>
  <c r="C82" i="8"/>
  <c r="S82" i="8"/>
  <c r="E82" i="8"/>
  <c r="I82" i="8"/>
  <c r="Q82" i="8"/>
  <c r="Y82" i="8"/>
  <c r="K82" i="8"/>
  <c r="AA82" i="8"/>
  <c r="M82" i="8"/>
  <c r="C36" i="8"/>
  <c r="G36" i="8"/>
  <c r="K36" i="8"/>
  <c r="O36" i="8"/>
  <c r="S36" i="8"/>
  <c r="AA36" i="8"/>
  <c r="D36" i="8"/>
  <c r="H36" i="8"/>
  <c r="L36" i="8"/>
  <c r="P36" i="8"/>
  <c r="T36" i="8"/>
  <c r="X36" i="8"/>
  <c r="E36" i="8"/>
  <c r="I36" i="8"/>
  <c r="M36" i="8"/>
  <c r="Q36" i="8"/>
  <c r="U36" i="8"/>
  <c r="Y36" i="8"/>
  <c r="R36" i="8"/>
  <c r="F36" i="8"/>
  <c r="V36" i="8"/>
  <c r="J36" i="8"/>
  <c r="Z36" i="8"/>
  <c r="N36" i="8"/>
  <c r="C46" i="8"/>
  <c r="G46" i="8"/>
  <c r="K46" i="8"/>
  <c r="O46" i="8"/>
  <c r="S46" i="8"/>
  <c r="AA46" i="8"/>
  <c r="D46" i="8"/>
  <c r="H46" i="8"/>
  <c r="L46" i="8"/>
  <c r="P46" i="8"/>
  <c r="T46" i="8"/>
  <c r="X46" i="8"/>
  <c r="E46" i="8"/>
  <c r="I46" i="8"/>
  <c r="Q46" i="8"/>
  <c r="U46" i="8"/>
  <c r="Y46" i="8"/>
  <c r="J46" i="8"/>
  <c r="Z46" i="8"/>
  <c r="N46" i="8"/>
  <c r="R46" i="8"/>
  <c r="F46" i="8"/>
  <c r="V46" i="8"/>
  <c r="F54" i="8"/>
  <c r="J54" i="8"/>
  <c r="N54" i="8"/>
  <c r="R54" i="8"/>
  <c r="V54" i="8"/>
  <c r="Z54" i="8"/>
  <c r="C54" i="8"/>
  <c r="G54" i="8"/>
  <c r="K54" i="8"/>
  <c r="O54" i="8"/>
  <c r="S54" i="8"/>
  <c r="AA54" i="8"/>
  <c r="D54" i="8"/>
  <c r="H54" i="8"/>
  <c r="L54" i="8"/>
  <c r="P54" i="8"/>
  <c r="T54" i="8"/>
  <c r="X54" i="8"/>
  <c r="Q54" i="8"/>
  <c r="E54" i="8"/>
  <c r="U54" i="8"/>
  <c r="I54" i="8"/>
  <c r="Y54" i="8"/>
  <c r="D62" i="8"/>
  <c r="H62" i="8"/>
  <c r="L62" i="8"/>
  <c r="P62" i="8"/>
  <c r="T62" i="8"/>
  <c r="X62" i="8"/>
  <c r="E62" i="8"/>
  <c r="I62" i="8"/>
  <c r="Q62" i="8"/>
  <c r="U62" i="8"/>
  <c r="Y62" i="8"/>
  <c r="F62" i="8"/>
  <c r="J62" i="8"/>
  <c r="N62" i="8"/>
  <c r="R62" i="8"/>
  <c r="V62" i="8"/>
  <c r="Z62" i="8"/>
  <c r="O62" i="8"/>
  <c r="C62" i="8"/>
  <c r="S62" i="8"/>
  <c r="G62" i="8"/>
  <c r="K62" i="8"/>
  <c r="AA62" i="8"/>
  <c r="D71" i="8"/>
  <c r="E71" i="8"/>
  <c r="I71" i="8"/>
  <c r="Q71" i="8"/>
  <c r="U71" i="8"/>
  <c r="Y71" i="8"/>
  <c r="F71" i="8"/>
  <c r="J71" i="8"/>
  <c r="N71" i="8"/>
  <c r="R71" i="8"/>
  <c r="V71" i="8"/>
  <c r="Z71" i="8"/>
  <c r="G71" i="8"/>
  <c r="K71" i="8"/>
  <c r="O71" i="8"/>
  <c r="S71" i="8"/>
  <c r="AA71" i="8"/>
  <c r="H71" i="8"/>
  <c r="X71" i="8"/>
  <c r="P71" i="8"/>
  <c r="T71" i="8"/>
  <c r="L71" i="8"/>
  <c r="C71" i="8"/>
  <c r="E79" i="8"/>
  <c r="I79" i="8"/>
  <c r="M79" i="8"/>
  <c r="Q79" i="8"/>
  <c r="Y79" i="8"/>
  <c r="C79" i="8"/>
  <c r="G79" i="8"/>
  <c r="K79" i="8"/>
  <c r="O79" i="8"/>
  <c r="S79" i="8"/>
  <c r="AA79" i="8"/>
  <c r="J79" i="8"/>
  <c r="R79" i="8"/>
  <c r="Z79" i="8"/>
  <c r="N79" i="8"/>
  <c r="P79" i="8"/>
  <c r="D79" i="8"/>
  <c r="L79" i="8"/>
  <c r="T79" i="8"/>
  <c r="F79" i="8"/>
  <c r="V79" i="8"/>
  <c r="H79" i="8"/>
  <c r="X79" i="8"/>
  <c r="F37" i="8"/>
  <c r="J37" i="8"/>
  <c r="N37" i="8"/>
  <c r="R37" i="8"/>
  <c r="V37" i="8"/>
  <c r="Z37" i="8"/>
  <c r="C37" i="8"/>
  <c r="G37" i="8"/>
  <c r="K37" i="8"/>
  <c r="O37" i="8"/>
  <c r="S37" i="8"/>
  <c r="AA37" i="8"/>
  <c r="D37" i="8"/>
  <c r="H37" i="8"/>
  <c r="L37" i="8"/>
  <c r="P37" i="8"/>
  <c r="T37" i="8"/>
  <c r="X37" i="8"/>
  <c r="I37" i="8"/>
  <c r="Y37" i="8"/>
  <c r="M37" i="8"/>
  <c r="Q37" i="8"/>
  <c r="U37" i="8"/>
  <c r="E37" i="8"/>
  <c r="F42" i="8"/>
  <c r="J42" i="8"/>
  <c r="N42" i="8"/>
  <c r="R42" i="8"/>
  <c r="V42" i="8"/>
  <c r="Z42" i="8"/>
  <c r="C42" i="8"/>
  <c r="G42" i="8"/>
  <c r="K42" i="8"/>
  <c r="O42" i="8"/>
  <c r="S42" i="8"/>
  <c r="AA42" i="8"/>
  <c r="D42" i="8"/>
  <c r="H42" i="8"/>
  <c r="L42" i="8"/>
  <c r="P42" i="8"/>
  <c r="T42" i="8"/>
  <c r="X42" i="8"/>
  <c r="E42" i="8"/>
  <c r="U42" i="8"/>
  <c r="I42" i="8"/>
  <c r="Y42" i="8"/>
  <c r="Q42" i="8"/>
  <c r="F47" i="8"/>
  <c r="J47" i="8"/>
  <c r="N47" i="8"/>
  <c r="C47" i="8"/>
  <c r="G47" i="8"/>
  <c r="K47" i="8"/>
  <c r="O47" i="8"/>
  <c r="D47" i="8"/>
  <c r="H47" i="8"/>
  <c r="L47" i="8"/>
  <c r="P47" i="8"/>
  <c r="Q47" i="8"/>
  <c r="U47" i="8"/>
  <c r="Y47" i="8"/>
  <c r="E47" i="8"/>
  <c r="R47" i="8"/>
  <c r="V47" i="8"/>
  <c r="Z47" i="8"/>
  <c r="I47" i="8"/>
  <c r="S47" i="8"/>
  <c r="AA47" i="8"/>
  <c r="T47" i="8"/>
  <c r="X47" i="8"/>
  <c r="E51" i="8"/>
  <c r="I51" i="8"/>
  <c r="Q51" i="8"/>
  <c r="U51" i="8"/>
  <c r="Y51" i="8"/>
  <c r="F51" i="8"/>
  <c r="J51" i="8"/>
  <c r="N51" i="8"/>
  <c r="R51" i="8"/>
  <c r="V51" i="8"/>
  <c r="Z51" i="8"/>
  <c r="C51" i="8"/>
  <c r="G51" i="8"/>
  <c r="K51" i="8"/>
  <c r="O51" i="8"/>
  <c r="S51" i="8"/>
  <c r="AA51" i="8"/>
  <c r="L51" i="8"/>
  <c r="P51" i="8"/>
  <c r="D51" i="8"/>
  <c r="T51" i="8"/>
  <c r="H51" i="8"/>
  <c r="X51" i="8"/>
  <c r="E55" i="8"/>
  <c r="I55" i="8"/>
  <c r="Q55" i="8"/>
  <c r="U55" i="8"/>
  <c r="Y55" i="8"/>
  <c r="F55" i="8"/>
  <c r="J55" i="8"/>
  <c r="N55" i="8"/>
  <c r="R55" i="8"/>
  <c r="V55" i="8"/>
  <c r="Z55" i="8"/>
  <c r="C55" i="8"/>
  <c r="G55" i="8"/>
  <c r="K55" i="8"/>
  <c r="O55" i="8"/>
  <c r="S55" i="8"/>
  <c r="AA55" i="8"/>
  <c r="H55" i="8"/>
  <c r="X55" i="8"/>
  <c r="L55" i="8"/>
  <c r="P55" i="8"/>
  <c r="D55" i="8"/>
  <c r="T55" i="8"/>
  <c r="C59" i="8"/>
  <c r="G59" i="8"/>
  <c r="K59" i="8"/>
  <c r="O59" i="8"/>
  <c r="S59" i="8"/>
  <c r="AA59" i="8"/>
  <c r="D59" i="8"/>
  <c r="H59" i="8"/>
  <c r="L59" i="8"/>
  <c r="P59" i="8"/>
  <c r="T59" i="8"/>
  <c r="X59" i="8"/>
  <c r="E59" i="8"/>
  <c r="I59" i="8"/>
  <c r="Q59" i="8"/>
  <c r="U59" i="8"/>
  <c r="Y59" i="8"/>
  <c r="J59" i="8"/>
  <c r="Z59" i="8"/>
  <c r="N59" i="8"/>
  <c r="R59" i="8"/>
  <c r="F59" i="8"/>
  <c r="V59" i="8"/>
  <c r="C63" i="8"/>
  <c r="G63" i="8"/>
  <c r="K63" i="8"/>
  <c r="O63" i="8"/>
  <c r="S63" i="8"/>
  <c r="AA63" i="8"/>
  <c r="D63" i="8"/>
  <c r="H63" i="8"/>
  <c r="L63" i="8"/>
  <c r="P63" i="8"/>
  <c r="T63" i="8"/>
  <c r="X63" i="8"/>
  <c r="E63" i="8"/>
  <c r="I63" i="8"/>
  <c r="Q63" i="8"/>
  <c r="U63" i="8"/>
  <c r="Y63" i="8"/>
  <c r="F63" i="8"/>
  <c r="V63" i="8"/>
  <c r="J63" i="8"/>
  <c r="Z63" i="8"/>
  <c r="N63" i="8"/>
  <c r="R63" i="8"/>
  <c r="C68" i="8"/>
  <c r="G68" i="8"/>
  <c r="K68" i="8"/>
  <c r="O68" i="8"/>
  <c r="S68" i="8"/>
  <c r="AA68" i="8"/>
  <c r="D68" i="8"/>
  <c r="H68" i="8"/>
  <c r="L68" i="8"/>
  <c r="P68" i="8"/>
  <c r="E68" i="8"/>
  <c r="I68" i="8"/>
  <c r="Q68" i="8"/>
  <c r="U68" i="8"/>
  <c r="Y68" i="8"/>
  <c r="R68" i="8"/>
  <c r="Z68" i="8"/>
  <c r="F68" i="8"/>
  <c r="T68" i="8"/>
  <c r="J68" i="8"/>
  <c r="V68" i="8"/>
  <c r="N68" i="8"/>
  <c r="X68" i="8"/>
  <c r="D72" i="8"/>
  <c r="H72" i="8"/>
  <c r="L72" i="8"/>
  <c r="P72" i="8"/>
  <c r="T72" i="8"/>
  <c r="X72" i="8"/>
  <c r="F72" i="8"/>
  <c r="J72" i="8"/>
  <c r="N72" i="8"/>
  <c r="R72" i="8"/>
  <c r="V72" i="8"/>
  <c r="Z72" i="8"/>
  <c r="I72" i="8"/>
  <c r="Q72" i="8"/>
  <c r="Y72" i="8"/>
  <c r="E72" i="8"/>
  <c r="U72" i="8"/>
  <c r="G72" i="8"/>
  <c r="C72" i="8"/>
  <c r="K72" i="8"/>
  <c r="S72" i="8"/>
  <c r="AA72" i="8"/>
  <c r="O72" i="8"/>
  <c r="D76" i="8"/>
  <c r="H76" i="8"/>
  <c r="L76" i="8"/>
  <c r="P76" i="8"/>
  <c r="T76" i="8"/>
  <c r="X76" i="8"/>
  <c r="F76" i="8"/>
  <c r="J76" i="8"/>
  <c r="N76" i="8"/>
  <c r="R76" i="8"/>
  <c r="V76" i="8"/>
  <c r="Z76" i="8"/>
  <c r="E76" i="8"/>
  <c r="M76" i="8"/>
  <c r="I76" i="8"/>
  <c r="Y76" i="8"/>
  <c r="K76" i="8"/>
  <c r="AA76" i="8"/>
  <c r="G76" i="8"/>
  <c r="O76" i="8"/>
  <c r="Q76" i="8"/>
  <c r="C76" i="8"/>
  <c r="S76" i="8"/>
  <c r="D80" i="8"/>
  <c r="H80" i="8"/>
  <c r="L80" i="8"/>
  <c r="P80" i="8"/>
  <c r="T80" i="8"/>
  <c r="X80" i="8"/>
  <c r="F80" i="8"/>
  <c r="J80" i="8"/>
  <c r="N80" i="8"/>
  <c r="R80" i="8"/>
  <c r="V80" i="8"/>
  <c r="Z80" i="8"/>
  <c r="I80" i="8"/>
  <c r="Q80" i="8"/>
  <c r="Y80" i="8"/>
  <c r="E80" i="8"/>
  <c r="G80" i="8"/>
  <c r="C80" i="8"/>
  <c r="K80" i="8"/>
  <c r="S80" i="8"/>
  <c r="AA80" i="8"/>
  <c r="M80" i="8"/>
  <c r="O80" i="8"/>
  <c r="D40" i="8"/>
  <c r="H40" i="8"/>
  <c r="L40" i="8"/>
  <c r="P40" i="8"/>
  <c r="T40" i="8"/>
  <c r="X40" i="8"/>
  <c r="E40" i="8"/>
  <c r="I40" i="8"/>
  <c r="Q40" i="8"/>
  <c r="U40" i="8"/>
  <c r="Y40" i="8"/>
  <c r="F40" i="8"/>
  <c r="J40" i="8"/>
  <c r="N40" i="8"/>
  <c r="R40" i="8"/>
  <c r="V40" i="8"/>
  <c r="Z40" i="8"/>
  <c r="G40" i="8"/>
  <c r="K40" i="8"/>
  <c r="AA40" i="8"/>
  <c r="O40" i="8"/>
  <c r="C40" i="8"/>
  <c r="S40" i="8"/>
  <c r="C49" i="8"/>
  <c r="G49" i="8"/>
  <c r="K49" i="8"/>
  <c r="O49" i="8"/>
  <c r="S49" i="8"/>
  <c r="AA49" i="8"/>
  <c r="D49" i="8"/>
  <c r="H49" i="8"/>
  <c r="L49" i="8"/>
  <c r="P49" i="8"/>
  <c r="T49" i="8"/>
  <c r="X49" i="8"/>
  <c r="E49" i="8"/>
  <c r="I49" i="8"/>
  <c r="Q49" i="8"/>
  <c r="U49" i="8"/>
  <c r="Y49" i="8"/>
  <c r="N49" i="8"/>
  <c r="R49" i="8"/>
  <c r="F49" i="8"/>
  <c r="V49" i="8"/>
  <c r="Z49" i="8"/>
  <c r="J49" i="8"/>
  <c r="C53" i="8"/>
  <c r="G53" i="8"/>
  <c r="K53" i="8"/>
  <c r="O53" i="8"/>
  <c r="S53" i="8"/>
  <c r="AA53" i="8"/>
  <c r="D53" i="8"/>
  <c r="H53" i="8"/>
  <c r="L53" i="8"/>
  <c r="P53" i="8"/>
  <c r="T53" i="8"/>
  <c r="X53" i="8"/>
  <c r="E53" i="8"/>
  <c r="I53" i="8"/>
  <c r="Q53" i="8"/>
  <c r="U53" i="8"/>
  <c r="Y53" i="8"/>
  <c r="J53" i="8"/>
  <c r="Z53" i="8"/>
  <c r="N53" i="8"/>
  <c r="R53" i="8"/>
  <c r="F53" i="8"/>
  <c r="V53" i="8"/>
  <c r="C57" i="8"/>
  <c r="G57" i="8"/>
  <c r="K57" i="8"/>
  <c r="O57" i="8"/>
  <c r="S57" i="8"/>
  <c r="E57" i="8"/>
  <c r="I57" i="8"/>
  <c r="Q57" i="8"/>
  <c r="U57" i="8"/>
  <c r="Y57" i="8"/>
  <c r="J57" i="8"/>
  <c r="R57" i="8"/>
  <c r="X57" i="8"/>
  <c r="D57" i="8"/>
  <c r="L57" i="8"/>
  <c r="T57" i="8"/>
  <c r="Z57" i="8"/>
  <c r="F57" i="8"/>
  <c r="N57" i="8"/>
  <c r="V57" i="8"/>
  <c r="AA57" i="8"/>
  <c r="H57" i="8"/>
  <c r="P57" i="8"/>
  <c r="E65" i="8"/>
  <c r="I65" i="8"/>
  <c r="Q65" i="8"/>
  <c r="U65" i="8"/>
  <c r="Y65" i="8"/>
  <c r="F65" i="8"/>
  <c r="J65" i="8"/>
  <c r="N65" i="8"/>
  <c r="R65" i="8"/>
  <c r="V65" i="8"/>
  <c r="Z65" i="8"/>
  <c r="C65" i="8"/>
  <c r="G65" i="8"/>
  <c r="K65" i="8"/>
  <c r="O65" i="8"/>
  <c r="S65" i="8"/>
  <c r="AA65" i="8"/>
  <c r="D65" i="8"/>
  <c r="T65" i="8"/>
  <c r="H65" i="8"/>
  <c r="X65" i="8"/>
  <c r="L65" i="8"/>
  <c r="P65" i="8"/>
  <c r="F74" i="8"/>
  <c r="J74" i="8"/>
  <c r="N74" i="8"/>
  <c r="R74" i="8"/>
  <c r="V74" i="8"/>
  <c r="Z74" i="8"/>
  <c r="D74" i="8"/>
  <c r="H74" i="8"/>
  <c r="L74" i="8"/>
  <c r="P74" i="8"/>
  <c r="T74" i="8"/>
  <c r="X74" i="8"/>
  <c r="G74" i="8"/>
  <c r="O74" i="8"/>
  <c r="K74" i="8"/>
  <c r="AA74" i="8"/>
  <c r="E74" i="8"/>
  <c r="I74" i="8"/>
  <c r="Q74" i="8"/>
  <c r="Y74" i="8"/>
  <c r="C74" i="8"/>
  <c r="S74" i="8"/>
  <c r="U74" i="8"/>
  <c r="F78" i="8"/>
  <c r="J78" i="8"/>
  <c r="N78" i="8"/>
  <c r="R78" i="8"/>
  <c r="V78" i="8"/>
  <c r="Z78" i="8"/>
  <c r="D78" i="8"/>
  <c r="H78" i="8"/>
  <c r="L78" i="8"/>
  <c r="P78" i="8"/>
  <c r="T78" i="8"/>
  <c r="X78" i="8"/>
  <c r="C78" i="8"/>
  <c r="K78" i="8"/>
  <c r="S78" i="8"/>
  <c r="AA78" i="8"/>
  <c r="G78" i="8"/>
  <c r="I78" i="8"/>
  <c r="Y78" i="8"/>
  <c r="E78" i="8"/>
  <c r="M78" i="8"/>
  <c r="O78" i="8"/>
  <c r="Q78" i="8"/>
  <c r="C41" i="8"/>
  <c r="G41" i="8"/>
  <c r="K41" i="8"/>
  <c r="O41" i="8"/>
  <c r="S41" i="8"/>
  <c r="AA41" i="8"/>
  <c r="D41" i="8"/>
  <c r="H41" i="8"/>
  <c r="L41" i="8"/>
  <c r="P41" i="8"/>
  <c r="T41" i="8"/>
  <c r="X41" i="8"/>
  <c r="E41" i="8"/>
  <c r="I41" i="8"/>
  <c r="Q41" i="8"/>
  <c r="U41" i="8"/>
  <c r="Y41" i="8"/>
  <c r="N41" i="8"/>
  <c r="R41" i="8"/>
  <c r="F41" i="8"/>
  <c r="V41" i="8"/>
  <c r="J41" i="8"/>
  <c r="Z41" i="8"/>
  <c r="F50" i="8"/>
  <c r="J50" i="8"/>
  <c r="N50" i="8"/>
  <c r="R50" i="8"/>
  <c r="V50" i="8"/>
  <c r="Z50" i="8"/>
  <c r="C50" i="8"/>
  <c r="G50" i="8"/>
  <c r="K50" i="8"/>
  <c r="O50" i="8"/>
  <c r="S50" i="8"/>
  <c r="AA50" i="8"/>
  <c r="D50" i="8"/>
  <c r="H50" i="8"/>
  <c r="L50" i="8"/>
  <c r="P50" i="8"/>
  <c r="T50" i="8"/>
  <c r="X50" i="8"/>
  <c r="E50" i="8"/>
  <c r="U50" i="8"/>
  <c r="I50" i="8"/>
  <c r="Y50" i="8"/>
  <c r="Q50" i="8"/>
  <c r="D58" i="8"/>
  <c r="H58" i="8"/>
  <c r="L58" i="8"/>
  <c r="P58" i="8"/>
  <c r="T58" i="8"/>
  <c r="X58" i="8"/>
  <c r="E58" i="8"/>
  <c r="I58" i="8"/>
  <c r="Q58" i="8"/>
  <c r="U58" i="8"/>
  <c r="Y58" i="8"/>
  <c r="F58" i="8"/>
  <c r="J58" i="8"/>
  <c r="N58" i="8"/>
  <c r="R58" i="8"/>
  <c r="V58" i="8"/>
  <c r="Z58" i="8"/>
  <c r="C58" i="8"/>
  <c r="S58" i="8"/>
  <c r="G58" i="8"/>
  <c r="K58" i="8"/>
  <c r="AA58" i="8"/>
  <c r="O58" i="8"/>
  <c r="D66" i="8"/>
  <c r="H66" i="8"/>
  <c r="L66" i="8"/>
  <c r="P66" i="8"/>
  <c r="T66" i="8"/>
  <c r="X66" i="8"/>
  <c r="E66" i="8"/>
  <c r="I66" i="8"/>
  <c r="Q66" i="8"/>
  <c r="U66" i="8"/>
  <c r="Y66" i="8"/>
  <c r="F66" i="8"/>
  <c r="J66" i="8"/>
  <c r="N66" i="8"/>
  <c r="R66" i="8"/>
  <c r="V66" i="8"/>
  <c r="Z66" i="8"/>
  <c r="K66" i="8"/>
  <c r="AA66" i="8"/>
  <c r="O66" i="8"/>
  <c r="C66" i="8"/>
  <c r="S66" i="8"/>
  <c r="G66" i="8"/>
  <c r="E75" i="8"/>
  <c r="I75" i="8"/>
  <c r="Q75" i="8"/>
  <c r="U75" i="8"/>
  <c r="Y75" i="8"/>
  <c r="C75" i="8"/>
  <c r="G75" i="8"/>
  <c r="K75" i="8"/>
  <c r="O75" i="8"/>
  <c r="S75" i="8"/>
  <c r="AA75" i="8"/>
  <c r="F75" i="8"/>
  <c r="N75" i="8"/>
  <c r="V75" i="8"/>
  <c r="R75" i="8"/>
  <c r="D75" i="8"/>
  <c r="T75" i="8"/>
  <c r="H75" i="8"/>
  <c r="P75" i="8"/>
  <c r="X75" i="8"/>
  <c r="J75" i="8"/>
  <c r="Z75" i="8"/>
  <c r="L75" i="8"/>
  <c r="E34" i="8"/>
  <c r="I34" i="8"/>
  <c r="M34" i="8"/>
  <c r="Q34" i="8"/>
  <c r="U34" i="8"/>
  <c r="Y34" i="8"/>
  <c r="F34" i="8"/>
  <c r="J34" i="8"/>
  <c r="N34" i="8"/>
  <c r="R34" i="8"/>
  <c r="V34" i="8"/>
  <c r="Z34" i="8"/>
  <c r="C34" i="8"/>
  <c r="G34" i="8"/>
  <c r="K34" i="8"/>
  <c r="O34" i="8"/>
  <c r="S34" i="8"/>
  <c r="AA34" i="8"/>
  <c r="D34" i="8"/>
  <c r="T34" i="8"/>
  <c r="H34" i="8"/>
  <c r="X34" i="8"/>
  <c r="L34" i="8"/>
  <c r="P34" i="8"/>
  <c r="E38" i="8"/>
  <c r="I38" i="8"/>
  <c r="Q38" i="8"/>
  <c r="U38" i="8"/>
  <c r="Y38" i="8"/>
  <c r="F38" i="8"/>
  <c r="J38" i="8"/>
  <c r="N38" i="8"/>
  <c r="R38" i="8"/>
  <c r="V38" i="8"/>
  <c r="Z38" i="8"/>
  <c r="C38" i="8"/>
  <c r="G38" i="8"/>
  <c r="K38" i="8"/>
  <c r="O38" i="8"/>
  <c r="S38" i="8"/>
  <c r="AA38" i="8"/>
  <c r="P38" i="8"/>
  <c r="D38" i="8"/>
  <c r="T38" i="8"/>
  <c r="H38" i="8"/>
  <c r="X38" i="8"/>
  <c r="L38" i="8"/>
  <c r="E43" i="8"/>
  <c r="I43" i="8"/>
  <c r="Q43" i="8"/>
  <c r="U43" i="8"/>
  <c r="Y43" i="8"/>
  <c r="F43" i="8"/>
  <c r="J43" i="8"/>
  <c r="N43" i="8"/>
  <c r="R43" i="8"/>
  <c r="V43" i="8"/>
  <c r="Z43" i="8"/>
  <c r="C43" i="8"/>
  <c r="G43" i="8"/>
  <c r="K43" i="8"/>
  <c r="O43" i="8"/>
  <c r="S43" i="8"/>
  <c r="AA43" i="8"/>
  <c r="L43" i="8"/>
  <c r="P43" i="8"/>
  <c r="D43" i="8"/>
  <c r="T43" i="8"/>
  <c r="X43" i="8"/>
  <c r="H43" i="8"/>
  <c r="D48" i="8"/>
  <c r="H48" i="8"/>
  <c r="L48" i="8"/>
  <c r="P48" i="8"/>
  <c r="T48" i="8"/>
  <c r="X48" i="8"/>
  <c r="E48" i="8"/>
  <c r="I48" i="8"/>
  <c r="Q48" i="8"/>
  <c r="U48" i="8"/>
  <c r="Y48" i="8"/>
  <c r="F48" i="8"/>
  <c r="J48" i="8"/>
  <c r="N48" i="8"/>
  <c r="R48" i="8"/>
  <c r="V48" i="8"/>
  <c r="Z48" i="8"/>
  <c r="G48" i="8"/>
  <c r="K48" i="8"/>
  <c r="AA48" i="8"/>
  <c r="O48" i="8"/>
  <c r="C48" i="8"/>
  <c r="S48" i="8"/>
  <c r="D52" i="8"/>
  <c r="H52" i="8"/>
  <c r="L52" i="8"/>
  <c r="P52" i="8"/>
  <c r="T52" i="8"/>
  <c r="X52" i="8"/>
  <c r="E52" i="8"/>
  <c r="I52" i="8"/>
  <c r="Q52" i="8"/>
  <c r="U52" i="8"/>
  <c r="Y52" i="8"/>
  <c r="F52" i="8"/>
  <c r="J52" i="8"/>
  <c r="N52" i="8"/>
  <c r="R52" i="8"/>
  <c r="V52" i="8"/>
  <c r="Z52" i="8"/>
  <c r="C52" i="8"/>
  <c r="S52" i="8"/>
  <c r="G52" i="8"/>
  <c r="K52" i="8"/>
  <c r="AA52" i="8"/>
  <c r="O52" i="8"/>
  <c r="D56" i="8"/>
  <c r="H56" i="8"/>
  <c r="L56" i="8"/>
  <c r="P56" i="8"/>
  <c r="T56" i="8"/>
  <c r="X56" i="8"/>
  <c r="E56" i="8"/>
  <c r="F56" i="8"/>
  <c r="J56" i="8"/>
  <c r="N56" i="8"/>
  <c r="R56" i="8"/>
  <c r="V56" i="8"/>
  <c r="Z56" i="8"/>
  <c r="K56" i="8"/>
  <c r="S56" i="8"/>
  <c r="AA56" i="8"/>
  <c r="C56" i="8"/>
  <c r="U56" i="8"/>
  <c r="G56" i="8"/>
  <c r="O56" i="8"/>
  <c r="Y56" i="8"/>
  <c r="I56" i="8"/>
  <c r="Q56" i="8"/>
  <c r="F60" i="8"/>
  <c r="J60" i="8"/>
  <c r="N60" i="8"/>
  <c r="R60" i="8"/>
  <c r="V60" i="8"/>
  <c r="Z60" i="8"/>
  <c r="C60" i="8"/>
  <c r="G60" i="8"/>
  <c r="K60" i="8"/>
  <c r="O60" i="8"/>
  <c r="S60" i="8"/>
  <c r="AA60" i="8"/>
  <c r="D60" i="8"/>
  <c r="H60" i="8"/>
  <c r="L60" i="8"/>
  <c r="P60" i="8"/>
  <c r="T60" i="8"/>
  <c r="X60" i="8"/>
  <c r="Q60" i="8"/>
  <c r="E60" i="8"/>
  <c r="U60" i="8"/>
  <c r="I60" i="8"/>
  <c r="Y60" i="8"/>
  <c r="F64" i="8"/>
  <c r="J64" i="8"/>
  <c r="N64" i="8"/>
  <c r="R64" i="8"/>
  <c r="V64" i="8"/>
  <c r="Z64" i="8"/>
  <c r="C64" i="8"/>
  <c r="G64" i="8"/>
  <c r="K64" i="8"/>
  <c r="O64" i="8"/>
  <c r="S64" i="8"/>
  <c r="AA64" i="8"/>
  <c r="D64" i="8"/>
  <c r="H64" i="8"/>
  <c r="L64" i="8"/>
  <c r="P64" i="8"/>
  <c r="T64" i="8"/>
  <c r="X64" i="8"/>
  <c r="M64" i="8"/>
  <c r="Q64" i="8"/>
  <c r="E64" i="8"/>
  <c r="U64" i="8"/>
  <c r="I64" i="8"/>
  <c r="Y64" i="8"/>
  <c r="F69" i="8"/>
  <c r="J69" i="8"/>
  <c r="N69" i="8"/>
  <c r="R69" i="8"/>
  <c r="V69" i="8"/>
  <c r="Z69" i="8"/>
  <c r="D69" i="8"/>
  <c r="H69" i="8"/>
  <c r="L69" i="8"/>
  <c r="P69" i="8"/>
  <c r="T69" i="8"/>
  <c r="X69" i="8"/>
  <c r="I69" i="8"/>
  <c r="Q69" i="8"/>
  <c r="Y69" i="8"/>
  <c r="C69" i="8"/>
  <c r="K69" i="8"/>
  <c r="S69" i="8"/>
  <c r="AA69" i="8"/>
  <c r="E69" i="8"/>
  <c r="U69" i="8"/>
  <c r="O69" i="8"/>
  <c r="G69" i="8"/>
  <c r="C73" i="8"/>
  <c r="G73" i="8"/>
  <c r="K73" i="8"/>
  <c r="O73" i="8"/>
  <c r="S73" i="8"/>
  <c r="AA73" i="8"/>
  <c r="E73" i="8"/>
  <c r="I73" i="8"/>
  <c r="Q73" i="8"/>
  <c r="U73" i="8"/>
  <c r="Y73" i="8"/>
  <c r="H73" i="8"/>
  <c r="P73" i="8"/>
  <c r="X73" i="8"/>
  <c r="D73" i="8"/>
  <c r="T73" i="8"/>
  <c r="N73" i="8"/>
  <c r="J73" i="8"/>
  <c r="R73" i="8"/>
  <c r="Z73" i="8"/>
  <c r="L73" i="8"/>
  <c r="F73" i="8"/>
  <c r="V73" i="8"/>
  <c r="C77" i="8"/>
  <c r="G77" i="8"/>
  <c r="K77" i="8"/>
  <c r="O77" i="8"/>
  <c r="S77" i="8"/>
  <c r="AA77" i="8"/>
  <c r="E77" i="8"/>
  <c r="I77" i="8"/>
  <c r="M77" i="8"/>
  <c r="Q77" i="8"/>
  <c r="Y77" i="8"/>
  <c r="D77" i="8"/>
  <c r="L77" i="8"/>
  <c r="T77" i="8"/>
  <c r="P77" i="8"/>
  <c r="R77" i="8"/>
  <c r="F77" i="8"/>
  <c r="N77" i="8"/>
  <c r="V77" i="8"/>
  <c r="H77" i="8"/>
  <c r="X77" i="8"/>
  <c r="J77" i="8"/>
  <c r="Z77" i="8"/>
  <c r="C81" i="8"/>
  <c r="G81" i="8"/>
  <c r="K81" i="8"/>
  <c r="O81" i="8"/>
  <c r="S81" i="8"/>
  <c r="AA81" i="8"/>
  <c r="E81" i="8"/>
  <c r="I81" i="8"/>
  <c r="M81" i="8"/>
  <c r="Q81" i="8"/>
  <c r="Y81" i="8"/>
  <c r="H81" i="8"/>
  <c r="P81" i="8"/>
  <c r="X81" i="8"/>
  <c r="L81" i="8"/>
  <c r="N81" i="8"/>
  <c r="J81" i="8"/>
  <c r="R81" i="8"/>
  <c r="Z81" i="8"/>
  <c r="D81" i="8"/>
  <c r="T81" i="8"/>
  <c r="F81" i="8"/>
  <c r="V81" i="8"/>
  <c r="C32" i="8"/>
  <c r="T17" i="8"/>
  <c r="X17" i="8"/>
  <c r="U17" i="8"/>
  <c r="Y17" i="8"/>
  <c r="R17" i="8"/>
  <c r="V17" i="8"/>
  <c r="Z17" i="8"/>
  <c r="AA17" i="8"/>
  <c r="N17" i="8"/>
  <c r="O17" i="8"/>
  <c r="S17" i="8"/>
  <c r="P17" i="8"/>
  <c r="W17" i="8"/>
  <c r="Q17" i="8"/>
  <c r="K17" i="8"/>
  <c r="H17" i="8"/>
  <c r="L17" i="8"/>
  <c r="I17" i="8"/>
  <c r="E17" i="8"/>
  <c r="F17" i="8"/>
  <c r="D17" i="8"/>
  <c r="G17" i="8"/>
  <c r="M17" i="8"/>
  <c r="J17" i="8"/>
  <c r="T21" i="8"/>
  <c r="X21" i="8"/>
  <c r="U21" i="8"/>
  <c r="Y21" i="8"/>
  <c r="R21" i="8"/>
  <c r="V21" i="8"/>
  <c r="Z21" i="8"/>
  <c r="S21" i="8"/>
  <c r="N21" i="8"/>
  <c r="W21" i="8"/>
  <c r="O21" i="8"/>
  <c r="AA21" i="8"/>
  <c r="P21" i="8"/>
  <c r="M21" i="8"/>
  <c r="K21" i="8"/>
  <c r="Q21" i="8"/>
  <c r="H21" i="8"/>
  <c r="L21" i="8"/>
  <c r="I21" i="8"/>
  <c r="J21" i="8"/>
  <c r="E21" i="8"/>
  <c r="F21" i="8"/>
  <c r="D21" i="8"/>
  <c r="G21" i="8"/>
  <c r="D25" i="8"/>
  <c r="R25" i="8"/>
  <c r="V25" i="8"/>
  <c r="Z25" i="8"/>
  <c r="S25" i="8"/>
  <c r="AA25" i="8"/>
  <c r="T25" i="8"/>
  <c r="X25" i="8"/>
  <c r="U25" i="8"/>
  <c r="O25" i="8"/>
  <c r="Y25" i="8"/>
  <c r="P25" i="8"/>
  <c r="M25" i="8"/>
  <c r="Q25" i="8"/>
  <c r="N25" i="8"/>
  <c r="H25" i="8"/>
  <c r="L25" i="8"/>
  <c r="I25" i="8"/>
  <c r="J25" i="8"/>
  <c r="K25" i="8"/>
  <c r="G25" i="8"/>
  <c r="F25" i="8"/>
  <c r="E25" i="8"/>
  <c r="T29" i="8"/>
  <c r="X29" i="8"/>
  <c r="U29" i="8"/>
  <c r="Y29" i="8"/>
  <c r="R29" i="8"/>
  <c r="V29" i="8"/>
  <c r="Z29" i="8"/>
  <c r="AA29" i="8"/>
  <c r="N29" i="8"/>
  <c r="O29" i="8"/>
  <c r="S29" i="8"/>
  <c r="P29" i="8"/>
  <c r="K29" i="8"/>
  <c r="M29" i="8"/>
  <c r="H29" i="8"/>
  <c r="L29" i="8"/>
  <c r="Q29" i="8"/>
  <c r="I29" i="8"/>
  <c r="E29" i="8"/>
  <c r="J29" i="8"/>
  <c r="F29" i="8"/>
  <c r="G29" i="8"/>
  <c r="D29" i="8"/>
  <c r="D16" i="8"/>
  <c r="R16" i="8"/>
  <c r="V16" i="8"/>
  <c r="Z16" i="8"/>
  <c r="S16" i="8"/>
  <c r="W16" i="8"/>
  <c r="AA16" i="8"/>
  <c r="T16" i="8"/>
  <c r="X16" i="8"/>
  <c r="U16" i="8"/>
  <c r="O16" i="8"/>
  <c r="Y16" i="8"/>
  <c r="P16" i="8"/>
  <c r="M16" i="8"/>
  <c r="Q16" i="8"/>
  <c r="H16" i="8"/>
  <c r="L16" i="8"/>
  <c r="I16" i="8"/>
  <c r="N16" i="8"/>
  <c r="J16" i="8"/>
  <c r="G16" i="8"/>
  <c r="F16" i="8"/>
  <c r="E16" i="8"/>
  <c r="K16" i="8"/>
  <c r="R20" i="8"/>
  <c r="V20" i="8"/>
  <c r="Z20" i="8"/>
  <c r="S20" i="8"/>
  <c r="W20" i="8"/>
  <c r="AA20" i="8"/>
  <c r="T20" i="8"/>
  <c r="X20" i="8"/>
  <c r="O20" i="8"/>
  <c r="P20" i="8"/>
  <c r="U20" i="8"/>
  <c r="M20" i="8"/>
  <c r="Q20" i="8"/>
  <c r="H20" i="8"/>
  <c r="L20" i="8"/>
  <c r="I20" i="8"/>
  <c r="Y20" i="8"/>
  <c r="J20" i="8"/>
  <c r="N20" i="8"/>
  <c r="G20" i="8"/>
  <c r="D20" i="8"/>
  <c r="K20" i="8"/>
  <c r="F20" i="8"/>
  <c r="E20" i="8"/>
  <c r="R18" i="8"/>
  <c r="V18" i="8"/>
  <c r="Z18" i="8"/>
  <c r="S18" i="8"/>
  <c r="W18" i="8"/>
  <c r="AA18" i="8"/>
  <c r="T18" i="8"/>
  <c r="X18" i="8"/>
  <c r="M18" i="8"/>
  <c r="Q18" i="8"/>
  <c r="U18" i="8"/>
  <c r="N18" i="8"/>
  <c r="Y18" i="8"/>
  <c r="O18" i="8"/>
  <c r="J18" i="8"/>
  <c r="P18" i="8"/>
  <c r="K18" i="8"/>
  <c r="H18" i="8"/>
  <c r="L18" i="8"/>
  <c r="I18" i="8"/>
  <c r="G18" i="8"/>
  <c r="E18" i="8"/>
  <c r="D18" i="8"/>
  <c r="F18" i="8"/>
  <c r="R22" i="8"/>
  <c r="V22" i="8"/>
  <c r="Z22" i="8"/>
  <c r="S22" i="8"/>
  <c r="AA22" i="8"/>
  <c r="T22" i="8"/>
  <c r="X22" i="8"/>
  <c r="Y22" i="8"/>
  <c r="M22" i="8"/>
  <c r="Q22" i="8"/>
  <c r="N22" i="8"/>
  <c r="O22" i="8"/>
  <c r="J22" i="8"/>
  <c r="K22" i="8"/>
  <c r="P22" i="8"/>
  <c r="H22" i="8"/>
  <c r="L22" i="8"/>
  <c r="U22" i="8"/>
  <c r="G22" i="8"/>
  <c r="F22" i="8"/>
  <c r="I22" i="8"/>
  <c r="E22" i="8"/>
  <c r="D22" i="8"/>
  <c r="R30" i="8"/>
  <c r="V30" i="8"/>
  <c r="Z30" i="8"/>
  <c r="S30" i="8"/>
  <c r="AA30" i="8"/>
  <c r="T30" i="8"/>
  <c r="X30" i="8"/>
  <c r="M30" i="8"/>
  <c r="Q30" i="8"/>
  <c r="U30" i="8"/>
  <c r="N30" i="8"/>
  <c r="Y30" i="8"/>
  <c r="O30" i="8"/>
  <c r="J30" i="8"/>
  <c r="K30" i="8"/>
  <c r="H30" i="8"/>
  <c r="L30" i="8"/>
  <c r="G30" i="8"/>
  <c r="D30" i="8"/>
  <c r="E30" i="8"/>
  <c r="F30" i="8"/>
  <c r="P30" i="8"/>
  <c r="I30" i="8"/>
  <c r="T19" i="8"/>
  <c r="X19" i="8"/>
  <c r="U19" i="8"/>
  <c r="Y19" i="8"/>
  <c r="R19" i="8"/>
  <c r="V19" i="8"/>
  <c r="Z19" i="8"/>
  <c r="W19" i="8"/>
  <c r="P19" i="8"/>
  <c r="AA19" i="8"/>
  <c r="M19" i="8"/>
  <c r="Q19" i="8"/>
  <c r="N19" i="8"/>
  <c r="I19" i="8"/>
  <c r="S19" i="8"/>
  <c r="J19" i="8"/>
  <c r="O19" i="8"/>
  <c r="K19" i="8"/>
  <c r="H19" i="8"/>
  <c r="F19" i="8"/>
  <c r="D19" i="8"/>
  <c r="L19" i="8"/>
  <c r="G19" i="8"/>
  <c r="E19" i="8"/>
  <c r="T23" i="8"/>
  <c r="X23" i="8"/>
  <c r="U23" i="8"/>
  <c r="Y23" i="8"/>
  <c r="R23" i="8"/>
  <c r="V23" i="8"/>
  <c r="Z23" i="8"/>
  <c r="P23" i="8"/>
  <c r="S23" i="8"/>
  <c r="M23" i="8"/>
  <c r="Q23" i="8"/>
  <c r="N23" i="8"/>
  <c r="AA23" i="8"/>
  <c r="I23" i="8"/>
  <c r="J23" i="8"/>
  <c r="K23" i="8"/>
  <c r="L23" i="8"/>
  <c r="O23" i="8"/>
  <c r="F23" i="8"/>
  <c r="H23" i="8"/>
  <c r="G23" i="8"/>
  <c r="E23" i="8"/>
  <c r="T31" i="8"/>
  <c r="X31" i="8"/>
  <c r="U31" i="8"/>
  <c r="Y31" i="8"/>
  <c r="R31" i="8"/>
  <c r="V31" i="8"/>
  <c r="Z31" i="8"/>
  <c r="P31" i="8"/>
  <c r="AA31" i="8"/>
  <c r="M31" i="8"/>
  <c r="Q31" i="8"/>
  <c r="N31" i="8"/>
  <c r="O31" i="8"/>
  <c r="I31" i="8"/>
  <c r="J31" i="8"/>
  <c r="S31" i="8"/>
  <c r="K31" i="8"/>
  <c r="L31" i="8"/>
  <c r="F31" i="8"/>
  <c r="D31" i="8"/>
  <c r="G31" i="8"/>
  <c r="E31" i="8"/>
  <c r="H31" i="8"/>
  <c r="C31" i="8"/>
  <c r="X15" i="8"/>
  <c r="S15" i="8"/>
  <c r="O15" i="8"/>
  <c r="J15" i="8"/>
  <c r="T15" i="8"/>
  <c r="D15" i="8"/>
  <c r="AA15" i="8"/>
  <c r="V15" i="8"/>
  <c r="W15" i="8"/>
  <c r="N15" i="8"/>
  <c r="I15" i="8"/>
  <c r="G15" i="8"/>
  <c r="Y15" i="8"/>
  <c r="K15" i="8"/>
  <c r="Z15" i="8"/>
  <c r="U15" i="8"/>
  <c r="R15" i="8"/>
  <c r="Q15" i="8"/>
  <c r="M15" i="8"/>
  <c r="L15" i="8"/>
  <c r="H15" i="8"/>
  <c r="F15" i="8"/>
  <c r="E15" i="8"/>
  <c r="P15" i="8"/>
  <c r="R32" i="8"/>
  <c r="V32" i="8"/>
  <c r="Z32" i="8"/>
  <c r="O32" i="8"/>
  <c r="I32" i="8"/>
  <c r="F32" i="8"/>
  <c r="D32" i="8"/>
  <c r="T32" i="8"/>
  <c r="Q32" i="8"/>
  <c r="S32" i="8"/>
  <c r="AA32" i="8"/>
  <c r="P32" i="8"/>
  <c r="J32" i="8"/>
  <c r="G32" i="8"/>
  <c r="X32" i="8"/>
  <c r="M32" i="8"/>
  <c r="K32" i="8"/>
  <c r="E32" i="8"/>
  <c r="U32" i="8"/>
  <c r="Y32" i="8"/>
  <c r="N32" i="8"/>
  <c r="H32" i="8"/>
  <c r="L32" i="8"/>
  <c r="T28" i="8"/>
  <c r="X28" i="8"/>
  <c r="P28" i="8"/>
  <c r="I28" i="8"/>
  <c r="D28" i="8"/>
  <c r="AA28" i="8"/>
  <c r="U28" i="8"/>
  <c r="Y28" i="8"/>
  <c r="M28" i="8"/>
  <c r="Q28" i="8"/>
  <c r="J28" i="8"/>
  <c r="E28" i="8"/>
  <c r="O28" i="8"/>
  <c r="H28" i="8"/>
  <c r="G28" i="8"/>
  <c r="R28" i="8"/>
  <c r="V28" i="8"/>
  <c r="Z28" i="8"/>
  <c r="N28" i="8"/>
  <c r="K28" i="8"/>
  <c r="F28" i="8"/>
  <c r="S28" i="8"/>
  <c r="L28" i="8"/>
  <c r="T27" i="8"/>
  <c r="X27" i="8"/>
  <c r="N27" i="8"/>
  <c r="J27" i="8"/>
  <c r="S27" i="8"/>
  <c r="Q27" i="8"/>
  <c r="E27" i="8"/>
  <c r="D27" i="8"/>
  <c r="U27" i="8"/>
  <c r="Y27" i="8"/>
  <c r="O27" i="8"/>
  <c r="K27" i="8"/>
  <c r="G27" i="8"/>
  <c r="R27" i="8"/>
  <c r="V27" i="8"/>
  <c r="Z27" i="8"/>
  <c r="P27" i="8"/>
  <c r="H27" i="8"/>
  <c r="L27" i="8"/>
  <c r="F27" i="8"/>
  <c r="AA27" i="8"/>
  <c r="M27" i="8"/>
  <c r="I27" i="8"/>
  <c r="R24" i="8"/>
  <c r="V24" i="8"/>
  <c r="Z24" i="8"/>
  <c r="M24" i="8"/>
  <c r="Q24" i="8"/>
  <c r="H24" i="8"/>
  <c r="L24" i="8"/>
  <c r="F24" i="8"/>
  <c r="E24" i="8"/>
  <c r="Y24" i="8"/>
  <c r="P24" i="8"/>
  <c r="S24" i="8"/>
  <c r="AA24" i="8"/>
  <c r="N24" i="8"/>
  <c r="I24" i="8"/>
  <c r="G24" i="8"/>
  <c r="T24" i="8"/>
  <c r="X24" i="8"/>
  <c r="O24" i="8"/>
  <c r="J24" i="8"/>
  <c r="D24" i="8"/>
  <c r="U24" i="8"/>
  <c r="K24" i="8"/>
  <c r="R26" i="8"/>
  <c r="V26" i="8"/>
  <c r="Z26" i="8"/>
  <c r="O26" i="8"/>
  <c r="H26" i="8"/>
  <c r="L26" i="8"/>
  <c r="G26" i="8"/>
  <c r="E26" i="8"/>
  <c r="N26" i="8"/>
  <c r="S26" i="8"/>
  <c r="AA26" i="8"/>
  <c r="P26" i="8"/>
  <c r="I26" i="8"/>
  <c r="U26" i="8"/>
  <c r="D26" i="8"/>
  <c r="T26" i="8"/>
  <c r="X26" i="8"/>
  <c r="M26" i="8"/>
  <c r="Q26" i="8"/>
  <c r="J26" i="8"/>
  <c r="Y26" i="8"/>
  <c r="K26" i="8"/>
  <c r="F26" i="8"/>
  <c r="D23" i="8"/>
  <c r="C15" i="8"/>
  <c r="B20" i="4" l="1"/>
  <c r="A13" i="6" s="1"/>
  <c r="W22" i="8" s="1"/>
  <c r="A84" i="1"/>
  <c r="H4" i="8"/>
  <c r="I6" i="8"/>
  <c r="F7" i="8"/>
  <c r="F6" i="8"/>
  <c r="I8" i="8"/>
  <c r="F4" i="8"/>
  <c r="E5" i="8"/>
  <c r="F8" i="8"/>
  <c r="I7" i="8"/>
  <c r="G4" i="8"/>
  <c r="G6" i="8"/>
  <c r="H6" i="8"/>
  <c r="G8" i="8"/>
  <c r="F5" i="8"/>
  <c r="E7" i="8"/>
  <c r="G7" i="8"/>
  <c r="I5" i="8"/>
  <c r="H5" i="8"/>
  <c r="G5" i="8"/>
  <c r="H8" i="8"/>
  <c r="E53" i="4"/>
  <c r="D53" i="4"/>
  <c r="D46" i="6"/>
  <c r="C46" i="6"/>
  <c r="E46" i="4"/>
  <c r="D46" i="4"/>
  <c r="D39" i="6"/>
  <c r="C39" i="6"/>
  <c r="D21" i="6"/>
  <c r="C21" i="6"/>
  <c r="E28" i="4"/>
  <c r="D28" i="4"/>
  <c r="E27" i="4"/>
  <c r="D27" i="4"/>
  <c r="D20" i="6"/>
  <c r="C20" i="6"/>
  <c r="D12" i="6"/>
  <c r="C12" i="6"/>
  <c r="E19" i="4"/>
  <c r="D19" i="4"/>
  <c r="E18" i="4"/>
  <c r="D18" i="4"/>
  <c r="D11" i="6"/>
  <c r="C11" i="6"/>
  <c r="B21" i="4" l="1"/>
  <c r="A14" i="6" s="1"/>
  <c r="W23" i="8" s="1"/>
  <c r="A111" i="1"/>
  <c r="E80" i="6"/>
  <c r="E79" i="6"/>
  <c r="E78" i="6"/>
  <c r="E77" i="6"/>
  <c r="E76" i="6"/>
  <c r="E73" i="6"/>
  <c r="E72" i="6"/>
  <c r="E71" i="6"/>
  <c r="E70" i="6"/>
  <c r="E69" i="6"/>
  <c r="E68" i="6"/>
  <c r="E67" i="6"/>
  <c r="E66" i="6"/>
  <c r="E65" i="6"/>
  <c r="E64" i="6"/>
  <c r="E63" i="6"/>
  <c r="E62" i="6"/>
  <c r="E61" i="6"/>
  <c r="E60" i="6"/>
  <c r="E59" i="6"/>
  <c r="E57" i="6"/>
  <c r="E56" i="6"/>
  <c r="E54" i="6"/>
  <c r="E53" i="6"/>
  <c r="E51" i="6"/>
  <c r="E50" i="6"/>
  <c r="E48" i="6"/>
  <c r="E47" i="6"/>
  <c r="E46" i="6"/>
  <c r="E45" i="6"/>
  <c r="E44" i="6"/>
  <c r="E43" i="6"/>
  <c r="E42" i="6"/>
  <c r="E41" i="6"/>
  <c r="E40" i="6"/>
  <c r="E39" i="6"/>
  <c r="E38" i="6"/>
  <c r="E37" i="6"/>
  <c r="E35" i="6"/>
  <c r="E34" i="6"/>
  <c r="E33" i="6"/>
  <c r="E32" i="6"/>
  <c r="E31" i="6"/>
  <c r="E29" i="6"/>
  <c r="E28" i="6"/>
  <c r="E27" i="6"/>
  <c r="E26" i="6"/>
  <c r="E25" i="6"/>
  <c r="E23" i="6"/>
  <c r="E22" i="6"/>
  <c r="E21" i="6"/>
  <c r="E20" i="6"/>
  <c r="E19" i="6"/>
  <c r="E18" i="6"/>
  <c r="E17" i="6"/>
  <c r="E16" i="6"/>
  <c r="E15" i="6"/>
  <c r="E14" i="6"/>
  <c r="E13" i="6"/>
  <c r="E12" i="6"/>
  <c r="E11" i="6"/>
  <c r="E10" i="6"/>
  <c r="E9" i="6"/>
  <c r="E8" i="6"/>
  <c r="E7" i="6"/>
  <c r="D6" i="6"/>
  <c r="D7" i="6"/>
  <c r="D8" i="6"/>
  <c r="D9" i="6"/>
  <c r="D10" i="6"/>
  <c r="D13" i="6"/>
  <c r="D14" i="6"/>
  <c r="D15" i="6"/>
  <c r="D16" i="6"/>
  <c r="D17" i="6"/>
  <c r="D18" i="6"/>
  <c r="D19" i="6"/>
  <c r="D22" i="6"/>
  <c r="D23" i="6"/>
  <c r="D25" i="6"/>
  <c r="D26" i="6"/>
  <c r="D27" i="6"/>
  <c r="D28" i="6"/>
  <c r="D29" i="6"/>
  <c r="D31" i="6"/>
  <c r="D32" i="6"/>
  <c r="D33" i="6"/>
  <c r="D34" i="6"/>
  <c r="D35" i="6"/>
  <c r="D37" i="6"/>
  <c r="D38" i="6"/>
  <c r="D40" i="6"/>
  <c r="D41" i="6"/>
  <c r="D42" i="6"/>
  <c r="D43" i="6"/>
  <c r="D44" i="6"/>
  <c r="D45" i="6"/>
  <c r="D47" i="6"/>
  <c r="D50" i="6"/>
  <c r="D51" i="6"/>
  <c r="D53" i="6"/>
  <c r="D54" i="6"/>
  <c r="D56" i="6"/>
  <c r="D57" i="6"/>
  <c r="D59" i="6"/>
  <c r="D60" i="6"/>
  <c r="D61" i="6"/>
  <c r="D62" i="6"/>
  <c r="D63" i="6"/>
  <c r="D64" i="6"/>
  <c r="D65" i="6"/>
  <c r="D66" i="6"/>
  <c r="D67" i="6"/>
  <c r="D68" i="6"/>
  <c r="D69" i="6"/>
  <c r="D70" i="6"/>
  <c r="D71" i="6"/>
  <c r="D72" i="6"/>
  <c r="D73" i="6"/>
  <c r="D76" i="6"/>
  <c r="D77" i="6"/>
  <c r="D78" i="6"/>
  <c r="D79" i="6"/>
  <c r="D80" i="6"/>
  <c r="C80" i="6"/>
  <c r="C79" i="6"/>
  <c r="C78" i="6"/>
  <c r="C77" i="6"/>
  <c r="C76" i="6"/>
  <c r="C73" i="6"/>
  <c r="C72" i="6"/>
  <c r="C71" i="6"/>
  <c r="C70" i="6"/>
  <c r="C69" i="6"/>
  <c r="C68" i="6"/>
  <c r="C67" i="6"/>
  <c r="C66" i="6"/>
  <c r="C65" i="6"/>
  <c r="C64" i="6"/>
  <c r="C63" i="6"/>
  <c r="C62" i="6"/>
  <c r="C61" i="6"/>
  <c r="C60" i="6"/>
  <c r="C59" i="6"/>
  <c r="C57" i="6"/>
  <c r="C56" i="6"/>
  <c r="C54" i="6"/>
  <c r="C53" i="6"/>
  <c r="C51" i="6"/>
  <c r="C50" i="6"/>
  <c r="C47" i="6"/>
  <c r="C45" i="6"/>
  <c r="C44" i="6"/>
  <c r="C43" i="6"/>
  <c r="C42" i="6"/>
  <c r="C41" i="6"/>
  <c r="C40" i="6"/>
  <c r="C38" i="6"/>
  <c r="C37" i="6"/>
  <c r="C35" i="6"/>
  <c r="C34" i="6"/>
  <c r="C33" i="6"/>
  <c r="C32" i="6"/>
  <c r="C31" i="6"/>
  <c r="D38" i="4"/>
  <c r="C29" i="6"/>
  <c r="C28" i="6"/>
  <c r="C27" i="6"/>
  <c r="C26" i="6"/>
  <c r="C25" i="6"/>
  <c r="C23" i="6"/>
  <c r="C22" i="6"/>
  <c r="C19" i="6"/>
  <c r="C18" i="6"/>
  <c r="C17" i="6"/>
  <c r="C16" i="6"/>
  <c r="C15" i="6"/>
  <c r="C14" i="6"/>
  <c r="C13" i="6"/>
  <c r="E6" i="6"/>
  <c r="B22" i="4" l="1"/>
  <c r="A15" i="6" s="1"/>
  <c r="W24" i="8" s="1"/>
  <c r="A119" i="1"/>
  <c r="C10" i="6"/>
  <c r="C9" i="6"/>
  <c r="C8" i="6"/>
  <c r="C7" i="6"/>
  <c r="B23" i="4" l="1"/>
  <c r="A16" i="6" s="1"/>
  <c r="W25" i="8" s="1"/>
  <c r="A127" i="1"/>
  <c r="K507" i="1"/>
  <c r="B24" i="4" l="1"/>
  <c r="A17" i="6" s="1"/>
  <c r="W26" i="8" s="1"/>
  <c r="A135" i="1"/>
  <c r="B25" i="4" l="1"/>
  <c r="A18" i="6" s="1"/>
  <c r="W27" i="8" s="1"/>
  <c r="A143" i="1"/>
  <c r="K229" i="1"/>
  <c r="K227" i="1"/>
  <c r="D11" i="9"/>
  <c r="D12" i="9"/>
  <c r="D13" i="9"/>
  <c r="D14" i="9" l="1"/>
  <c r="B26" i="4"/>
  <c r="A19" i="6" s="1"/>
  <c r="W28" i="8" s="1"/>
  <c r="A163" i="1"/>
  <c r="K169" i="1"/>
  <c r="K170" i="1"/>
  <c r="K168" i="1"/>
  <c r="B27" i="4" l="1"/>
  <c r="A20" i="6" s="1"/>
  <c r="W29" i="8" s="1"/>
  <c r="A180" i="1"/>
  <c r="K171" i="1"/>
  <c r="K172" i="1"/>
  <c r="C6" i="6"/>
  <c r="B28" i="4" l="1"/>
  <c r="A21" i="6" s="1"/>
  <c r="W30" i="8" s="1"/>
  <c r="A194" i="1"/>
  <c r="C17" i="8"/>
  <c r="C16" i="8"/>
  <c r="E87" i="4"/>
  <c r="E86" i="4"/>
  <c r="D87" i="4"/>
  <c r="D86" i="4"/>
  <c r="E85" i="4"/>
  <c r="D85" i="4"/>
  <c r="E84" i="4"/>
  <c r="D84" i="4"/>
  <c r="K908" i="1"/>
  <c r="F87" i="4" s="1"/>
  <c r="I87" i="4" s="1"/>
  <c r="K900" i="1"/>
  <c r="F86" i="4" s="1"/>
  <c r="I86" i="4" s="1"/>
  <c r="K892" i="1"/>
  <c r="F85" i="4" s="1"/>
  <c r="I85" i="4" s="1"/>
  <c r="K884" i="1"/>
  <c r="F84" i="4" s="1"/>
  <c r="I84" i="4" s="1"/>
  <c r="E23" i="4"/>
  <c r="D23" i="4"/>
  <c r="E22" i="4"/>
  <c r="D22" i="4"/>
  <c r="E24" i="4"/>
  <c r="D24" i="4"/>
  <c r="E83" i="4"/>
  <c r="D83" i="4"/>
  <c r="E80" i="4"/>
  <c r="D80" i="4"/>
  <c r="E79" i="4"/>
  <c r="D79" i="4"/>
  <c r="E78" i="4"/>
  <c r="D78" i="4"/>
  <c r="E77" i="4"/>
  <c r="D77" i="4"/>
  <c r="E76" i="4"/>
  <c r="D76" i="4"/>
  <c r="E75" i="4"/>
  <c r="D75" i="4"/>
  <c r="E74" i="4"/>
  <c r="D74" i="4"/>
  <c r="E73" i="4"/>
  <c r="D73" i="4"/>
  <c r="E72" i="4"/>
  <c r="D72" i="4"/>
  <c r="E71" i="4"/>
  <c r="D71" i="4"/>
  <c r="E70" i="4"/>
  <c r="D70" i="4"/>
  <c r="E69" i="4"/>
  <c r="D69" i="4"/>
  <c r="E68" i="4"/>
  <c r="D68" i="4"/>
  <c r="E67" i="4"/>
  <c r="D67" i="4"/>
  <c r="E66" i="4"/>
  <c r="D66" i="4"/>
  <c r="E64" i="4"/>
  <c r="D64" i="4"/>
  <c r="E63" i="4"/>
  <c r="D63" i="4"/>
  <c r="E61" i="4"/>
  <c r="D61" i="4"/>
  <c r="E60" i="4"/>
  <c r="D60" i="4"/>
  <c r="E58" i="4"/>
  <c r="D58" i="4"/>
  <c r="E57" i="4"/>
  <c r="D57" i="4"/>
  <c r="E54" i="4"/>
  <c r="D54" i="4"/>
  <c r="E52" i="4"/>
  <c r="D52" i="4"/>
  <c r="E51" i="4"/>
  <c r="D51" i="4"/>
  <c r="E50" i="4"/>
  <c r="D50" i="4"/>
  <c r="E49" i="4"/>
  <c r="D49" i="4"/>
  <c r="E48" i="4"/>
  <c r="D48" i="4"/>
  <c r="E47" i="4"/>
  <c r="D47" i="4"/>
  <c r="E44" i="4"/>
  <c r="D44" i="4"/>
  <c r="E42" i="4"/>
  <c r="D42" i="4"/>
  <c r="E148" i="5"/>
  <c r="K339" i="1" s="1"/>
  <c r="E147" i="5"/>
  <c r="K338" i="1" s="1"/>
  <c r="E146" i="5"/>
  <c r="K337" i="1" s="1"/>
  <c r="E145" i="5"/>
  <c r="K336" i="1" s="1"/>
  <c r="E134" i="5"/>
  <c r="K323" i="1" s="1"/>
  <c r="E45" i="4"/>
  <c r="D45" i="4"/>
  <c r="E41" i="4"/>
  <c r="D41" i="4"/>
  <c r="E129" i="5"/>
  <c r="E128" i="5"/>
  <c r="E127" i="5"/>
  <c r="E126" i="5"/>
  <c r="E125" i="5"/>
  <c r="E124" i="5"/>
  <c r="E123" i="5"/>
  <c r="E122" i="5"/>
  <c r="E121" i="5"/>
  <c r="E120" i="5"/>
  <c r="E40" i="4"/>
  <c r="D40" i="4"/>
  <c r="E101" i="5"/>
  <c r="K280" i="1" s="1"/>
  <c r="E100" i="5"/>
  <c r="K281" i="1" s="1"/>
  <c r="E99" i="5"/>
  <c r="K282" i="1" s="1"/>
  <c r="E94" i="5"/>
  <c r="K262" i="1" s="1"/>
  <c r="E93" i="5"/>
  <c r="K263" i="1" s="1"/>
  <c r="E92" i="5"/>
  <c r="K264" i="1" s="1"/>
  <c r="E39" i="4"/>
  <c r="D39" i="4"/>
  <c r="B29" i="4" l="1"/>
  <c r="A22" i="6" s="1"/>
  <c r="C18" i="8"/>
  <c r="K341" i="1"/>
  <c r="K343" i="1" s="1"/>
  <c r="F44" i="4" s="1"/>
  <c r="I44" i="4" s="1"/>
  <c r="K325" i="1"/>
  <c r="K327" i="1" s="1"/>
  <c r="F42" i="4" s="1"/>
  <c r="I42" i="4" s="1"/>
  <c r="K309" i="1"/>
  <c r="K315" i="1" s="1"/>
  <c r="K311" i="1"/>
  <c r="K310" i="1"/>
  <c r="K284" i="1"/>
  <c r="K290" i="1" s="1"/>
  <c r="K286" i="1"/>
  <c r="K285" i="1"/>
  <c r="K268" i="1"/>
  <c r="K266" i="1"/>
  <c r="K272" i="1" s="1"/>
  <c r="K267" i="1"/>
  <c r="A23" i="6" l="1"/>
  <c r="C19" i="8"/>
  <c r="K316" i="1"/>
  <c r="K292" i="1"/>
  <c r="K317" i="1"/>
  <c r="K319" i="1"/>
  <c r="K318" i="1"/>
  <c r="K291" i="1"/>
  <c r="K293" i="1"/>
  <c r="K294" i="1"/>
  <c r="K274" i="1"/>
  <c r="K273" i="1"/>
  <c r="K276" i="1"/>
  <c r="K275" i="1"/>
  <c r="A24" i="6" l="1"/>
  <c r="K277" i="1"/>
  <c r="F39" i="4" s="1"/>
  <c r="I39" i="4" s="1"/>
  <c r="K320" i="1"/>
  <c r="F41" i="4" s="1"/>
  <c r="I41" i="4" s="1"/>
  <c r="K295" i="1"/>
  <c r="F40" i="4" s="1"/>
  <c r="I40" i="4" s="1"/>
  <c r="C20" i="8"/>
  <c r="E38" i="4"/>
  <c r="E36" i="4"/>
  <c r="D36" i="4"/>
  <c r="D19" i="9"/>
  <c r="K246" i="1"/>
  <c r="B32" i="4" l="1"/>
  <c r="A25" i="6" s="1"/>
  <c r="C21" i="8"/>
  <c r="K247" i="1"/>
  <c r="A26" i="6" l="1"/>
  <c r="C22" i="8"/>
  <c r="C76" i="5"/>
  <c r="K257" i="1" s="1"/>
  <c r="B34" i="4" l="1"/>
  <c r="A27" i="6" s="1"/>
  <c r="A239" i="1"/>
  <c r="C23" i="8"/>
  <c r="F36" i="4"/>
  <c r="I36" i="4" s="1"/>
  <c r="E35" i="4"/>
  <c r="D35" i="4"/>
  <c r="E34" i="4"/>
  <c r="D34" i="4"/>
  <c r="E33" i="4"/>
  <c r="D33" i="4"/>
  <c r="E32" i="4"/>
  <c r="D32" i="4"/>
  <c r="E30" i="4"/>
  <c r="D30" i="4"/>
  <c r="E29" i="4"/>
  <c r="D29" i="4"/>
  <c r="B35" i="4" l="1"/>
  <c r="A28" i="6" s="1"/>
  <c r="A243" i="1"/>
  <c r="C24" i="8"/>
  <c r="E26" i="4"/>
  <c r="D26" i="4"/>
  <c r="E25" i="4"/>
  <c r="D25" i="4"/>
  <c r="E21" i="4"/>
  <c r="D21" i="4"/>
  <c r="E20" i="4"/>
  <c r="D20" i="4"/>
  <c r="E17" i="4"/>
  <c r="D17" i="4"/>
  <c r="E16" i="4"/>
  <c r="D16" i="4"/>
  <c r="E15" i="4"/>
  <c r="D15" i="4"/>
  <c r="E14" i="4"/>
  <c r="D14" i="4"/>
  <c r="K22" i="1"/>
  <c r="F14" i="4" s="1"/>
  <c r="I14" i="4" s="1"/>
  <c r="D13" i="4"/>
  <c r="E325" i="5"/>
  <c r="K873" i="1" s="1"/>
  <c r="E324" i="5"/>
  <c r="K872" i="1" s="1"/>
  <c r="E323" i="5"/>
  <c r="K871" i="1" s="1"/>
  <c r="E322" i="5"/>
  <c r="K870" i="1" s="1"/>
  <c r="E302" i="5"/>
  <c r="E303" i="5"/>
  <c r="E304" i="5"/>
  <c r="E305" i="5"/>
  <c r="E306" i="5"/>
  <c r="E307" i="5"/>
  <c r="E299" i="5"/>
  <c r="E300" i="5"/>
  <c r="E301" i="5"/>
  <c r="E298" i="5"/>
  <c r="K773" i="1"/>
  <c r="K772" i="1"/>
  <c r="K771" i="1"/>
  <c r="K770" i="1"/>
  <c r="K769" i="1"/>
  <c r="K768" i="1"/>
  <c r="K767" i="1"/>
  <c r="K766" i="1"/>
  <c r="K765" i="1"/>
  <c r="K760" i="1"/>
  <c r="K761" i="1"/>
  <c r="K759" i="1"/>
  <c r="K757" i="1"/>
  <c r="K758" i="1"/>
  <c r="K756" i="1"/>
  <c r="F265" i="5"/>
  <c r="E265" i="5"/>
  <c r="D265" i="5"/>
  <c r="C265" i="5"/>
  <c r="B265" i="5"/>
  <c r="F256" i="5"/>
  <c r="E256" i="5"/>
  <c r="D256" i="5"/>
  <c r="C256" i="5"/>
  <c r="B256" i="5"/>
  <c r="K751" i="1" l="1"/>
  <c r="K752" i="1" s="1"/>
  <c r="B36" i="4"/>
  <c r="A29" i="6" s="1"/>
  <c r="W38" i="8" s="1"/>
  <c r="C25" i="8"/>
  <c r="K874" i="1"/>
  <c r="K876" i="1" s="1"/>
  <c r="F83" i="4" s="1"/>
  <c r="I83" i="4" s="1"/>
  <c r="K832" i="1"/>
  <c r="K795" i="1"/>
  <c r="K797" i="1" s="1"/>
  <c r="K796" i="1"/>
  <c r="K774" i="1"/>
  <c r="K776" i="1"/>
  <c r="K775" i="1"/>
  <c r="K762" i="1"/>
  <c r="K764" i="1" s="1"/>
  <c r="K763" i="1"/>
  <c r="A30" i="6" l="1"/>
  <c r="W39" i="8" s="1"/>
  <c r="C26" i="8"/>
  <c r="K833" i="1"/>
  <c r="K834" i="1" s="1"/>
  <c r="F79" i="4" s="1"/>
  <c r="K782" i="1"/>
  <c r="K783" i="1"/>
  <c r="K784" i="1"/>
  <c r="K780" i="1"/>
  <c r="K781" i="1"/>
  <c r="I79" i="4" l="1"/>
  <c r="D21" i="10"/>
  <c r="B38" i="4"/>
  <c r="A31" i="6" s="1"/>
  <c r="W40" i="8" s="1"/>
  <c r="A261" i="1"/>
  <c r="K785" i="1"/>
  <c r="K786" i="1" s="1"/>
  <c r="C27" i="8"/>
  <c r="K735" i="1"/>
  <c r="K736" i="1"/>
  <c r="H21" i="10" l="1"/>
  <c r="I21" i="10"/>
  <c r="J21" i="10"/>
  <c r="B39" i="4"/>
  <c r="A32" i="6" s="1"/>
  <c r="W41" i="8" s="1"/>
  <c r="A279" i="1"/>
  <c r="C28" i="8"/>
  <c r="K737" i="1"/>
  <c r="K753" i="1"/>
  <c r="F77" i="4" s="1"/>
  <c r="I77" i="4" l="1"/>
  <c r="D20" i="10"/>
  <c r="B40" i="4"/>
  <c r="A33" i="6" s="1"/>
  <c r="W42" i="8" s="1"/>
  <c r="A297" i="1"/>
  <c r="C29" i="8"/>
  <c r="K717" i="1"/>
  <c r="K716" i="1"/>
  <c r="K715" i="1"/>
  <c r="K714" i="1"/>
  <c r="K713" i="1"/>
  <c r="K712" i="1"/>
  <c r="K711" i="1"/>
  <c r="K710" i="1"/>
  <c r="D723" i="1"/>
  <c r="D722" i="1"/>
  <c r="D721" i="1"/>
  <c r="K709" i="1"/>
  <c r="K705" i="1"/>
  <c r="K704" i="1"/>
  <c r="K703" i="1"/>
  <c r="K702" i="1"/>
  <c r="K701" i="1"/>
  <c r="K700" i="1"/>
  <c r="E247" i="5"/>
  <c r="D247" i="5"/>
  <c r="C247" i="5"/>
  <c r="F247" i="5"/>
  <c r="B247" i="5"/>
  <c r="K697" i="1"/>
  <c r="F75" i="4" s="1"/>
  <c r="K686" i="1"/>
  <c r="I75" i="4" l="1"/>
  <c r="D19" i="10"/>
  <c r="H20" i="10"/>
  <c r="I20" i="10"/>
  <c r="J20" i="10"/>
  <c r="B41" i="4"/>
  <c r="A34" i="6" s="1"/>
  <c r="W43" i="8" s="1"/>
  <c r="A322" i="1"/>
  <c r="C30" i="8"/>
  <c r="E4" i="8" s="1"/>
  <c r="K689" i="1"/>
  <c r="F74" i="4" s="1"/>
  <c r="I74" i="4" s="1"/>
  <c r="K706" i="1"/>
  <c r="K708" i="1" s="1"/>
  <c r="K724" i="1"/>
  <c r="K725" i="1" s="1"/>
  <c r="K707" i="1"/>
  <c r="J237" i="5"/>
  <c r="K664" i="1" s="1"/>
  <c r="J236" i="5"/>
  <c r="K662" i="1" s="1"/>
  <c r="J235" i="5"/>
  <c r="K660" i="1" s="1"/>
  <c r="I238" i="5"/>
  <c r="G238" i="5"/>
  <c r="H238" i="5"/>
  <c r="B238" i="5"/>
  <c r="D229" i="5"/>
  <c r="K647" i="1" s="1"/>
  <c r="C229" i="5"/>
  <c r="K648" i="1" s="1"/>
  <c r="B229" i="5"/>
  <c r="K649" i="1" s="1"/>
  <c r="C220" i="5"/>
  <c r="K635" i="1" s="1"/>
  <c r="D220" i="5"/>
  <c r="K634" i="1" s="1"/>
  <c r="B220" i="5"/>
  <c r="K636" i="1" s="1"/>
  <c r="K677" i="1" l="1"/>
  <c r="D29" i="9" s="1"/>
  <c r="K676" i="1"/>
  <c r="D28" i="9" s="1"/>
  <c r="H19" i="10"/>
  <c r="I19" i="10"/>
  <c r="J19" i="10"/>
  <c r="K675" i="1"/>
  <c r="D27" i="9" s="1"/>
  <c r="D30" i="9" s="1"/>
  <c r="D26" i="9" s="1"/>
  <c r="K628" i="1"/>
  <c r="K631" i="1" s="1"/>
  <c r="F69" i="4" s="1"/>
  <c r="I69" i="4" s="1"/>
  <c r="K666" i="1"/>
  <c r="K669" i="1" s="1"/>
  <c r="F72" i="4" s="1"/>
  <c r="I72" i="4" s="1"/>
  <c r="B42" i="4"/>
  <c r="A35" i="6" s="1"/>
  <c r="W44" i="8" s="1"/>
  <c r="W31" i="8"/>
  <c r="K726" i="1"/>
  <c r="K678" i="1"/>
  <c r="K679" i="1" s="1"/>
  <c r="F73" i="4" s="1"/>
  <c r="I73" i="4" s="1"/>
  <c r="J238" i="5"/>
  <c r="A36" i="6" l="1"/>
  <c r="W45" i="8" s="1"/>
  <c r="W33" i="8"/>
  <c r="W32" i="8"/>
  <c r="K619" i="1"/>
  <c r="F68" i="4" s="1"/>
  <c r="I68" i="4" s="1"/>
  <c r="B44" i="4" l="1"/>
  <c r="A37" i="6" s="1"/>
  <c r="W46" i="8" s="1"/>
  <c r="A345" i="1"/>
  <c r="W34" i="8"/>
  <c r="K610" i="1"/>
  <c r="K611" i="1" s="1"/>
  <c r="K607" i="1"/>
  <c r="F66" i="4" s="1"/>
  <c r="I66" i="4" s="1"/>
  <c r="F64" i="4"/>
  <c r="I64" i="4" s="1"/>
  <c r="K591" i="1"/>
  <c r="K583" i="1"/>
  <c r="K575" i="1"/>
  <c r="F63" i="4" s="1"/>
  <c r="I63" i="4" s="1"/>
  <c r="K566" i="1"/>
  <c r="B180" i="5"/>
  <c r="B192" i="5"/>
  <c r="B186" i="5"/>
  <c r="B174" i="5"/>
  <c r="B168" i="5"/>
  <c r="K555" i="1"/>
  <c r="F61" i="4" s="1"/>
  <c r="I61" i="4" s="1"/>
  <c r="F60" i="4"/>
  <c r="I60" i="4" s="1"/>
  <c r="K541" i="1"/>
  <c r="F59" i="4" s="1"/>
  <c r="I59" i="4" s="1"/>
  <c r="K521" i="1"/>
  <c r="F58" i="4" s="1"/>
  <c r="I58" i="4" s="1"/>
  <c r="K510" i="1"/>
  <c r="K511" i="1"/>
  <c r="F56" i="4"/>
  <c r="I56" i="4" s="1"/>
  <c r="K475" i="1"/>
  <c r="F55" i="4" s="1"/>
  <c r="I55" i="4" s="1"/>
  <c r="K453" i="1"/>
  <c r="F53" i="4" s="1"/>
  <c r="K366" i="1"/>
  <c r="F46" i="4" s="1"/>
  <c r="I46" i="4" s="1"/>
  <c r="K241" i="1"/>
  <c r="F35" i="4" s="1"/>
  <c r="I35" i="4" s="1"/>
  <c r="I53" i="4" l="1"/>
  <c r="D16" i="10"/>
  <c r="B45" i="4"/>
  <c r="A38" i="6" s="1"/>
  <c r="W47" i="8" s="1"/>
  <c r="A354" i="1"/>
  <c r="K53" i="4"/>
  <c r="W35" i="8"/>
  <c r="F29" i="4"/>
  <c r="K558" i="1"/>
  <c r="K559" i="1" s="1"/>
  <c r="K567" i="1" s="1"/>
  <c r="F62" i="4" s="1"/>
  <c r="I62" i="4" s="1"/>
  <c r="K512" i="1"/>
  <c r="K513" i="1" s="1"/>
  <c r="I29" i="4" l="1"/>
  <c r="D13" i="10"/>
  <c r="H16" i="10"/>
  <c r="I16" i="10"/>
  <c r="J16" i="10"/>
  <c r="K29" i="4"/>
  <c r="B46" i="4"/>
  <c r="A39" i="6" s="1"/>
  <c r="W48" i="8" s="1"/>
  <c r="A392" i="1"/>
  <c r="W36" i="8"/>
  <c r="K461" i="1"/>
  <c r="F54" i="4" s="1"/>
  <c r="I54" i="4" s="1"/>
  <c r="K433" i="1"/>
  <c r="F52" i="4" s="1"/>
  <c r="I52" i="4" s="1"/>
  <c r="K425" i="1"/>
  <c r="F51" i="4" s="1"/>
  <c r="I51" i="4" s="1"/>
  <c r="K408" i="1"/>
  <c r="K402" i="1"/>
  <c r="K390" i="1"/>
  <c r="K382" i="1"/>
  <c r="K374" i="1"/>
  <c r="K258" i="1"/>
  <c r="K259" i="1" s="1"/>
  <c r="H13" i="10" l="1"/>
  <c r="J13" i="10"/>
  <c r="I13" i="10"/>
  <c r="B47" i="4"/>
  <c r="A40" i="6" s="1"/>
  <c r="W49" i="8" s="1"/>
  <c r="A398" i="1"/>
  <c r="W37" i="8"/>
  <c r="F38" i="4"/>
  <c r="I38" i="4" s="1"/>
  <c r="F48" i="4"/>
  <c r="I48" i="4" s="1"/>
  <c r="F49" i="4"/>
  <c r="I49" i="4" s="1"/>
  <c r="B48" i="4" l="1"/>
  <c r="A41" i="6" s="1"/>
  <c r="W50" i="8" s="1"/>
  <c r="A404" i="1"/>
  <c r="M39" i="8"/>
  <c r="M38" i="8"/>
  <c r="K236" i="1"/>
  <c r="K237" i="1" s="1"/>
  <c r="B49" i="4" l="1"/>
  <c r="A42" i="6" s="1"/>
  <c r="W51" i="8" s="1"/>
  <c r="A410" i="1"/>
  <c r="G45" i="8"/>
  <c r="I4" i="8" s="1"/>
  <c r="M40" i="8"/>
  <c r="F34" i="4"/>
  <c r="I34" i="4" s="1"/>
  <c r="K225" i="1"/>
  <c r="K221" i="1"/>
  <c r="K206" i="1"/>
  <c r="K205" i="1"/>
  <c r="K222" i="1" l="1"/>
  <c r="D23" i="9"/>
  <c r="B50" i="4"/>
  <c r="A43" i="6" s="1"/>
  <c r="W52" i="8" s="1"/>
  <c r="A419" i="1"/>
  <c r="M41" i="8"/>
  <c r="K207" i="1"/>
  <c r="K208" i="1" s="1"/>
  <c r="F32" i="4"/>
  <c r="B42" i="5"/>
  <c r="B43" i="5"/>
  <c r="B44" i="5"/>
  <c r="B45" i="5"/>
  <c r="B41" i="5"/>
  <c r="D89" i="4"/>
  <c r="E97" i="4"/>
  <c r="B97" i="4"/>
  <c r="E21" i="5"/>
  <c r="D21" i="5"/>
  <c r="C21" i="5"/>
  <c r="E17" i="5"/>
  <c r="D17" i="5"/>
  <c r="C17" i="5"/>
  <c r="D25" i="5"/>
  <c r="E25" i="5"/>
  <c r="C25" i="5"/>
  <c r="K98" i="1" s="1"/>
  <c r="B36" i="5"/>
  <c r="B55" i="5"/>
  <c r="K192" i="1"/>
  <c r="F28" i="4" s="1"/>
  <c r="I28" i="4" s="1"/>
  <c r="K97" i="1" l="1"/>
  <c r="K847" i="1"/>
  <c r="K849" i="1" s="1"/>
  <c r="K637" i="1"/>
  <c r="K638" i="1" s="1"/>
  <c r="I32" i="4"/>
  <c r="D15" i="10"/>
  <c r="K85" i="1"/>
  <c r="K96" i="1"/>
  <c r="K86" i="1"/>
  <c r="K87" i="1"/>
  <c r="B51" i="4"/>
  <c r="A44" i="6" s="1"/>
  <c r="W53" i="8" s="1"/>
  <c r="A427" i="1"/>
  <c r="O32" i="4"/>
  <c r="M32" i="4"/>
  <c r="M42" i="8"/>
  <c r="K850" i="1"/>
  <c r="K848" i="1"/>
  <c r="K650" i="1"/>
  <c r="H15" i="10" l="1"/>
  <c r="J15" i="10"/>
  <c r="I15" i="10"/>
  <c r="B52" i="4"/>
  <c r="A45" i="6" s="1"/>
  <c r="W54" i="8" s="1"/>
  <c r="A435" i="1"/>
  <c r="M43" i="8"/>
  <c r="K854" i="1"/>
  <c r="K858" i="1"/>
  <c r="K857" i="1"/>
  <c r="K856" i="1"/>
  <c r="K855" i="1"/>
  <c r="K639" i="1"/>
  <c r="K640" i="1"/>
  <c r="K653" i="1"/>
  <c r="K651" i="1"/>
  <c r="K652" i="1"/>
  <c r="C46" i="5"/>
  <c r="K174" i="1" s="1"/>
  <c r="G36" i="5"/>
  <c r="F36" i="5"/>
  <c r="E36" i="5"/>
  <c r="D36" i="5"/>
  <c r="C36" i="5"/>
  <c r="K141" i="1"/>
  <c r="F25" i="4" s="1"/>
  <c r="I25" i="4" s="1"/>
  <c r="B53" i="4" l="1"/>
  <c r="A46" i="6" s="1"/>
  <c r="W55" i="8" s="1"/>
  <c r="A455" i="1"/>
  <c r="M44" i="8"/>
  <c r="K859" i="1"/>
  <c r="F80" i="4" s="1"/>
  <c r="K644" i="1"/>
  <c r="F70" i="4" s="1"/>
  <c r="I70" i="4" s="1"/>
  <c r="K657" i="1"/>
  <c r="B46" i="5"/>
  <c r="K133" i="1"/>
  <c r="F24" i="4" s="1"/>
  <c r="K125" i="1"/>
  <c r="F23" i="4" s="1"/>
  <c r="I23" i="4" s="1"/>
  <c r="K117" i="1"/>
  <c r="F22" i="4" s="1"/>
  <c r="K108" i="1"/>
  <c r="K89" i="1"/>
  <c r="K94" i="1" s="1"/>
  <c r="K82" i="1"/>
  <c r="F20" i="4" s="1"/>
  <c r="I20" i="4" s="1"/>
  <c r="I80" i="4" l="1"/>
  <c r="D22" i="10"/>
  <c r="I22" i="4"/>
  <c r="D18" i="10"/>
  <c r="I24" i="4"/>
  <c r="D17" i="10"/>
  <c r="K394" i="1"/>
  <c r="K395" i="1" s="1"/>
  <c r="K396" i="1" s="1"/>
  <c r="F47" i="4" s="1"/>
  <c r="I47" i="4" s="1"/>
  <c r="K175" i="1"/>
  <c r="A463" i="1"/>
  <c r="B54" i="4"/>
  <c r="A47" i="6" s="1"/>
  <c r="W56" i="8" s="1"/>
  <c r="K24" i="4"/>
  <c r="O80" i="4"/>
  <c r="L10" i="4" s="1"/>
  <c r="C7" i="9" s="1"/>
  <c r="M80" i="4"/>
  <c r="L9" i="4" s="1"/>
  <c r="C6" i="9" s="1"/>
  <c r="M46" i="8"/>
  <c r="F26" i="4"/>
  <c r="I26" i="4" s="1"/>
  <c r="K226" i="1"/>
  <c r="K228" i="1" s="1"/>
  <c r="K231" i="1" s="1"/>
  <c r="K109" i="1"/>
  <c r="F21" i="4" s="1"/>
  <c r="I21" i="4" s="1"/>
  <c r="H17" i="10" l="1"/>
  <c r="I17" i="10"/>
  <c r="J17" i="10"/>
  <c r="H18" i="10"/>
  <c r="I18" i="10"/>
  <c r="J18" i="10"/>
  <c r="H22" i="10"/>
  <c r="I22" i="10"/>
  <c r="J22" i="10"/>
  <c r="K176" i="1"/>
  <c r="K177" i="1" s="1"/>
  <c r="A477" i="1"/>
  <c r="B55" i="4"/>
  <c r="A48" i="6" s="1"/>
  <c r="W57" i="8" s="1"/>
  <c r="K346" i="1"/>
  <c r="K411" i="1"/>
  <c r="K417" i="1" s="1"/>
  <c r="F50" i="4" s="1"/>
  <c r="I50" i="4" s="1"/>
  <c r="M47" i="8"/>
  <c r="J23" i="10" l="1"/>
  <c r="I23" i="10"/>
  <c r="H23" i="10"/>
  <c r="K178" i="1"/>
  <c r="F27" i="4" s="1"/>
  <c r="I27" i="4" s="1"/>
  <c r="B56" i="4"/>
  <c r="A49" i="6" s="1"/>
  <c r="W58" i="8" s="1"/>
  <c r="M48" i="8"/>
  <c r="K352" i="1"/>
  <c r="F45" i="4" s="1"/>
  <c r="I45" i="4" s="1"/>
  <c r="E8" i="10" l="1"/>
  <c r="A50" i="6"/>
  <c r="W59" i="8" s="1"/>
  <c r="M49" i="8"/>
  <c r="L8" i="4"/>
  <c r="Q5" i="4" s="1"/>
  <c r="K74" i="1"/>
  <c r="F19" i="4" s="1"/>
  <c r="I19" i="4" s="1"/>
  <c r="K60" i="1"/>
  <c r="F18" i="4" s="1"/>
  <c r="I18" i="4" s="1"/>
  <c r="A523" i="1" l="1"/>
  <c r="B58" i="4"/>
  <c r="A51" i="6" s="1"/>
  <c r="W60" i="8" s="1"/>
  <c r="M50" i="8"/>
  <c r="A543" i="1" l="1"/>
  <c r="B59" i="4"/>
  <c r="A52" i="6" s="1"/>
  <c r="W61" i="8" s="1"/>
  <c r="M51" i="8"/>
  <c r="A549" i="1" l="1"/>
  <c r="B60" i="4"/>
  <c r="A53" i="6" s="1"/>
  <c r="W62" i="8" s="1"/>
  <c r="M52" i="8"/>
  <c r="K46" i="1"/>
  <c r="F17" i="4" s="1"/>
  <c r="I17" i="4" s="1"/>
  <c r="K38" i="1"/>
  <c r="F16" i="4" s="1"/>
  <c r="I16" i="4" s="1"/>
  <c r="K30" i="1"/>
  <c r="F15" i="4" s="1"/>
  <c r="I15" i="4" s="1"/>
  <c r="K14" i="1"/>
  <c r="F13" i="4" s="1"/>
  <c r="I13" i="4" s="1"/>
  <c r="A557" i="1" l="1"/>
  <c r="B61" i="4"/>
  <c r="A54" i="6" s="1"/>
  <c r="W63" i="8" s="1"/>
  <c r="M53" i="8"/>
  <c r="A569" i="1" l="1"/>
  <c r="B62" i="4"/>
  <c r="A55" i="6" s="1"/>
  <c r="W64" i="8" s="1"/>
  <c r="M54" i="8"/>
  <c r="A593" i="1" l="1"/>
  <c r="B63" i="4"/>
  <c r="A56" i="6" s="1"/>
  <c r="W65" i="8" s="1"/>
  <c r="M55" i="8"/>
  <c r="L5" i="4"/>
  <c r="C4" i="9" l="1"/>
  <c r="A597" i="1"/>
  <c r="B64" i="4"/>
  <c r="A57" i="6" s="1"/>
  <c r="W66" i="8" s="1"/>
  <c r="M56" i="8"/>
  <c r="A601" i="1" l="1"/>
  <c r="B65" i="4"/>
  <c r="A58" i="6" s="1"/>
  <c r="W67" i="8" s="1"/>
  <c r="M57" i="8"/>
  <c r="B66" i="4" l="1"/>
  <c r="A59" i="6" s="1"/>
  <c r="W68" i="8" s="1"/>
  <c r="M58" i="8"/>
  <c r="A60" i="6" l="1"/>
  <c r="W69" i="8" s="1"/>
  <c r="M59" i="8"/>
  <c r="B68" i="4" l="1"/>
  <c r="A61" i="6" s="1"/>
  <c r="W70" i="8" s="1"/>
  <c r="A621" i="1"/>
  <c r="M60" i="8"/>
  <c r="A633" i="1" l="1"/>
  <c r="B69" i="4"/>
  <c r="A62" i="6" s="1"/>
  <c r="W71" i="8" s="1"/>
  <c r="M62" i="8"/>
  <c r="B70" i="4" l="1"/>
  <c r="A63" i="6" s="1"/>
  <c r="W72" i="8" s="1"/>
  <c r="M63" i="8"/>
  <c r="A64" i="6" l="1"/>
  <c r="W73" i="8" s="1"/>
  <c r="M65" i="8"/>
  <c r="A671" i="1" l="1"/>
  <c r="B72" i="4"/>
  <c r="A65" i="6" s="1"/>
  <c r="W74" i="8" s="1"/>
  <c r="M66" i="8"/>
  <c r="A681" i="1" l="1"/>
  <c r="B73" i="4"/>
  <c r="A66" i="6" s="1"/>
  <c r="W75" i="8" s="1"/>
  <c r="M68" i="8"/>
  <c r="A691" i="1" l="1"/>
  <c r="B74" i="4"/>
  <c r="A67" i="6" s="1"/>
  <c r="W76" i="8" s="1"/>
  <c r="M69" i="8"/>
  <c r="B75" i="4" l="1"/>
  <c r="A68" i="6" s="1"/>
  <c r="W77" i="8" s="1"/>
  <c r="M70" i="8"/>
  <c r="A69" i="6" l="1"/>
  <c r="W78" i="8" s="1"/>
  <c r="M71" i="8"/>
  <c r="B77" i="4" l="1"/>
  <c r="A70" i="6" s="1"/>
  <c r="W79" i="8" s="1"/>
  <c r="M72" i="8"/>
  <c r="A71" i="6" l="1"/>
  <c r="W80" i="8" s="1"/>
  <c r="M73" i="8"/>
  <c r="A836" i="1" l="1"/>
  <c r="B79" i="4"/>
  <c r="A72" i="6" s="1"/>
  <c r="W81" i="8" s="1"/>
  <c r="M74" i="8"/>
  <c r="A861" i="1" l="1"/>
  <c r="B80" i="4"/>
  <c r="A73" i="6" s="1"/>
  <c r="W82" i="8" s="1"/>
  <c r="M75" i="8"/>
  <c r="E6" i="8" s="1"/>
  <c r="B81" i="4" l="1"/>
  <c r="A74" i="6" s="1"/>
  <c r="W83" i="8" s="1"/>
  <c r="U76" i="8"/>
  <c r="A75" i="6" l="1"/>
  <c r="W84" i="8" s="1"/>
  <c r="U77" i="8"/>
  <c r="A878" i="1" l="1"/>
  <c r="B83" i="4"/>
  <c r="A76" i="6" s="1"/>
  <c r="W85" i="8" s="1"/>
  <c r="U78" i="8"/>
  <c r="A886" i="1" l="1"/>
  <c r="B84" i="4"/>
  <c r="A77" i="6" s="1"/>
  <c r="W86" i="8" s="1"/>
  <c r="U79" i="8"/>
  <c r="A894" i="1" l="1"/>
  <c r="B85" i="4"/>
  <c r="A78" i="6" s="1"/>
  <c r="W87" i="8" s="1"/>
  <c r="U80" i="8"/>
  <c r="A902" i="1" l="1"/>
  <c r="B87" i="4" s="1"/>
  <c r="A80" i="6" s="1"/>
  <c r="W89" i="8" s="1"/>
  <c r="B86" i="4"/>
  <c r="A79" i="6" s="1"/>
  <c r="W88" i="8" s="1"/>
  <c r="E8" i="8" s="1"/>
  <c r="U81" i="8"/>
  <c r="U82" i="8" l="1"/>
  <c r="H7" i="8" s="1"/>
  <c r="D10" i="9" l="1"/>
  <c r="C5" i="9" s="1"/>
</calcChain>
</file>

<file path=xl/sharedStrings.xml><?xml version="1.0" encoding="utf-8"?>
<sst xmlns="http://schemas.openxmlformats.org/spreadsheetml/2006/main" count="5944" uniqueCount="1791">
  <si>
    <t xml:space="preserve">NO. </t>
  </si>
  <si>
    <t>INDIKATOR DAN PENILAIAN</t>
  </si>
  <si>
    <t>Ada mekanisme dalam penyusunan dan penetapan visi, misi, tujuan dan strategi yang terdokumentasi serta ada keterlibatan semua pemangku kepentingan internal (dosen, mahasiswa dan tenaga kependidikan) dan eksternal (lulusan, pengguna lulusan dan pakar/mitra/organisasi profesi/pemerintah).</t>
  </si>
  <si>
    <t>Ada mekanisme dalam penyusunan dan penetapan visi, misi, tujuan dan strategi yang terdokumentasi namun tidak melibatkan pemangku kepentingan.</t>
  </si>
  <si>
    <t>Tidak ada mekanisme dalam penyusunan dan penetapan visi, misi, tujuan dan strategi.</t>
  </si>
  <si>
    <t>DOKUMEN BUKTI</t>
  </si>
  <si>
    <t>Skor</t>
  </si>
  <si>
    <t>Tidak ada Skor kurang dari 1.</t>
  </si>
  <si>
    <t>Skor = (A + (2 x B)) / 3</t>
  </si>
  <si>
    <t>Tidak ada skor kurang dari 2.</t>
  </si>
  <si>
    <t>LAPORAN ASESMEN KECUKUPAN</t>
  </si>
  <si>
    <t>PENILAIAN ASESMEN KECUKUPAN</t>
  </si>
  <si>
    <t>Penilaian Individual</t>
  </si>
  <si>
    <t>Nilai Asesmen Kecukupan</t>
  </si>
  <si>
    <t>Nama Program Studi</t>
  </si>
  <si>
    <t>Syarat Perlu Terakreditasi</t>
  </si>
  <si>
    <t>Syarat Perlu Peringkat Unggul</t>
  </si>
  <si>
    <t>Tanggal Penilaian:</t>
  </si>
  <si>
    <t>Syarat Perlu Peringkat Baik Sekali</t>
  </si>
  <si>
    <t>NO.</t>
  </si>
  <si>
    <t>KRITERIA/ELEMEN/INDIKATOR</t>
  </si>
  <si>
    <t>SKOR</t>
  </si>
  <si>
    <t>BOBOT</t>
  </si>
  <si>
    <t>SKOR x BOBOT</t>
  </si>
  <si>
    <t>SYARAT PERLU TERAKREDITASI</t>
  </si>
  <si>
    <t>SYARAT PERLU PERINGKAT 
UNGGUL</t>
  </si>
  <si>
    <t>SYARAT PERLU PERINGKAT 
BAIK SEKALI</t>
  </si>
  <si>
    <r>
      <t xml:space="preserve">A. Kondisi Eksternal
</t>
    </r>
    <r>
      <rPr>
        <sz val="9"/>
        <rFont val="Calibri"/>
        <family val="2"/>
        <scheme val="minor"/>
      </rPr>
      <t>Konsistensi dengan hasil analisis SWOT dan/atau analisis lain serta rencana pengembangan ke depan.</t>
    </r>
  </si>
  <si>
    <r>
      <t xml:space="preserve">B. Profil Unit Pengelola Program Studi
</t>
    </r>
    <r>
      <rPr>
        <sz val="9"/>
        <rFont val="Calibri"/>
        <family val="2"/>
        <scheme val="minor"/>
      </rPr>
      <t>Keserbacakupan informasi dalam profil dan konsistensi antara profil dengan data dan informasi yang disampaikan pada masing-masing kriteria, serta menunjukkan iklim yang kondusif untuk pengembangan dan reputasi sebagai rujukan di bidang keilmuannya.</t>
    </r>
  </si>
  <si>
    <r>
      <rPr>
        <b/>
        <sz val="9"/>
        <rFont val="Calibri"/>
        <family val="2"/>
        <scheme val="minor"/>
      </rPr>
      <t>C. Kriteria
C.1. Visi, Misi, Tujuan dan Strategi</t>
    </r>
    <r>
      <rPr>
        <sz val="9"/>
        <rFont val="Calibri"/>
        <family val="2"/>
        <scheme val="minor"/>
      </rPr>
      <t xml:space="preserve">
C.1.4. Indikator Kinerja Utama
Kesesuaian Visi, Misi, Tujuan dan Strategi (VMTS) Unit Pengelola Program Studi (UPPS) terhadap VMTS Perguruan Tinggi (PT) dan visi keilmuan Program Studi (PS) yang dikelolanya.</t>
    </r>
  </si>
  <si>
    <t>Mekanisme dan keterlibatan pemangku kepentingan dalam penyusunan VMTS UPPS.</t>
  </si>
  <si>
    <t xml:space="preserve">Strategi pencapaian tujuan disusun berdasarkan analisis yang sistematis, serta pada pelaksanaannya dilakukan pemantauan dan evaluasi yang ditindaklanjuti. </t>
  </si>
  <si>
    <r>
      <rPr>
        <b/>
        <sz val="9"/>
        <rFont val="Calibri"/>
        <family val="2"/>
        <scheme val="minor"/>
      </rPr>
      <t>C.2. Tata Pamong, Tata Kelola dan Kerjasama</t>
    </r>
    <r>
      <rPr>
        <sz val="9"/>
        <rFont val="Calibri"/>
        <family val="2"/>
        <scheme val="minor"/>
      </rPr>
      <t xml:space="preserve">
C.2.4. Indikator Kinerja Utama
C.2.4.a) Sistem Tata Pamong
A. Kelengkapan struktur organisasi dan keefektifan penyelenggaraan organisasi.
B. Perwujudan good governance dan pemenuhan lima pilar sistem tata pamong, yang mencakup: 1) Kredibel, 2) Transparan, 3) Akuntabel, 4) Bertanggung jawab, 5) Adil.</t>
    </r>
  </si>
  <si>
    <t xml:space="preserve">C.2.4.b) Kepemimpinan dan Kemampuan Manajerial
A. Komitmen pimpinan UPPS.
B. Kapabilitas pimpinan UPPS, mencakup aspek: 1) perencanaan, 2) pengorganisasian, 3) penempatan personel, 4) pelaksanaan, 5) pengendalian dan pengawasan, dan 6) pelaporan yang menjadi dasar tindak lanjut. </t>
  </si>
  <si>
    <t>C.2.4.c) Kerjasama
Mutu, manfaat, kepuasan dan keberlanjutan kerjasama pendidikan, penelitian dan PkM yang relevan dengan program studi. UPPS memiliki bukti yang sahih terkait kerjasama yang ada telah memenuhi 3 aspek berikut: 1) memberikan manfaat bagi program studi dalam pemenuhan proses pembelajaran, penelitian, PkM. 2) memberikan peningkatan kinerja tridharma dan fasilitas pendukung program studi. 3) memberikan kepuasan kepada mitra industri dan mitra kerjasama lainnya, serta menjamin keberlanjutan kerjasama dan hasilnya.</t>
  </si>
  <si>
    <t xml:space="preserve">A. Kerjasama pendidikan, penelitian, dan PkM yang relevan dengan program studi dan dikelola oleh UPPS dalam 3 tahun terakhir.
B. Kerjasama tingkat internasional, nasional, wilayah/lokal yang relevan dengan program studi dan dikelola oleh UPPS dalam 3 tahun terakhir.
Tabel 1 LKPS </t>
  </si>
  <si>
    <t>C.2.5 Indikator Kinerja Tambahan
Pelampauan SN-DIKTI (indikator kinerja tambahan) yang ditetapkan oleh UPPS pada tiap kriteria.</t>
  </si>
  <si>
    <t>C.2.6 Evaluasi Capaian Kinerja
Analisis keberhasilan dan/atau ketidakberhasilan pencapaian kinerja UPPS yang telah ditetapkan di tiap kriteria memenuhi 2 aspek sebagai berikut: 1) capaian kinerja diukur dengan metoda yang tepat, dan hasilnya dianalisis serta dievaluasi, dan 2) analisis terhadap capaian kinerja mencakup identifikasi akar masalah, faktor pendukung keberhasilan dan faktor penghambat ketercapaian standard, dan deskripsi singkat tindak lanjut yang akan dilakukan.</t>
  </si>
  <si>
    <t>C.2.7. Penjaminan Mutu
Keterlaksanaan Sistem Penjaminan Mutu Internal (akademik dan nonakademik) yang dibuktikan dengan keberadaan 5 aspek: 1) dokumen legal pembentukan unsur pelaksana penjaminan mutu, 2) ketersediaan dokumen mutu: kebijakan SPMI, manual SPMI, standar SPMI, dan formulir SPMI, 3) terlaksananya siklus penjaminan mutu (siklus PPEPP), 4) bukti sahih efektivitas pelaksanaan penjaminan mutu, dan 5) memiliki external benchmarking dalam peningkatan mutu.</t>
  </si>
  <si>
    <t>Skor min. = 2,0</t>
  </si>
  <si>
    <t>C.2.8. Kepuasan Pemangku Kepentingan
Pengukuran kepuasan layanan manajemen terhadap para pemangku kepentingan: mahasiswa, dosen, tenaga kependidikan, lulusan, pengguna dan mitra yang memenuhi aspek-aspek berikut: 1) menggunakan instrumen kepuasan yang sahih, andal, mudah digunakan, 2) dilaksanakan secara berkala, serta datanya terekam secara komprehensif, 
3) dianalisis dengan metode yang tepat serta bermanfaat untuk pengambilan keputusan, 4) tingkat kepuasan dan umpan balik ditindaklanjuti untuk perbaikan dan peningkatan mutu luaran secara berkala dan tersistem, 5) dilakukan review terhadap pelaksanaan pengukuran kepuasan dosen dan mahasiswa, serta 6) hasilnya dipublikasikan dan mudah diakses oleh dosen dan mahasiswa.</t>
  </si>
  <si>
    <r>
      <rPr>
        <b/>
        <sz val="9"/>
        <rFont val="Calibri"/>
        <family val="2"/>
        <scheme val="minor"/>
      </rPr>
      <t>C.3. Mahasiswa</t>
    </r>
    <r>
      <rPr>
        <sz val="9"/>
        <rFont val="Calibri"/>
        <family val="2"/>
        <scheme val="minor"/>
      </rPr>
      <t xml:space="preserve">
C.3.4. Indikator Kinerja Utama
C.3.4.a) Kualitas Input Mahasiswa
A. Metoda rekrutmen dan keketatan seleksi.
Tabel 2.a LKPS
</t>
    </r>
  </si>
  <si>
    <t>C.3.4.b) Daya Tarik Program Studi
A. Peningkatan animo calon mahasiswa.
Tabel 2.a LKPS
B. Mahasiswa asing
Tabel 2.b LKPS</t>
  </si>
  <si>
    <t>C.3.4.c) Layanan Kemahasiswaan
A. Ketersediaan layanan kemahasiswaan di bidang: 1) penalaran, minat dan bakat, 2) kesejahteraan (bimbingan dan konseling, layanan beasiswa, dan layanan kesehatan), dan 3) bimbingan karir dan kewirausahaan.
B. Akses dan mutu layanan kemahasiswaan.</t>
  </si>
  <si>
    <r>
      <rPr>
        <b/>
        <sz val="9"/>
        <rFont val="Calibri"/>
        <family val="2"/>
        <scheme val="minor"/>
      </rPr>
      <t>C.4. Sumber Daya Manusia</t>
    </r>
    <r>
      <rPr>
        <sz val="9"/>
        <rFont val="Calibri"/>
        <family val="2"/>
        <scheme val="minor"/>
      </rPr>
      <t xml:space="preserve">
C.4.4. Indikator Kinerja Utama
C.4.4.a) Profil Dosen
Kecukupan jumlah DTPS.
Tabel 3.a.1) LKPS</t>
    </r>
  </si>
  <si>
    <t>Kualifikasi akademik DTPS.
Tabel 3.a.1) LKPS</t>
  </si>
  <si>
    <t>Skor min. = 3,5</t>
  </si>
  <si>
    <t>Skor min. = 3,0</t>
  </si>
  <si>
    <t>Jabatan akademik DTPS.
Tabel 3.a.1) LKPS</t>
  </si>
  <si>
    <t>Rasio jumlah mahasiswa program studi terhadap jumlah DTPS.
Tabel 2.a LKPS
Tabel 3.a.1) LKPS</t>
  </si>
  <si>
    <t xml:space="preserve">Penugasan DTPS sebagai pembimbing utama tugas akhir mahasiswa.
Tabel 3.a.2) LKPS </t>
  </si>
  <si>
    <t>Ekuivalensi Waktu Mengajar Penuh DTPS.
Tabel 3.a.3) LKPS</t>
  </si>
  <si>
    <t>Dosen tidak tetap.
Tabel 3.a.4) LKPS</t>
  </si>
  <si>
    <t>C.4.4.b) Kinerja Dosen
Pengakuan/rekognisi atas kepakaran/prestasi/kinerja DTPS.
Tabel 3.b.1) LKPS</t>
  </si>
  <si>
    <t>Kegiatan penelitian DTPS yang relevan dengan bidang program studi dalam 3 tahun terakhir.
Tabel 3.b.2) LKPS</t>
  </si>
  <si>
    <t>Kegiatan PkM DTPS yang relevan dengan bidang program studi dalam 3 tahun terakhir.
Tabel 3.b.3) LKPS</t>
  </si>
  <si>
    <t>Publikasi ilmiah dengan tema yang relevan dengan bidang program studi yang dihasilkan DTPS dalam 3 tahun terakhir.
Tabel 3.b.4) LKPS</t>
  </si>
  <si>
    <t>Artikel karya ilmiah DTPS yang disitasi dalam 3 tahun terakhir.
Tabel 3.b.5) LKPS</t>
  </si>
  <si>
    <t>Luaran penelitian dan PkM yang dihasilkan DTPS dalam 3 tahun terakhir.
Tabel 3.b.7) LKPS</t>
  </si>
  <si>
    <t>C.4.4.c) Pengembangan Dosen
Upaya pengembangan dosen.</t>
  </si>
  <si>
    <t xml:space="preserve">C.4.4.d) Tenaga Kependidikan
A. Kualifikasi dan kecukupan tenaga kependidikan berdasarkan jenis pekerjaannya (administrasi, pustakawan, teknisi, dll.)
B. Kualifikasi dan kecukupan laboran untuk mendukung proses pembelajaran sesuai dengan kebutuhan program studi. </t>
  </si>
  <si>
    <r>
      <rPr>
        <b/>
        <sz val="9"/>
        <rFont val="Calibri"/>
        <family val="2"/>
        <scheme val="minor"/>
      </rPr>
      <t>C.5. Keuangan, Sarana dan Prasarana</t>
    </r>
    <r>
      <rPr>
        <sz val="9"/>
        <rFont val="Calibri"/>
        <family val="2"/>
        <scheme val="minor"/>
      </rPr>
      <t xml:space="preserve">
C.5.4. Indikator Kinerja Utama
C.5.4.a) Keuangan
Biaya operasional pendidikan.
Tabel 4 LKPS</t>
    </r>
  </si>
  <si>
    <t>Dana penelitian DTPS.
Tabel 4 LKPS</t>
  </si>
  <si>
    <t>Dana pengabdian kepada masyarakat DTPS.
Tabel 4 LKPS</t>
  </si>
  <si>
    <t>Realisasi investasi (SDM, sarana dan prasarana) yang mendukung penyelenggaraan tridharma.</t>
  </si>
  <si>
    <t>Kecukupan dana untuk menjamin pencapaian capaian pembelajaran.</t>
  </si>
  <si>
    <t>C.5.4.b) Sarana dan Prasarana
Kecukupan, aksesibilitas dan mutu sarana dan prasarana untuk menjamin pencapaian capaian pembelajaran dan meningkatkan suasana akademik.</t>
  </si>
  <si>
    <r>
      <rPr>
        <b/>
        <sz val="9"/>
        <rFont val="Calibri"/>
        <family val="2"/>
        <scheme val="minor"/>
      </rPr>
      <t>C.6. Pendidikan</t>
    </r>
    <r>
      <rPr>
        <sz val="9"/>
        <rFont val="Calibri"/>
        <family val="2"/>
        <scheme val="minor"/>
      </rPr>
      <t xml:space="preserve">
C.6.4. Indikator Kinerja Utama
C.6.4.a) Kurikulum
A. Keterlibatan pemangku kepentingan dalam proses evaluasi dan pemutakhiran kurikulum.
B. Kesesuaian capaian pembelajaran dengan profil lulusan dan jenjang KKNI/SKKNI.
C. Ketepatan struktur kurikulum dalam pembentukan capaian pembelajaran.</t>
    </r>
  </si>
  <si>
    <t>C.6.4.b) Karakteristik Proses Pembelajaran
Pemenuhan karakteristik proses pembelajaran, yang terdiri atas sifat: 1) interaktif, 2) holistik, 3) integratif, 4) saintifik, 5) kontekstual, 6) tematik, 7) efektif, 8) kolaboratif, dan 9) berpusat pada mahasiswa.</t>
  </si>
  <si>
    <t>C.6.4.c) Rencana Proses Pembelajaran
A. Ketersediaan dan kelengkapan dokumen rencana pembelajaran semester (RPS).
B. Kedalaman dan keluasan RPS sesuai dengan capaian pembelajaran lulusan.</t>
  </si>
  <si>
    <t>C.6.4.d) Pelaksanaan Proses Pembelajaran
A. Bentuk interaksi antara dosen, mahasiswa dan sumber belajar.
B. Pemantauan kesesuaian proses terhadap rencana pembelajaran.
C. Proses pembelajaran yang terkait dengan penelitian harus mengacu SN Dikti Penelitian: 1) hasil penelitian: harus memenuhi pengembangan IPTEKS, meningkatkan kesejahteraan masyarakat, dan daya saing bangsa. 2) isi penelitian: memenuhi kedalaman dan keluasan materi penelitian sesuai capaian pembelajaran. 3) proses penelitian: mencakup perencanaan, pelaksanaan, dan pelaporan. 4) penilaian penelitian memenuhi unsur edukatif, obyektif, akuntabel, dan transparan.
D. Proses pembelajaran yang terkait dengan PkM harus mengacu SN Dikti PkM: 1) hasil PkM: harus memenuhi pengembangan IPTEKS, meningkatkan kesejahteraan masyarakat, dan daya saing bangsa. 2) isi PkM: memenuhi kedalaman dan keluasan materi PkM sesuai capaian pembelajaran. 3) proses PkM:  mencakup perencanaan, pelaksanaan, dan pelaporan. 4) penilaian PkM memenuhi unsur edukatif, obyektif, akuntabel, dan transparan.
E. Kesesuaian metode pembelajaran dengan capaian pembelajaran. Contoh: RBE (research based education), IBE (industry based education), teaching factory/teaching industry, dll.</t>
  </si>
  <si>
    <t>Pembelajaran yang dilaksanakan dalam bentuk praktikum, praktik studio, praktik bengkel, atau praktik lapangan.
Tabel 5.a LKPS</t>
  </si>
  <si>
    <t>C.6.4.e) Monitoring dan Evaluasi Proses Pembelajaran
Monitoring dan evaluasi pelaksanaan proses pembelajaran mencakup karakteristik, perencanaan, pelaksanaan, proses pembelajaran dan beban belajar mahasiswa untuk memperoleh capaian pembelajaran lulusan.</t>
  </si>
  <si>
    <t>C.6.4.f) Penilaian Pembelajaran
A. Mutu pelaksanaan penilaian pembelajaran (proses dan hasil belajar mahasiswa) untuk mengukur ketercapaian capaian pembelajaran berdasarkan prinsip penilaian yang mencakup:1) edukatif, 2) otentik, 3) objektif, 4) akuntabel, dan 5) transparan, yang dilakukan secara terintegrasi.
B. Pelaksanaan penilaian terdiri atas teknik dan instrumen penilaian. Teknik penilaian terdiri dari: 1) observasi, 2) partisipasi, 3) unjuk kerja, 4) test tertulis, 5) test lisan, dan 6) angket. Instrumen penilaian terdiri dari: 1) penilaian proses dalam bentuk rubrik, dan/ atau, 2) penilaian hasil dalam bentuk portofolio, atau 3) karya disain.
C. Pelaksanaan penilaian memuat unsur-unsur sebagai berikut: 1) mempunyai kontrak rencana penilaian, 2) melaksanakan penilaian sesuai kontrak atau kesepakatan, 3) memberikan umpan balik dan memberi kesempatan untuk mempertanyakan hasil kepada mahasiswa, 4) mempunyai dokumentasi penilaian proses dan hasil belajar mahasiswa, 5) mempunyai prosedur yang mencakup tahap perencanaan, kegiatan pemberian tugas atau soal, observasi kinerja, pengembalian hasil observasi, dan pemberian nilai akhir, 6) pelaporan penilaian berupa kualifikasi keberhasilan mahasiswa dalam menempuh suatu mata kuliah dalam bentuk huruf dan angka, 7) mempunyai bukti-bukti rencana dan telah melakukan proses perbaikan berdasar hasil monev penilaian.</t>
  </si>
  <si>
    <t>C.6.4.g) Integrasi kegiatan penelitian dan PkM dalam pembelajaran
Integrasi kegiatan penelitian dan PkM dalam pembelajaran oleh DTPS dalam 3 tahun terakhir.
Tabel 5.b LKPS</t>
  </si>
  <si>
    <t>C.6.4.h) Suasana Akademik
Keterlaksanaan dan keberkalaan program dan kegiatan diluar kegiatan pembelajaran terstruktur untuk meningkatkan suasana akademik.
Contoh: kegiatan himpunan mahasiswa, kuliah umum/studium generale, seminar ilmiah, bedah buku.</t>
  </si>
  <si>
    <t>C.6.4.i) Kepuasan Mahasiswa
A. Tingkat kepuasan mahasiswa terhadap proses pendidikan.
Tabel 5.c LKPS
B. Analisis dan tindak lanjut dari hasil pengukuran kepuasan mahasiswa.</t>
  </si>
  <si>
    <r>
      <rPr>
        <b/>
        <sz val="9"/>
        <rFont val="Calibri"/>
        <family val="2"/>
        <scheme val="minor"/>
      </rPr>
      <t>C.7. Penelitian</t>
    </r>
    <r>
      <rPr>
        <sz val="9"/>
        <rFont val="Calibri"/>
        <family val="2"/>
        <scheme val="minor"/>
      </rPr>
      <t xml:space="preserve">
C.7.4. Indikator Kinerja Utama
C.7.4.a) Relevansi Penelitian
Relevansi penelitian pada UPPS mencakup unsur-unsur sebagai berikut: 1) memiliki peta jalan yang memayungi tema penelitian dosen dan mahasiswa, 2) dosen dan mahasiswa melaksanakan penelitian sesuai dengan agenda penelitian dosen yang merujuk kepada peta jalan penelitian, 3) melakukan evaluasi kesesuaian penelitian dosen dan mahasiswa dengan peta jalan, dan 4) menggunakan hasil evaluasi untuk perbaikan relevansi penelitian dan pengembangan keilmuan program studi.</t>
    </r>
  </si>
  <si>
    <t>C.7.4.b) Penelitian Dosen dan Mahasiswa
Penelitian DTPS yang dalam pelaksanaannya melibatkan mahasiswa program studi dalam 3 tahun terakhir.
Tabel 6.a LKPS</t>
  </si>
  <si>
    <r>
      <rPr>
        <b/>
        <sz val="9"/>
        <rFont val="Calibri"/>
        <family val="2"/>
        <scheme val="minor"/>
      </rPr>
      <t>C.8. Pengabdian kepada Masyarakat</t>
    </r>
    <r>
      <rPr>
        <sz val="9"/>
        <rFont val="Calibri"/>
        <family val="2"/>
        <scheme val="minor"/>
      </rPr>
      <t xml:space="preserve">
C.8.4. Indikator Kinerja Utama
C.8.4.a) Relevansi PkM
Relevansi PkM pada UPPS mencakup unsur-unsur sebagai berikut: 1) memiliki peta jalan yang memayungi tema PkM dosen dan mahasiswa serta hilirisasi/penerapan keilmuan program studi, 2) dosen dan mahasiswa melaksanakan PkM sesuai dengan peta jalan PkM, 3) melakukan evaluasi kesesuaian PkM dosen dan mahasiswa dengan peta jalan, dan 4) menggunakan hasil evaluasi untuk perbaikan relevansi PkM dan pengembangan keilmuan program studi.</t>
    </r>
  </si>
  <si>
    <t>C.8.4.b) PkM Dosen dan Mahasiswa
PkM DTPS yang dalam pelaksanaannya melibatkan mahasiswa program studi dalam 3 tahun terakhir.
Tabel 7 LKPS</t>
  </si>
  <si>
    <r>
      <rPr>
        <b/>
        <sz val="9"/>
        <rFont val="Calibri"/>
        <family val="2"/>
        <scheme val="minor"/>
      </rPr>
      <t>C.9. Luaran dan Capaian Tridharma</t>
    </r>
    <r>
      <rPr>
        <sz val="9"/>
        <rFont val="Calibri"/>
        <family val="2"/>
        <scheme val="minor"/>
      </rPr>
      <t xml:space="preserve">
C.9.4. Indikator Kinerja Utama
C.9.4.a) Luaran Dharma  Pendidikan
Analisis pemenuhan capaian pembelajaran lulusan (CPL) yang diukur dengan metoda yang sahih dan relevan, mencakup aspek: 1) keserbacakupan, 
2) kedalaman, dan 3) kebermanfaatan analisis yang ditunjukkan dengan peningkatan CPL dari waktu ke waktu dalam 3 tahun terakhir.</t>
    </r>
  </si>
  <si>
    <t>IPK lulusan.
Tabel 8.a LKPS</t>
  </si>
  <si>
    <t>Prestasi mahasiswa di bidang akademik dalam 3 tahun terakhir.
Tabel 8.b.1) LKPS</t>
  </si>
  <si>
    <t>Prestasi mahasiswa di bidang nonakademik dalam 3 tahun terakhir.
Tabel 8.b.2) LKPS</t>
  </si>
  <si>
    <t>Masa studi.
Tabel 8.c LKPS</t>
  </si>
  <si>
    <t>Kelulusan tepat waktu.
Tabel 8.c LKPS</t>
  </si>
  <si>
    <t>Keberhasilan studi.
Tabel 8.c LKPS</t>
  </si>
  <si>
    <t xml:space="preserve">Pelaksanaan tracer study yang mencakup 5 aspek sebagai berikut: 1) pelaksanaan tracer study terkoordinasi di tingkat PT, 2) kegiatan tracer study dilakukan secara reguler setiap tahun dan terdokumentasi, 3) isi kuesioner mencakup seluruh pertanyaan inti tracer study DIKTI, 4) ditargetkan pada seluruh populasi (lulusan TS-4 s.d. TS-2), dan 5) hasilnya disosialisasikan dan digunakan untuk pengembangan kurikulum dan pembelajaran. </t>
  </si>
  <si>
    <t>Waktu tunggu.
Tabel 8.d.1) LKPS</t>
  </si>
  <si>
    <t>Kesesuaian bidang kerja. 
Tabel 8.d.2) LKPS</t>
  </si>
  <si>
    <t>Tingkat dan ukuran tempat kerja lulusan.
Tabel 8.e.1) LKPS</t>
  </si>
  <si>
    <t>Tingkat kepuasan pengguna lulusan.
Tabel 8.e.2) LKPS</t>
  </si>
  <si>
    <t>Luaran penelitian dan PkM yang dihasilkan mahasiswa, baik secara mandiri atau bersama DTPS dalam 3 tahun terakhir.
Tabel 8.f.4) LKPS</t>
  </si>
  <si>
    <r>
      <t xml:space="preserve">D  Analisis dan Penetapan Program Pengembangan
D.1 
Analisis dan Capaian Kinerja
</t>
    </r>
    <r>
      <rPr>
        <sz val="9"/>
        <color theme="1"/>
        <rFont val="Calibri"/>
        <family val="2"/>
        <scheme val="minor"/>
      </rPr>
      <t>Keserbacakupan (kelengkapan, keluasan, dan kedalaman), ketepatan, ketajaman, dan kesesuaian analisis capaian kinerja serta konsistensi dengan setiap kriteria.</t>
    </r>
  </si>
  <si>
    <r>
      <t xml:space="preserve">D.2 
Analisis SWOT atau Analisis Lain yang Relevan
</t>
    </r>
    <r>
      <rPr>
        <sz val="9"/>
        <color theme="1"/>
        <rFont val="Calibri"/>
        <family val="2"/>
        <scheme val="minor"/>
      </rPr>
      <t>Ketepatan analisis SWOT atau analisis yang relevan di dalam mengembangkan strategi.</t>
    </r>
  </si>
  <si>
    <r>
      <t xml:space="preserve">D.3
Program Pengembangan
</t>
    </r>
    <r>
      <rPr>
        <sz val="9"/>
        <color theme="1"/>
        <rFont val="Calibri"/>
        <family val="2"/>
        <scheme val="minor"/>
      </rPr>
      <t>Ketepatan di dalam menetapkan prioritas program pengembangan.</t>
    </r>
  </si>
  <si>
    <r>
      <t xml:space="preserve">D.4 
Program Keberlanjutan
</t>
    </r>
    <r>
      <rPr>
        <sz val="9"/>
        <color rgb="FF000000"/>
        <rFont val="Calibri"/>
        <family val="2"/>
        <scheme val="minor"/>
      </rPr>
      <t>UPPS memiliki kebijakan, ketersediaan sumberdaya, kemampuan melaksanakan, dan kerealistikan program.</t>
    </r>
  </si>
  <si>
    <t>ttd</t>
  </si>
  <si>
    <r>
      <t>N</t>
    </r>
    <r>
      <rPr>
        <vertAlign val="subscript"/>
        <sz val="11"/>
        <color theme="1"/>
        <rFont val="Calibri"/>
        <family val="2"/>
        <scheme val="minor"/>
      </rPr>
      <t>1</t>
    </r>
    <r>
      <rPr>
        <sz val="11"/>
        <color theme="1"/>
        <rFont val="Calibri"/>
        <family val="2"/>
        <scheme val="minor"/>
      </rPr>
      <t xml:space="preserve"> = Jumlah kerjasama pendidikan.</t>
    </r>
  </si>
  <si>
    <r>
      <t>N</t>
    </r>
    <r>
      <rPr>
        <vertAlign val="subscript"/>
        <sz val="11"/>
        <color theme="1"/>
        <rFont val="Calibri"/>
        <family val="2"/>
        <scheme val="minor"/>
      </rPr>
      <t>2</t>
    </r>
    <r>
      <rPr>
        <sz val="11"/>
        <color theme="1"/>
        <rFont val="Calibri"/>
        <family val="2"/>
        <scheme val="minor"/>
      </rPr>
      <t xml:space="preserve"> = Jumlah kerjasama penelitian.</t>
    </r>
  </si>
  <si>
    <r>
      <t>N</t>
    </r>
    <r>
      <rPr>
        <vertAlign val="subscript"/>
        <sz val="11"/>
        <color theme="1"/>
        <rFont val="Calibri"/>
        <family val="2"/>
        <scheme val="minor"/>
      </rPr>
      <t>3</t>
    </r>
    <r>
      <rPr>
        <sz val="11"/>
        <color theme="1"/>
        <rFont val="Calibri"/>
        <family val="2"/>
        <scheme val="minor"/>
      </rPr>
      <t xml:space="preserve"> = Jumlah kerjasama pengabdian kepada masyarakat.</t>
    </r>
  </si>
  <si>
    <r>
      <t>N</t>
    </r>
    <r>
      <rPr>
        <vertAlign val="subscript"/>
        <sz val="11"/>
        <color theme="1"/>
        <rFont val="Calibri"/>
        <family val="2"/>
        <scheme val="minor"/>
      </rPr>
      <t>DTPS</t>
    </r>
    <r>
      <rPr>
        <sz val="11"/>
        <color theme="1"/>
        <rFont val="Calibri"/>
        <family val="2"/>
        <scheme val="minor"/>
      </rPr>
      <t xml:space="preserve"> = Jumlah dosen tetap yang ditugaskan sebagai pengampu mata kuliah dengan bidang keahlian yang sesuai dengan kompetensi inti program studi yang diakreditasi.</t>
    </r>
  </si>
  <si>
    <t>RK = ((a x N1) + (b x N2) + (c x N3)) / NDTPS</t>
  </si>
  <si>
    <t>a =</t>
  </si>
  <si>
    <t xml:space="preserve">b = </t>
  </si>
  <si>
    <t xml:space="preserve">c = </t>
  </si>
  <si>
    <t>bRK =</t>
  </si>
  <si>
    <t>Skor A</t>
  </si>
  <si>
    <r>
      <t>N</t>
    </r>
    <r>
      <rPr>
        <vertAlign val="subscript"/>
        <sz val="11"/>
        <color theme="1"/>
        <rFont val="Calibri"/>
        <family val="2"/>
        <scheme val="minor"/>
      </rPr>
      <t>I</t>
    </r>
    <r>
      <rPr>
        <sz val="11"/>
        <color theme="1"/>
        <rFont val="Calibri"/>
        <family val="2"/>
        <scheme val="minor"/>
      </rPr>
      <t xml:space="preserve"> = Jumlah kerjasama tingkat internasional.</t>
    </r>
  </si>
  <si>
    <r>
      <t>N</t>
    </r>
    <r>
      <rPr>
        <vertAlign val="subscript"/>
        <sz val="11"/>
        <color theme="1"/>
        <rFont val="Calibri"/>
        <family val="2"/>
        <scheme val="minor"/>
      </rPr>
      <t>N</t>
    </r>
    <r>
      <rPr>
        <sz val="11"/>
        <color theme="1"/>
        <rFont val="Calibri"/>
        <family val="2"/>
        <scheme val="minor"/>
      </rPr>
      <t xml:space="preserve"> = Jumlah kerjasama tingkat nasional.</t>
    </r>
  </si>
  <si>
    <r>
      <t>N</t>
    </r>
    <r>
      <rPr>
        <vertAlign val="subscript"/>
        <sz val="11"/>
        <color theme="1"/>
        <rFont val="Calibri"/>
        <family val="2"/>
        <scheme val="minor"/>
      </rPr>
      <t>W</t>
    </r>
    <r>
      <rPr>
        <sz val="11"/>
        <color theme="1"/>
        <rFont val="Calibri"/>
        <family val="2"/>
        <scheme val="minor"/>
      </rPr>
      <t xml:space="preserve"> = Jumlah kerjasama tingkat wilayah/lokal.</t>
    </r>
  </si>
  <si>
    <t xml:space="preserve">4: NI ≥ a </t>
  </si>
  <si>
    <r>
      <t xml:space="preserve">3-4: NI &lt; a DAN NN </t>
    </r>
    <r>
      <rPr>
        <sz val="11"/>
        <color theme="0"/>
        <rFont val="Calibri"/>
        <family val="2"/>
      </rPr>
      <t>≥</t>
    </r>
    <r>
      <rPr>
        <sz val="11"/>
        <color theme="0"/>
        <rFont val="Calibri"/>
        <family val="2"/>
        <scheme val="minor"/>
      </rPr>
      <t xml:space="preserve"> b</t>
    </r>
  </si>
  <si>
    <t>2-3: 0 &lt; NI &lt; a DAN 0 &lt; NN &lt; b</t>
  </si>
  <si>
    <t>2: NI = 0 DAN NN = 0 DAN NW ≥ c</t>
  </si>
  <si>
    <t>0-2: NI = 0 DAN NN = 0 DAN NW &lt; c</t>
  </si>
  <si>
    <t>Skor B</t>
  </si>
  <si>
    <t>Skor = ((2 x A) + B) / 3</t>
  </si>
  <si>
    <t>A. Kerjasama perguruan tinggi di bidang pendidikan, penelitian dan PkM dalam 3 tahun terakhir.</t>
  </si>
  <si>
    <t>B. Kerjasama tingkat internasional, nasional, wilayah/lokal yang relevan dengan program studi dan dikelola oleh UPPS dalam 3 tahun terakhir.</t>
  </si>
  <si>
    <t>Daya Tampung</t>
  </si>
  <si>
    <t>Tahun Akademik</t>
  </si>
  <si>
    <t xml:space="preserve">Jumlah Calon Mahasiswa </t>
  </si>
  <si>
    <t>Jumlah Mahasiswa Baru</t>
  </si>
  <si>
    <t>Jumlah Mahasiswa Aktif</t>
  </si>
  <si>
    <t>Pendaftar</t>
  </si>
  <si>
    <t>Lulus Seleksi</t>
  </si>
  <si>
    <t>Reguler</t>
  </si>
  <si>
    <r>
      <t>Transfer</t>
    </r>
    <r>
      <rPr>
        <b/>
        <vertAlign val="superscript"/>
        <sz val="11"/>
        <color theme="1"/>
        <rFont val="Calibri"/>
        <family val="2"/>
        <scheme val="minor"/>
      </rPr>
      <t>*)</t>
    </r>
  </si>
  <si>
    <t>TS-4</t>
  </si>
  <si>
    <t>TS-3</t>
  </si>
  <si>
    <t>TS-2</t>
  </si>
  <si>
    <t>TS-1</t>
  </si>
  <si>
    <t>TS</t>
  </si>
  <si>
    <t>Jumlah</t>
  </si>
  <si>
    <t>Jumlah Mahasiswa Asing</t>
  </si>
  <si>
    <t>Jumlah total mahasiswa asing</t>
  </si>
  <si>
    <t>Jumlah total mahasiswa prodi</t>
  </si>
  <si>
    <t>Jumlah mahasiswa diterima pada TS</t>
  </si>
  <si>
    <t>Jumlah mahasiswa diterima pada TS-1</t>
  </si>
  <si>
    <t>Jumlah mahasiswa diterima pada TS-2</t>
  </si>
  <si>
    <t>Jumlah mahasiswa diterima pada TS-3</t>
  </si>
  <si>
    <t>Kenaikan TS-3 ke TS-2</t>
  </si>
  <si>
    <t>Kenaikan TS-2 ke TS-1</t>
  </si>
  <si>
    <t>Kenaikan TS-1 ke TS</t>
  </si>
  <si>
    <t>Rerata kenaikan</t>
  </si>
  <si>
    <t>Jenis layanan mencakup bidang penalaran, minat dan bakat, dan kesejahteraan (bimbingan dan konseling, layanan beasiswa, dan layanan kesehatan).</t>
  </si>
  <si>
    <t>Jenis layanan mencakup bidang penalaran, minat dan bakat mahasiswa.</t>
  </si>
  <si>
    <t>Jenis layanan hanya mencakup sebagian bidang penalaran, minat atau bakat.</t>
  </si>
  <si>
    <t>Tidak memiliki layanan kemahasiswaan.</t>
  </si>
  <si>
    <t>Ada kemudahan akses dan mutu layanan yang baik untuk bidang penalaran, minat bakat mahasiswa dan semua jenis layanan kesehatan.</t>
  </si>
  <si>
    <t>Ada kemudahan akses dan mutu layanan yang baik untuk bidang penalaran, minat bakat mahasiswa dan sebagian layanan kesehatan.</t>
  </si>
  <si>
    <t>Ada kemudahan akses dan mutu layanan yang baik untuk bidang penalaran dan minat bakat mahasiswa.</t>
  </si>
  <si>
    <t>Mutu layanan kurang baik untuk bidang penalaran atau minat bakat mahasiswa.</t>
  </si>
  <si>
    <t>Jumlah seluruh kegiatan</t>
  </si>
  <si>
    <t>Tingkat</t>
  </si>
  <si>
    <t>Pendidikan</t>
  </si>
  <si>
    <t>Penelitian</t>
  </si>
  <si>
    <t>Pengabdian kepada Masyarakat</t>
  </si>
  <si>
    <t>Internasional</t>
  </si>
  <si>
    <t>Nasional</t>
  </si>
  <si>
    <t>Lokal/Wilayah</t>
  </si>
  <si>
    <t>EVALUASI DIRI PROGRAM STUDI</t>
  </si>
  <si>
    <t>ISIAN PROGRAM STUDI</t>
  </si>
  <si>
    <t>Jumlah Kegiatan</t>
  </si>
  <si>
    <t>Keterangan</t>
  </si>
  <si>
    <t>Dosen tidak tetap</t>
  </si>
  <si>
    <t>Dosen pembimbing utama</t>
  </si>
  <si>
    <t>Mahasiswa bimbingan</t>
  </si>
  <si>
    <t>Nama Prodi :</t>
  </si>
  <si>
    <t>Jumlah dosen pengampu matakuliah inti program studi</t>
  </si>
  <si>
    <t>Jenis prodi (Isikan 1 jika prodi sains teknologi, atau isikan 2 jika prodi sosial humaniora</t>
  </si>
  <si>
    <t>Jumlah dosen pembimbing utama</t>
  </si>
  <si>
    <t>Jumlah mahasiswa bimbingan</t>
  </si>
  <si>
    <t>Rerata jumlah bimbingan</t>
  </si>
  <si>
    <t>Fakultas/ departemen merencanakan dan mengembangkan DTPS mengikuti rencana pengembangan SDM di perguruan tinggi (Renstra PT) secara konsisten.</t>
  </si>
  <si>
    <t>Fakultas/ departemen merencanakan dan mengembangkan DTPS mengikuti rencana pengembangan SDM di perguruan tinggi (Renstra PT).</t>
  </si>
  <si>
    <t>Fakultas/ departemen mengembangkan DTPS mengikuti rencana pengembangan SDM di perguruan tinggi (Renstra PT).</t>
  </si>
  <si>
    <t>Fakultas/ departemen mengembangkan DTPS tidak mengikuti atau tidak sesuai dengan rencana pengembangan SDM di perguruan tinggi (Renstra PT).</t>
  </si>
  <si>
    <t>Perguruan tinggi dan/atau Fakultas/ departemen tidak memiliki rencana pengembangan SDM.</t>
  </si>
  <si>
    <t>1.4.13</t>
  </si>
  <si>
    <t>Program studi telah memiliki data yang lengkap keikutsertaan dosen dan tenaga kependidikan dalam berbagai kegiatan pengembangan kompetensi seperti seminar, workshop, symposium, dll.</t>
  </si>
  <si>
    <t>Rekap dan bukti pengembangan dosen</t>
  </si>
  <si>
    <t>Program studi memiliki data dan dokumen pendukung lengkap keikutsertaan dosen dan tenaga kependidikan dalam berbagai kegiatan pengembangan kompetensi (seminar, workshop, simposium, dll).</t>
  </si>
  <si>
    <t>Program studi memiliki data dan sebagian besar dokumen pendukung keikutsertaan dosen dan tenaga kependidikan dalam berbagai kegiatan pengembangan kompetensi (seminar, workshop, simposium, dll).</t>
  </si>
  <si>
    <t>Program studi memiliki data dan beberapa dokumen pendukung keikutsertaan dosen dan tenaga kependidikan dalam berbagai kegiatan pengembangan kompetensi (seminar, workshop, simposium, dll).</t>
  </si>
  <si>
    <t>Program studi memiliki data keikutsertaan dosen dan tenaga kependidikan dalam berbagai kegiatan pengembangan kompetensi (seminar, workshop, simposium, dll).</t>
  </si>
  <si>
    <t>Program studi tidak memiliki data keikutsertaan dosen dan tenaga kependidikan dalam kegiatan pengembangan kompetensi (seminar, workshop, simposium, dll).</t>
  </si>
  <si>
    <t>(1) Rekap dan bukti pengembangan dosen
(2) Rekap dan bukti pengembangan tenaga kependidikan</t>
  </si>
  <si>
    <t>1.4.14</t>
  </si>
  <si>
    <t>Program studi telah memiliki data yang lengkap keikutsertaan dosen dalam berbagai kegiatan pengembangan kompetensi seperti seminar, workshop, symposium, dll.</t>
  </si>
  <si>
    <t>Program studi memiliki prosedur monitoring dan evaluasi rekrutmen, seleksi, penempatan, pengembangan, retensi, pemberhentian serta pensiun dan telah dijalankan secara konsisten dan berkelanjutan.</t>
  </si>
  <si>
    <t>Program studi memiliki prosedur monitoring dan evaluasi rekrutmen, seleksi, penempatan, pengembangan, retensi, pemberhentian serta pensiun dan telah dijalankan secara konsisten.</t>
  </si>
  <si>
    <t>Program studi memiliki prosedur monitoring dan evaluasi rekrutmen, seleksi, penempatan, pengembangan, retensi, pemberhentian serta pensiun dan telah dijalankan sebagian.</t>
  </si>
  <si>
    <t>Program studi memiliki prosedur monitoring dan evaluasi rekrutmen, seleksi, penempatan, pengembangan, retensi, pemberhentian serta pensiun.</t>
  </si>
  <si>
    <t>Program studi tidak memiliki prosedur monitoring dan evaluasi rekrutmen, seleksi, penempatan, pengembangan, retensi, pemberhentian serta pensiun.</t>
  </si>
  <si>
    <t>1.4.15</t>
  </si>
  <si>
    <t>Fakultas/Departemen telah melakukan pengukuran kepuasan layanan dosen dan tenaga kependidikan terhadap pengelolaan SDM di UKSW dan menindaklanjuti hasilnya minimal satu kali setiap tahun.</t>
  </si>
  <si>
    <t>Fakultas/ departemen dan/atauprogram studi memiliki instrumen dan bukti yang sahih dan andal tentang pengukuran kepuasan dosen dan tenaga kependidikan terhadap layanan pengelolaan dan pengembangan SDM yang dilaksanakan secara konsisten dan ditindaklanjuti hasilnya secara berkala dan tersistem.</t>
  </si>
  <si>
    <t>Fakultas/ departemen dan/atauprogram studi memiliki instrumen dan bukti yang sahih dan andal tentang pengukuran kepuasan dosen dan tenaga kependidikan terhadap layanan pengelolaan dan pengembangan SDM yang dilaksanakan secara konsisten.</t>
  </si>
  <si>
    <t>Fakultas/ departemen dan/atauprogram studi memiliki instrumen dan bukti yang sahih dan andal tentang pengukuran kepuasan dosen dan tenaga kependidikan terhadap layanan pengelolaan dan pengembangan SDM.</t>
  </si>
  <si>
    <t>Fakultas/ departemen dan/atauprogram studi memiliki instrumen dan bukti tentang pengukuran kepuasan dosen dan tenaga kependidikan terhadap layanan pengelolaan dan pengembangan SDM.</t>
  </si>
  <si>
    <t>Fakultas/ departemen dan/atauprogram studi tidak memiliki instrumen yang jelas dan bukti yang sahih tentang pengukuran kepuasan dosen dan tenaga kependidikan terhadap layanan pengelolaan dan pengembangan SDM.</t>
  </si>
  <si>
    <t>(1) Hasil survey secara berkala
(2) Dokumen analisis hasil survey secara berkala</t>
  </si>
  <si>
    <t>Realisasi investasi (SDM, sarana dan prasarana) memenuhi seluruh kebutuhan akan penyelenggaraan program pendidikan, penelitian dan PkM serta memenuhi standar perguruan tinggi terkait pendidikan, penelitian dan PkM.</t>
  </si>
  <si>
    <t>Realisasi investasi (SDM, sarana dan prasarana) hanya memenuhi sebagian kebutuhan akan penyelenggaraan program pendidikan, penelitian dan PkM serta memenuhi standar perguruan tinggi terkait pendidikan, penelitian dan PkM.</t>
  </si>
  <si>
    <t>Realisasi investasi (SDM, sarana dan prasarana) hanya memenuhi kebutuhan akan penyelenggaraan program pendidikan serta memenuhi standar perguruan tinggi terkait pendidikan.</t>
  </si>
  <si>
    <t>Realisasi investasi (SDM, sarana dan prasarana) belum memenuhi kebutuhan akan penyelenggaraan program pendidikan.</t>
  </si>
  <si>
    <t>Tidak ada realisasi untuk investasi SDM, sarana maupun prasarana.</t>
  </si>
  <si>
    <t>Dana dapat menjamin keberlangsungan operasional tridharma, pengembangan 3 tahun terakhir serta memiliki kecukupan dana untuk rencana pengembangan 3 tahun ke depan yang didukung oleh sumber pendanaan yang realistis.</t>
  </si>
  <si>
    <t>Dana dapat menjamin keberlangsungan operasional tridharma serta pengembangan 3 tahun terakhir.</t>
  </si>
  <si>
    <t>Dana dapat menjamin keberlangsungan operasional tridharma dan sebagian kecil pengembangan.</t>
  </si>
  <si>
    <t>Dana dapat menjamin keberlangsungan operasional tridharma dan tidak ada untuk pengembangan.</t>
  </si>
  <si>
    <t>Dana tidak mencukupi untuk keperluan operasional.</t>
  </si>
  <si>
    <t xml:space="preserve">Evaluasi dan pemutakhiran kurikulum secara berkala tiap 4 s.d. 5 tahun yang melibatkan pemangku kepentingan internal dan eksternal, serta direview oleh pakar bidang ilmu program studi, industri, asosiasi, serta sesuai perkembangan ipteks dan kebutuhan pengguna.  </t>
  </si>
  <si>
    <t>Evaluasi dan pemutakhiran kurikulum secara berkala tiap 4 s.d. 5 tahun yang melibatkan pemangku kepentingan internal dan eksternal.</t>
  </si>
  <si>
    <t>Evaluasi dan pemutakhiran kurikulum melibatkan pemangku kepentingan internal.</t>
  </si>
  <si>
    <t>Evaluasi dan pemutakhiran kurikulum tidak melibatkan seluruh pemangku kepentingan internal.</t>
  </si>
  <si>
    <t>Evaluasi dan pemutakhiran kurikulum dilakukan oleh dosen program studi.</t>
  </si>
  <si>
    <t>Capaian pembelajaran diturunkan dari profil lulusan dan memenuhi level KKNI.</t>
  </si>
  <si>
    <t>Struktur kurikulum memuat keterkaitan antara matakuliah dengan capaian pembelajaran lulusan yang digambarkan dalam peta kurikulum yang jelas, capaian pembelajaran lulusan dipenuhi oleh seluruh capaian pembelajaran matakuliah, serta tidak ada capaian pembelajaran matakuliah yang tidak mendukung capaian pembelajaran lulusan</t>
  </si>
  <si>
    <t>Struktur kurikulum memuat keterkaitan antara matakuliah dengan capaian pembelajaran lulusan yang digambarkan dalam peta kurikulum yang jelas, capaian pembelajaran lulusan dipenuhi oleh seluruh capaian pembelajaran matakuliah</t>
  </si>
  <si>
    <t>Struktur kurikulum memuat keterkaitan antara matakuliah dengan capaian pembelajaran lulusan yang digambarkan dalam peta kurikulum yang jelas.</t>
  </si>
  <si>
    <t>Struktur kurikulum tidak sesuai dengan urutan capaian pembelajaran lulusan.</t>
  </si>
  <si>
    <t xml:space="preserve">Terpenuhinya karakteristik proses pembelajaran program studi yang mencakup seluruh sifat, dan telah menghasilkan profil lulusan yang sesuai dengan capaian pembelajaran.  </t>
  </si>
  <si>
    <t>Terpenuhinya karakteristik proses pembelajaran program studi yang berpusat pada mahasiswa, dan telah menghasilkan profil lulusan yang sesuai dengan capaian pembelajaran</t>
  </si>
  <si>
    <t>Karakteristik proses pembelajaran program studi berpusat pada mahasiswa yang diterapkan pada minimal 50% matakuliah.</t>
  </si>
  <si>
    <t>Karakteristik proses pembelajaran program studi belum berpusat pada mahasiswa.</t>
  </si>
  <si>
    <t>Dokumen RPS memuat target capaian pembelajaran, bahan kajian, metode pembelajaran, waktu dan tahapan, asesmen hasil capaian pembelajaran. RPS ditinjau dan disesuaikan secara berkala serta dapat diakses oleh mahasiswa, dilaksanakan secara konsisten.</t>
  </si>
  <si>
    <t>Dokumen RPS memuat target capaian pembelajaran, bahan kajian, metode pembelajaran, waktu dan tahapan, asesmen hasil capaian pembelajaran. RPS ditinjau dan disesuaikan secara berkala serta dapat diakses oleh mahasiswa.</t>
  </si>
  <si>
    <t xml:space="preserve">Dokumen RPS memuat target capaian pembelajaran, bahan kajian, metode pembelajaran, waktu dan tahapan, asesmen hasil capaian pembelajaran. RPS ditinjau dan disesuaikan secara berkala.  </t>
  </si>
  <si>
    <t>Dokumen RPS memuat target capaian pembelajaran, bahan kajian, metode pembelajaran, waktu dan tahapan, asesmen hasil capaian pembelajaran atau tidak semua matakuliah memiliki RPS.</t>
  </si>
  <si>
    <t>Tidak memiliki dokumen RPS.</t>
  </si>
  <si>
    <t>Isi materi pembelajaran sesuai dengan RPS, memiliki kedalaman dan keluasan yang relevan untuk mencapai capaian pembelajaran lulusan, serta ditinjau ulang secara berkala</t>
  </si>
  <si>
    <t>Isi materi pembelajaran sesuai dengan RPS, memiliki kedalaman dan keluasan yang relevan untuk mencapai capaian pembelajaran lulusan.</t>
  </si>
  <si>
    <t xml:space="preserve">Isi materi pembelajaran memiliki kedalaman dan keluasan sesuai dengan capaian pembelajaran lulusan.  </t>
  </si>
  <si>
    <t>Isi materi pembelajaran memiliki kedalaman dan keluasan namun sebagian tidak sesuai dengan capaian pembelajaran lulusan.</t>
  </si>
  <si>
    <t xml:space="preserve">Isi materi pembelajaran tidak sesuai dengan capaian pembelajaran lulusan.  </t>
  </si>
  <si>
    <t>Rata-rata EWMP DTPS per semester pada saat TS.</t>
  </si>
  <si>
    <r>
      <t>EWMP</t>
    </r>
    <r>
      <rPr>
        <vertAlign val="subscript"/>
        <sz val="11"/>
        <color rgb="FF000000"/>
        <rFont val="Calibri"/>
        <family val="2"/>
        <scheme val="minor"/>
      </rPr>
      <t>DTPS</t>
    </r>
    <r>
      <rPr>
        <sz val="11"/>
        <color indexed="8"/>
        <rFont val="Calibri"/>
        <family val="2"/>
        <scheme val="minor"/>
      </rPr>
      <t xml:space="preserve"> = Rata-rata EWMP DTPS per semester pada saat TS.</t>
    </r>
  </si>
  <si>
    <t>Skor = (A + B) / 2</t>
  </si>
  <si>
    <t>Pelaksanaan pembelajaran berlangsung dalam bentuk interaksi antara dosen, mahasiswa, dan sumber belajar dalam lingkungan belajar tertentu secara on-line dan off-line dalam bentuk audio-visual terdokumentasi.</t>
  </si>
  <si>
    <t>Pelaksanaan pembelajaran berlangsung dalam bentuk interaksi antara dosen, mahasiswa, dan sumber belajar dalam lingkungan belajar tertentu secara on-line dan off-line</t>
  </si>
  <si>
    <t>Pelaksanaan pembelajaran berlangsung dalam bentuk interaksi antara dosen, mahasiswa, dan sumber belajar dalam lingkungan belajar tertentu</t>
  </si>
  <si>
    <t>Pelaksanaan pembelajaran berlangsung hanya sebagian dalam bentuk interaksi antara dosen, mahasiswa, dan sumber belajar dalam lingkungan belajar tertentu.</t>
  </si>
  <si>
    <t>Pelaksanaan pembelajaran tidak berlangsung dalam bentuk interaksi antara dosen dan mahasiswa</t>
  </si>
  <si>
    <t>Skor = (A + (2 x B) + (2 x C)) / 5</t>
  </si>
  <si>
    <t>Memiliki bukti sahih adanya sistem dan pelaksanaan pemantauan proses pembelajaran yang dilaksanakan secara periodik untuk menjamin kesesuaian dengan RPS dalam rangka menjaga mutu proses pembelajaran pada seluruh MK. Hasil monev terdokumentasi dengan baik dan digunakan untuk meningkatkan mutu proses pembelajaran.</t>
  </si>
  <si>
    <t>Memiliki bukti sahih adanya sistem dan pelaksanaan pemantauan proses pembelajaran yang dilaksanakan secara periodik untuk menjamin kesesuaian dengan RPS dalam rangka menjaga mutu proses pembelajaran. Hasil monev terdokumentasi dengan baik.</t>
  </si>
  <si>
    <t>Memiliki bukti sahih adanya sistem dan pelaksanaan pemantauan proses pembelajaran yang dilaksanakan secara periodik untuk mengukur kesesuaian terhadap RPS</t>
  </si>
  <si>
    <t>Memiliki bukti sahih adanya sistem pemantauan proses pembelajaran namun tidak dilaksanakan secara konsisten.</t>
  </si>
  <si>
    <t>Tidak memiliki bukti sahih adanya sistem dan pelaksanaan pemantauan proses pembelajaran</t>
  </si>
  <si>
    <t xml:space="preserve">Tabel Jam Praktikum, Praktik Studio, Praktik Bengkel, atau Praktik Lapangan </t>
  </si>
  <si>
    <t>JP = Jam pembelajaran praktikum, praktik studio, praktik bengkel, atau praktik lapangan (termasuk KKN)</t>
  </si>
  <si>
    <t>JB = Jam pembelajaran total selama masa pendidikan.</t>
  </si>
  <si>
    <t>Jam pembelajaran praktikum, praktik studio, praktik bengkel, atau praktik lapangan (termasuk KKN)</t>
  </si>
  <si>
    <t>Jam pembelajaran total selama masa pendidikan.</t>
  </si>
  <si>
    <t>PJP = (JP / JB) x 100%</t>
  </si>
  <si>
    <t xml:space="preserve">Terdapat bukti sahih tentang dipenuhinya 5 prinsip penilaian yang dilakukan secara terintegrasi dan dilengkapi dengan rubrik/portofolio penilaian minimum 70% jumlah matakuliah. </t>
  </si>
  <si>
    <t>Terdapat bukti sahih tentang dipenuhinya 5 prinsip penilaian yang dilakukan secara terintegrasi dan dilengkapi dengan rubrik/portofolio penilaian minimum 50% jumlah matakuliah.</t>
  </si>
  <si>
    <t>Terdapat bukti sahih tentang dipenuhinya 5 prinsip penilaian yang dilakukan secara terintegrasi.</t>
  </si>
  <si>
    <t>Terdapat bukti sahih tentang dipenuhinya 5 prinsip penilaian yang tidak dilakukan secara terintegrasi.</t>
  </si>
  <si>
    <t>Tidak terdapat bukti sahih tentang dipenuhinya 5 prinsip penilaian.</t>
  </si>
  <si>
    <t>Tidak terdapat bukti sahih yang menunjukkan kesesuaian teknik dan instrumen penilaian terhadap capaian pembelajaran.</t>
  </si>
  <si>
    <t xml:space="preserve">Terdapat bukti sahih pelaksanaan penilaian mencakup 7 unsur.  </t>
  </si>
  <si>
    <t>Terdapat bukti sahih pelaksanaan penilaian mencakup minimum unsur 1, 4 dan 6 serta 2 unsur lainnya.</t>
  </si>
  <si>
    <t xml:space="preserve">Terdapat bukti sahih pelaksanaan penilaian mencakup minimum unsur 1, 4 dan 6.  </t>
  </si>
  <si>
    <t>Terdapat bukti sahih pelaksanaan penilaian hanya mencakup unsur 6.</t>
  </si>
  <si>
    <t>Kegiatan ilmiah yang terjadwal dilaksanakan setiap bulan.</t>
  </si>
  <si>
    <t>Tidak ada skor kurang dari 1.</t>
  </si>
  <si>
    <t>% Sangat Baik</t>
  </si>
  <si>
    <t>% Baik</t>
  </si>
  <si>
    <t>% Cukup</t>
  </si>
  <si>
    <t>% Kurang</t>
  </si>
  <si>
    <r>
      <t>TKM</t>
    </r>
    <r>
      <rPr>
        <vertAlign val="subscript"/>
        <sz val="11"/>
        <rFont val="Calibri"/>
        <family val="2"/>
        <scheme val="minor"/>
      </rPr>
      <t>1</t>
    </r>
  </si>
  <si>
    <r>
      <t>TKM</t>
    </r>
    <r>
      <rPr>
        <vertAlign val="subscript"/>
        <sz val="11"/>
        <rFont val="Calibri"/>
        <family val="2"/>
        <scheme val="minor"/>
      </rPr>
      <t>2</t>
    </r>
  </si>
  <si>
    <r>
      <t>TKM</t>
    </r>
    <r>
      <rPr>
        <vertAlign val="subscript"/>
        <sz val="11"/>
        <rFont val="Calibri"/>
        <family val="2"/>
        <scheme val="minor"/>
      </rPr>
      <t>3</t>
    </r>
  </si>
  <si>
    <r>
      <t>TKM</t>
    </r>
    <r>
      <rPr>
        <vertAlign val="subscript"/>
        <sz val="11"/>
        <rFont val="Calibri"/>
        <family val="2"/>
        <scheme val="minor"/>
      </rPr>
      <t>4</t>
    </r>
  </si>
  <si>
    <t>Tangible</t>
  </si>
  <si>
    <r>
      <t>TKM</t>
    </r>
    <r>
      <rPr>
        <vertAlign val="subscript"/>
        <sz val="11"/>
        <rFont val="Calibri"/>
        <family val="2"/>
        <scheme val="minor"/>
      </rPr>
      <t>5</t>
    </r>
  </si>
  <si>
    <t>Keandalan</t>
  </si>
  <si>
    <t>Daya Tanggap</t>
  </si>
  <si>
    <t>Kepastian</t>
  </si>
  <si>
    <t>Empati</t>
  </si>
  <si>
    <t>Tingkat kepuasan pengguna</t>
  </si>
  <si>
    <t>Hasil pengukuran dianalisis dan ditindaklanjuti minimal 2 kali setiap semester, serta digunakan untuk perbaikan proses pembelajaran dan menunjukkan peningkatan hasil pembelajaran.</t>
  </si>
  <si>
    <t>Hasil pengukuran dianalisis dan ditindaklanjuti setiap semester, serta digunakan untuk perbaikan proses pembelajaran dan menunjukkan peningkatan hasil pembelajaran.</t>
  </si>
  <si>
    <t>Hasil pengukuran dianalisis dan ditindaklanjuti setiap tahun, serta digunakan untuk perbaikan proses pembelajaran</t>
  </si>
  <si>
    <t>Hasil pengukuran dianalisis dan ditindaklanjuti, serta digunakan untuk perbaikan proses pembelajaran, namun dilakukan secara insidentil.</t>
  </si>
  <si>
    <t>Tidak dilakukan analisis terhadap hasil pengukuran kepuasan terhadap proses pembelajaran.</t>
  </si>
  <si>
    <t>1.7.2</t>
  </si>
  <si>
    <t>Program studi telah menghasilkan dan mendokumentasikan penelitian dasar dan terapan yang memiliki manfaat teoritis dan praktis, memuat prinsip-prinsip kemanfaatan, kemutakhiran dan mengantisipasi kebutuhan di masa mendatang yang layak untuk dipublikasikan pada tingkat nasional dan internasional.</t>
  </si>
  <si>
    <t>Peta jalan penelitian; Laporan penelitian dosen.</t>
  </si>
  <si>
    <t>Program studi menghasilkan dan mendokumentasikan penelitian dasar dan terapan yang memuat prinsip-prinsip kemanfaatan, kemutakhiran dan mengantisipasi kebutuhan di masa mendatang yang layak untuk dipublikasikan pada tingkat internasional.</t>
  </si>
  <si>
    <t>Program studi menghasilkan dan mendokumentasikan penelitian dasar dan terapan yang memuat prinsip-prinsip kemanfaatan, kemutakhiran dan mengantisipasi kebutuhan di masa mendatang yang layak untuk dipublikasikan pada tingkat nasional.</t>
  </si>
  <si>
    <t>Program studi menghasilkan dan mendokumentasikan penelitian dasar dan terapan yang memuat prinsip-prinsip kemanfaatan, kemutakhiran dan mengantisipasi kebutuhan di masa mendatang.</t>
  </si>
  <si>
    <t>Program studi menghasilkan dan mendokumentasikan penelitian dasar dan terapan yang memuat prinsip-prinsip kemanfaatan dan kemutakhiran.</t>
  </si>
  <si>
    <t>Program studi tidak menghasilkan dan mendokumentasikan penelitian dasar dan terapan.</t>
  </si>
  <si>
    <t>1.7.3</t>
  </si>
  <si>
    <t>Program studi telah memiliki rekap dan bukti terdokumentasi karya dosen tetap Program studi yang disitasi setiap tahun.</t>
  </si>
  <si>
    <t>Program studi memiliki rekap dan bukti terdokumentasi karya dosen yang disitasi dalam 3 tahun terakhir.</t>
  </si>
  <si>
    <t>Program studi memiliki rekap dan bukti terdokumentasi karya dosen yang disitasi selama 2 tahun terakhir.</t>
  </si>
  <si>
    <t>Program studi memiliki rekap dan bukti terdokumentasi karya dosen yang disitasi dalam 1 tahun terakhir.</t>
  </si>
  <si>
    <t>Program studi tidak memiliki rekap atau bukti terdokumentasi karya dosen.</t>
  </si>
  <si>
    <t>(1) Rekap sitasi dosen
(2) Bukti sitasi dosen.</t>
  </si>
  <si>
    <t>Jumlah judul penelitian DTPS yang dalam pelaksanaannya melibatkan mahasiswa program studi dalam 3 tahun terakhir.</t>
  </si>
  <si>
    <t xml:space="preserve">Jumlah judul penelitian DTPS dalam 3 tahun terakhir. </t>
  </si>
  <si>
    <t>Jumlah PKM dosen yang melibatkan mahasiswa dalam 3 tahun terakhir</t>
  </si>
  <si>
    <t>Jumlah keseluruhan PKM dosen dalam 3 tahun terakhir</t>
  </si>
  <si>
    <t>Tidak dilakukan analisis capaian pembelajaran lulusan.</t>
  </si>
  <si>
    <t>Jumlah Lulusan</t>
  </si>
  <si>
    <t>Rata-rata IPK</t>
  </si>
  <si>
    <t>Jumlah Lulusan pada TS-2</t>
  </si>
  <si>
    <t>Jumlah Lulusan pada TS-1</t>
  </si>
  <si>
    <t>Jumlah Lulusan pada TS</t>
  </si>
  <si>
    <t>IPK Rata-rata pada TS-2</t>
  </si>
  <si>
    <t>IPK Rata-rata pada TS-1</t>
  </si>
  <si>
    <t>IPK Rata-rata pada TS</t>
  </si>
  <si>
    <t>RIPK = Rata-rata IPK lulusan dalam 3 tahun terakhir.</t>
  </si>
  <si>
    <t>b1 =</t>
  </si>
  <si>
    <t>b2 =</t>
  </si>
  <si>
    <t>NI = Jumlah prestasi akademik internasional.</t>
  </si>
  <si>
    <t>NN = Jumlah prestasi akademik nasional.</t>
  </si>
  <si>
    <t>NW = Jumlah prestasi akademik wilayah/lokal.</t>
  </si>
  <si>
    <t>NM = Jumlah mahasiswa pada saat TS.</t>
  </si>
  <si>
    <t>RI = NI / NM</t>
  </si>
  <si>
    <t>RN = NN / NM</t>
  </si>
  <si>
    <t>RW = NW / NM</t>
  </si>
  <si>
    <t>Jumlah Prestasi Akademik</t>
  </si>
  <si>
    <t>Jumlah Prestasi Non Akademik</t>
  </si>
  <si>
    <t>Jumlah lulusan pada akhir TS dari mahasiswa tahun masuk TS-3</t>
  </si>
  <si>
    <t>Rata-rata masa studi lulusan dari mahasiswa tahun masuk TS-3 (Tahun)</t>
  </si>
  <si>
    <t>MS = Rata-rata masa studi lulusan (Tahun)</t>
  </si>
  <si>
    <t>b3 =</t>
  </si>
  <si>
    <t>Tahun Masuk</t>
  </si>
  <si>
    <t>Jumlah Mahasiswa Diterima</t>
  </si>
  <si>
    <t>Akhir TS-6</t>
  </si>
  <si>
    <t>Akhir TS-5</t>
  </si>
  <si>
    <t>Akhir TS-4</t>
  </si>
  <si>
    <t>Akhir TS-3</t>
  </si>
  <si>
    <t>Akhir TS-2</t>
  </si>
  <si>
    <t>Akhir TS-1</t>
  </si>
  <si>
    <t>Akhir TS</t>
  </si>
  <si>
    <t>Jumlah
Lulusan
s.d.
Akhir TS</t>
  </si>
  <si>
    <t>Rata
rata
Masa
Studi</t>
  </si>
  <si>
    <t>Jumlah mahasiswa yang lulus pada</t>
  </si>
  <si>
    <t>Jumlah Mahasiswa Diterima pada TS-3</t>
  </si>
  <si>
    <t>Jumlah Mahasiswa yang Lulus pada Akhir TS-2</t>
  </si>
  <si>
    <t>Jumlah Mahasiswa yang Lulus pada Akhir TS-1</t>
  </si>
  <si>
    <t>Jumlah Mahasiswa yang Lulus pada Akhir TS</t>
  </si>
  <si>
    <t>PTW = Persentase kelulusan tepat waktu.</t>
  </si>
  <si>
    <t>Jumlah mahasiswa yang lulus pada akhir TS-2</t>
  </si>
  <si>
    <t>Jumlah mahasiswa yang lulus pada akhir TS-1</t>
  </si>
  <si>
    <t>Jumlah mahasiswa yang lulus pada akhir TS</t>
  </si>
  <si>
    <t>PPS = Persentase keberhasilan studi.</t>
  </si>
  <si>
    <t>Tabel Waktu Tunggu Lulusan</t>
  </si>
  <si>
    <t>Jumlah Lulusan yang Terlacak</t>
  </si>
  <si>
    <t>Jumlah Lulusan Terlacak dengan Waktu Tunggu Mendapatkan Pekerjaan</t>
  </si>
  <si>
    <t>WT &lt; 6 Bulan</t>
  </si>
  <si>
    <t>WT &gt; 18 Bulan</t>
  </si>
  <si>
    <r>
      <t xml:space="preserve">6 </t>
    </r>
    <r>
      <rPr>
        <b/>
        <u/>
        <sz val="11"/>
        <color theme="1"/>
        <rFont val="Calibri"/>
        <family val="2"/>
        <scheme val="minor"/>
      </rPr>
      <t>&lt;</t>
    </r>
    <r>
      <rPr>
        <b/>
        <sz val="11"/>
        <color theme="1"/>
        <rFont val="Calibri"/>
        <family val="2"/>
        <scheme val="minor"/>
      </rPr>
      <t xml:space="preserve"> WT </t>
    </r>
    <r>
      <rPr>
        <b/>
        <u/>
        <sz val="11"/>
        <color theme="1"/>
        <rFont val="Calibri"/>
        <family val="2"/>
        <scheme val="minor"/>
      </rPr>
      <t>&lt;</t>
    </r>
    <r>
      <rPr>
        <b/>
        <sz val="11"/>
        <color theme="1"/>
        <rFont val="Calibri"/>
        <family val="2"/>
        <scheme val="minor"/>
      </rPr>
      <t xml:space="preserve"> 18 Bulan</t>
    </r>
  </si>
  <si>
    <t>NL4 = Jumlah lulusan pada TS-4</t>
  </si>
  <si>
    <t>NL3 = Jumlah lulusan pada TS-3</t>
  </si>
  <si>
    <t>NL2 = Jumlah lulusan pada TS-2</t>
  </si>
  <si>
    <t>NJ4 = Jumlah lulusan pada TS-4 yang terlacak</t>
  </si>
  <si>
    <t>NJ3 = Jumlah lulusan pada TS-3 yang terlacak</t>
  </si>
  <si>
    <t>NJ3 = Jumlah lulusan pada TS-2 yang terlacak</t>
  </si>
  <si>
    <t>Persentase responden lulusan</t>
  </si>
  <si>
    <r>
      <t>P</t>
    </r>
    <r>
      <rPr>
        <vertAlign val="subscript"/>
        <sz val="11"/>
        <color theme="1"/>
        <rFont val="Calibri"/>
        <family val="2"/>
        <scheme val="minor"/>
      </rPr>
      <t>rmin</t>
    </r>
    <r>
      <rPr>
        <sz val="11"/>
        <color theme="1"/>
        <rFont val="Calibri"/>
        <family val="2"/>
        <scheme val="minor"/>
      </rPr>
      <t xml:space="preserve"> = Persentase responden minimum</t>
    </r>
  </si>
  <si>
    <t>Thn Lulus TS-4</t>
  </si>
  <si>
    <t>Thn Lulus TS-3</t>
  </si>
  <si>
    <t>Thn Lulus TS-2</t>
  </si>
  <si>
    <t>mid1 =</t>
  </si>
  <si>
    <t>mid2 =</t>
  </si>
  <si>
    <t>mid3 =</t>
  </si>
  <si>
    <t>WT = Rata-rata masa tunggu lulusan (bulan)</t>
  </si>
  <si>
    <t>Skor Awal</t>
  </si>
  <si>
    <t>Jumlah lulusan dengan WT &lt; 6 bulan</t>
  </si>
  <si>
    <t>Jumlah lulusan dengan 6 bulan ≤ WT ≤ 18 bulan</t>
  </si>
  <si>
    <t>Jumlah lulusan dengan WT &gt; 18 bulan</t>
  </si>
  <si>
    <t>Jumlah lulusan dengan kesesuaian bidang kerja rendah</t>
  </si>
  <si>
    <t>Jumlah lulusan dengan kesesuaian bidang kerja sedang</t>
  </si>
  <si>
    <t>Jumlah lulusan dengan kesesuaian bidang kerja tinggi</t>
  </si>
  <si>
    <t>b =</t>
  </si>
  <si>
    <t>rendah</t>
  </si>
  <si>
    <t>sedang</t>
  </si>
  <si>
    <t>tinggi</t>
  </si>
  <si>
    <t>PBS = Kesesuaian bidang kerja lulusan saat mendapatkan pekerjaan pertama.</t>
  </si>
  <si>
    <t>Jumlah Lulusan Terlacak dengan Tingkat Kesesuaian Bidang Kerja</t>
  </si>
  <si>
    <t>Rendah</t>
  </si>
  <si>
    <t>Sedang</t>
  </si>
  <si>
    <t>Tinggi</t>
  </si>
  <si>
    <t>Tahun
Lulus</t>
  </si>
  <si>
    <t>Jumlah
Lulusan</t>
  </si>
  <si>
    <t>Jumlah
Lulusan
yang
Terlacak</t>
  </si>
  <si>
    <t>Jumlah Lulusan Terlacak yang Bekerja
berdasarkan Tingkat/Ukuran Tempat
Kerja/Berwirausaha</t>
  </si>
  <si>
    <t>Lokal/
Wilayah/
Berwirausaha
tidak Berizin</t>
  </si>
  <si>
    <t>Nasional/
Berwirausaha
Berizin</t>
  </si>
  <si>
    <t>Multinasiona/
Internasional</t>
  </si>
  <si>
    <t>Tahun Lulus</t>
  </si>
  <si>
    <t>NJ4 = Jumlah lulusan pada TS-4 yang terlacak (bekerja/berwirausaha)</t>
  </si>
  <si>
    <t>NJ3 = Jumlah lulusan pada TS-3 yang terlacak (bekerja/berwirausaha)</t>
  </si>
  <si>
    <t>NJ2 = Jumlah lulusan pada TS-2 yang terlacak (bekerja/berwirausaha)</t>
  </si>
  <si>
    <r>
      <t xml:space="preserve">Kategori jumlah lulusan dalam 3 tahun (1: NL </t>
    </r>
    <r>
      <rPr>
        <u/>
        <sz val="11"/>
        <color theme="1"/>
        <rFont val="Calibri"/>
        <family val="2"/>
        <scheme val="minor"/>
      </rPr>
      <t>&gt;</t>
    </r>
    <r>
      <rPr>
        <sz val="11"/>
        <color theme="1"/>
        <rFont val="Calibri"/>
        <family val="2"/>
        <scheme val="minor"/>
      </rPr>
      <t xml:space="preserve"> 300; 2: NL &lt; 300)</t>
    </r>
  </si>
  <si>
    <r>
      <t>R</t>
    </r>
    <r>
      <rPr>
        <vertAlign val="subscript"/>
        <sz val="11"/>
        <color theme="1"/>
        <rFont val="Calibri"/>
        <family val="2"/>
        <scheme val="minor"/>
      </rPr>
      <t>I</t>
    </r>
    <r>
      <rPr>
        <sz val="11"/>
        <color theme="1"/>
        <rFont val="Calibri"/>
        <family val="2"/>
        <scheme val="minor"/>
      </rPr>
      <t xml:space="preserve"> = N</t>
    </r>
    <r>
      <rPr>
        <vertAlign val="subscript"/>
        <sz val="11"/>
        <color theme="1"/>
        <rFont val="Calibri"/>
        <family val="2"/>
        <scheme val="minor"/>
      </rPr>
      <t>I</t>
    </r>
    <r>
      <rPr>
        <sz val="11"/>
        <color theme="1"/>
        <rFont val="Calibri"/>
        <family val="2"/>
        <scheme val="minor"/>
      </rPr>
      <t xml:space="preserve"> / N</t>
    </r>
    <r>
      <rPr>
        <vertAlign val="subscript"/>
        <sz val="11"/>
        <color theme="1"/>
        <rFont val="Calibri"/>
        <family val="2"/>
        <scheme val="minor"/>
      </rPr>
      <t>L</t>
    </r>
  </si>
  <si>
    <r>
      <t>R</t>
    </r>
    <r>
      <rPr>
        <vertAlign val="subscript"/>
        <sz val="11"/>
        <color theme="1"/>
        <rFont val="Calibri"/>
        <family val="2"/>
        <scheme val="minor"/>
      </rPr>
      <t>N</t>
    </r>
    <r>
      <rPr>
        <sz val="11"/>
        <color theme="1"/>
        <rFont val="Calibri"/>
        <family val="2"/>
        <scheme val="minor"/>
      </rPr>
      <t xml:space="preserve"> = N</t>
    </r>
    <r>
      <rPr>
        <vertAlign val="subscript"/>
        <sz val="11"/>
        <color theme="1"/>
        <rFont val="Calibri"/>
        <family val="2"/>
        <scheme val="minor"/>
      </rPr>
      <t>N</t>
    </r>
    <r>
      <rPr>
        <sz val="11"/>
        <color theme="1"/>
        <rFont val="Calibri"/>
        <family val="2"/>
        <scheme val="minor"/>
      </rPr>
      <t xml:space="preserve"> / N</t>
    </r>
    <r>
      <rPr>
        <vertAlign val="subscript"/>
        <sz val="11"/>
        <color theme="1"/>
        <rFont val="Calibri"/>
        <family val="2"/>
        <scheme val="minor"/>
      </rPr>
      <t>L</t>
    </r>
  </si>
  <si>
    <r>
      <t>R</t>
    </r>
    <r>
      <rPr>
        <vertAlign val="subscript"/>
        <sz val="11"/>
        <color theme="1"/>
        <rFont val="Calibri"/>
        <family val="2"/>
        <scheme val="minor"/>
      </rPr>
      <t>W</t>
    </r>
    <r>
      <rPr>
        <sz val="11"/>
        <color theme="1"/>
        <rFont val="Calibri"/>
        <family val="2"/>
        <scheme val="minor"/>
      </rPr>
      <t xml:space="preserve"> = N</t>
    </r>
    <r>
      <rPr>
        <vertAlign val="subscript"/>
        <sz val="11"/>
        <color theme="1"/>
        <rFont val="Calibri"/>
        <family val="2"/>
        <scheme val="minor"/>
      </rPr>
      <t>W</t>
    </r>
    <r>
      <rPr>
        <sz val="11"/>
        <color theme="1"/>
        <rFont val="Calibri"/>
        <family val="2"/>
        <scheme val="minor"/>
      </rPr>
      <t xml:space="preserve"> / N</t>
    </r>
    <r>
      <rPr>
        <vertAlign val="subscript"/>
        <sz val="11"/>
        <color theme="1"/>
        <rFont val="Calibri"/>
        <family val="2"/>
        <scheme val="minor"/>
      </rPr>
      <t>L</t>
    </r>
  </si>
  <si>
    <t xml:space="preserve">4: RI ≥ a </t>
  </si>
  <si>
    <t>3-4: RI &lt; a DAN RN ≥ b</t>
  </si>
  <si>
    <t>2-3: 0 &lt; RI &lt; a DAN 0 &lt; RN &lt; b</t>
  </si>
  <si>
    <t>2: RI = 0 DAN RN = 0 DAN RW ≥ c</t>
  </si>
  <si>
    <t>0-2: RI = 0 DAN RN = 0 DAN RW &lt; c</t>
  </si>
  <si>
    <t>NI = Jumlah lulusan yang bekerja di badan usaha tingkat multi nasional/internasional.</t>
  </si>
  <si>
    <t>NN = Jumlah lulusan yang bekerja di badan usaha tingkat nasional atau berwirausaha yang berizin.</t>
  </si>
  <si>
    <t>NW = Jumlah lulusan yang bekerja di badan usaha tingkat wilayah/lokal atau berwirausaha tidak berizin.</t>
  </si>
  <si>
    <t>Tabel Tempat Kerja Lulusan</t>
  </si>
  <si>
    <t>Jenis Kemampuan</t>
  </si>
  <si>
    <t>Etika</t>
  </si>
  <si>
    <t>Kerjasama tim</t>
  </si>
  <si>
    <t>Pengembangan diri</t>
  </si>
  <si>
    <t>Persentase</t>
  </si>
  <si>
    <t>Keahlian pada bidang ilmu</t>
  </si>
  <si>
    <t>TK1</t>
  </si>
  <si>
    <t>TK2</t>
  </si>
  <si>
    <t>TK3</t>
  </si>
  <si>
    <t>TK4</t>
  </si>
  <si>
    <t>TK5</t>
  </si>
  <si>
    <t>Kemampuan berbahasa asing</t>
  </si>
  <si>
    <t>Penggunaan teknologi informasi</t>
  </si>
  <si>
    <t>Kemampuan berkomunikasi</t>
  </si>
  <si>
    <t>TK6</t>
  </si>
  <si>
    <t>TK7</t>
  </si>
  <si>
    <t>NJ4 = Jumlah lulusan pada TS-4 yang dinilai oleh pengguna</t>
  </si>
  <si>
    <t>NJ3 = Jumlah lulusan pada TS-3 yang dinilai oleh pengguna</t>
  </si>
  <si>
    <t>NJ2 = Jumlah lulusan pada TS-2 yang dinilai oleh pengguna</t>
  </si>
  <si>
    <t>Persentase responden pengguna lulusan</t>
  </si>
  <si>
    <t>Keahlian</t>
  </si>
  <si>
    <t>Bahasa</t>
  </si>
  <si>
    <t>Teknologi Informasi</t>
  </si>
  <si>
    <t>Komunikasi</t>
  </si>
  <si>
    <t>Kerjasama</t>
  </si>
  <si>
    <t>Pengembangan Diri</t>
  </si>
  <si>
    <t>Tingkat Kepuasan Pengguna (%)</t>
  </si>
  <si>
    <t>Sangat Baik</t>
  </si>
  <si>
    <t>Baik</t>
  </si>
  <si>
    <t>Cukup</t>
  </si>
  <si>
    <t>Kurang</t>
  </si>
  <si>
    <t>Jumlah
Lulusan
yang
Dinilai Oleh Pengguna</t>
  </si>
  <si>
    <t>NA1 = Jumlah publikasi di jurnal nasional tidak terakreditasi.</t>
  </si>
  <si>
    <t>NA2 = Jumlah publikasi di jurnal nasional terakreditasi.</t>
  </si>
  <si>
    <t>NA3 = Jumlah publikasi di jurnal internasional.</t>
  </si>
  <si>
    <t>NA4 = Jumlah publikasi di jurnal internasional bereputasi.</t>
  </si>
  <si>
    <t>NB1 = Jumlah publikasi di seminar wilayah/lokal/PT.</t>
  </si>
  <si>
    <t>NB2 = Jumlah publikasi di seminar nasional.</t>
  </si>
  <si>
    <t>NB3 = Jumlah publikasi di seminar internasional.</t>
  </si>
  <si>
    <t>NC1 = Jumlah tulisan di media massa wilayah.</t>
  </si>
  <si>
    <t>NC2 = Jumlah tulisan di media massa nasional.</t>
  </si>
  <si>
    <t>NC3 = Jumlah tulisan di media massa internasional.</t>
  </si>
  <si>
    <t xml:space="preserve">NM = Jumlah mahasiswa pada saat TS. </t>
  </si>
  <si>
    <t>2: RI = 0 DAN RN = 0 DAN RL ≥ c</t>
  </si>
  <si>
    <t>0-2: RI = 0 DAN RN = 0 DAN RL &lt; c</t>
  </si>
  <si>
    <t>RI = (NA4 + NB3 + NC3) / NM</t>
  </si>
  <si>
    <t>RN = (NA2 + NA3 + NB2 + NC2) / NM</t>
  </si>
  <si>
    <t>RL = (NA1 + NB1 + NC1) / NM</t>
  </si>
  <si>
    <t xml:space="preserve">Media Publikasi </t>
  </si>
  <si>
    <t xml:space="preserve">Jumlah Judul </t>
  </si>
  <si>
    <t xml:space="preserve">TS-2 </t>
  </si>
  <si>
    <t xml:space="preserve">TS-1 </t>
  </si>
  <si>
    <t>Publikasi di jurnal nasional tidak terakreditasi.</t>
  </si>
  <si>
    <t>Publikasi di jurnal nasional terakreditasi.</t>
  </si>
  <si>
    <t>Publikasi di jurnal internasional.</t>
  </si>
  <si>
    <t>Publikasi di jurnal internasional bereputasi.</t>
  </si>
  <si>
    <t>Seminar wilayah/lokal/ Perguruan Tinggi.</t>
  </si>
  <si>
    <t>Seminar nasional.</t>
  </si>
  <si>
    <t>Seminar internasional.</t>
  </si>
  <si>
    <t>Tulisan di media massa wilayah.</t>
  </si>
  <si>
    <t>Tulisan di media massa nasional.</t>
  </si>
  <si>
    <t>Tulisan di media massa internasional.</t>
  </si>
  <si>
    <t>NA = Jumlah luaran penelitian/PkM yang mendapat pengakuan HKI (Paten, Paten Sederhana)</t>
  </si>
  <si>
    <t>NB = Jumlah luaran penelitian/PkM yang mendapat pengakuan HKI (Hak Cipta, Desain Produk Industri, Perlindungan Varietas Tanaman, Desain Tata Letak Sirkuit Terpadu, dll.)</t>
  </si>
  <si>
    <t>NC = Jumlah luaran penelitian/PkM dalam bentuk Teknologi Tepat Guna, Produk (Produk Terstandarisasi, Produk Tersertifikasi), Karya Seni, Rekayasa Sosial.</t>
  </si>
  <si>
    <t>ND = Jumlah luaran penelitian/PkM yang diterbitkan dalam bentuk Buku ber-ISBN, Book Chapter.</t>
  </si>
  <si>
    <t>NLP = (2 x (NA + NB + NC) + ND)</t>
  </si>
  <si>
    <t>Jenis Luaran Penelitian/PkM</t>
  </si>
  <si>
    <t>Pengakuan HKI (Paten, Paten Sederhana)</t>
  </si>
  <si>
    <t>Pengakuan HKI (Hak Cipta, Desain Produk Industri, Perlindungan Varietas Tanaman, Desain Tata Letak Sirkuit Terpadu, dll.)</t>
  </si>
  <si>
    <t>Teknologi Tepat Guna, Produk (Produk Terstandarisasi, Produk Tersertifikasi), Karya Seni, Rekayasa Sosial.</t>
  </si>
  <si>
    <t>Buku ber-ISBN, Book Chapter.</t>
  </si>
  <si>
    <t>Profil UPPS: 
1) menunjukkan keserbacakupan informasi yang jelas dan konsisten dengan data dan informasi yang disampaikan pada masing-masing kriteria,
2) menggambarkan keselarasan dengan substansi keilmuan program studi. 
3) menunjukkan iklim yang kondusif untuk pengembangan keilmuan program studi.
4) menunjukkan reputasi sebagai rujukan di bidang keilmuannya.</t>
  </si>
  <si>
    <t>Profil UPPS:
1) menunjukkan keserbacakupan informasi yang jelas dan konsisten dengan data dan informasi yang disampaikan pada masing-masing kriteria,
2) menggambarkan keselarasan dengan substansi keilmuan program studi. 
3) menunjukkan iklim yang kondusif untuk pengembangan keilmuan program studi.</t>
  </si>
  <si>
    <t xml:space="preserve">Profil UPPS:
1) menunjukkan keserbacakupan informasi yang jelas dengan data dan informasi yang disampaikan pada masing-masing kriteria,
2) menggambarkan keselarasan dengan substansi keilmuan program studi. </t>
  </si>
  <si>
    <t xml:space="preserve">Profil UPPS:
1) kurang menunjukkan keserbacakupan informasi yang jelas dengan data dan informasi yang disampaikan pada masing-masing kriteria,
2) kurang menggambarkan keselarasan dengan substansi keilmuan program studi. </t>
  </si>
  <si>
    <t xml:space="preserve">Profil UPPS tidak menunjukkan keserbacakupan informasi yang jelas dengan data dan informasi yang disampaikan pada masing-masing kriteria. </t>
  </si>
  <si>
    <t>Jumlah kebutuhan lulusan  :
1: Tinggi; 2: Rendah.</t>
  </si>
  <si>
    <t>Kelompok program studi berdasarkan jumlah kebutuhan lulusan
1: Tinggi; 2: Rendah.</t>
  </si>
  <si>
    <t>Jenis prodi :
(1 : Prodi sains teknologi; 2 : Prodi sosial humaniora)</t>
  </si>
  <si>
    <t>a) menjadi visiting lecturer atau visiting scholar di program studi/perguruan tinggi terakreditasi A/Unggul atau program studi/perguruan tinggi internasional bereputasi.</t>
  </si>
  <si>
    <t>c) menjadi editor atau mitra bestari pada jurnal nasional terakreditasi/jurnal internasional bereputasi di bidang yang sesuai dengan bidang program studi.</t>
  </si>
  <si>
    <t>b) menjadi keynote speaker/invited speaker pada pertemuan ilmiah tingkat nasional/ internasional.</t>
  </si>
  <si>
    <t>e) mendapat penghargaan atas prestasi dan kinerja di tingkat wilayah/nasional/ internasional.</t>
  </si>
  <si>
    <r>
      <t>N</t>
    </r>
    <r>
      <rPr>
        <vertAlign val="subscript"/>
        <sz val="11"/>
        <color theme="1"/>
        <rFont val="Calibri"/>
        <family val="2"/>
        <scheme val="minor"/>
      </rPr>
      <t>I</t>
    </r>
    <r>
      <rPr>
        <sz val="11"/>
        <color theme="1"/>
        <rFont val="Calibri"/>
        <family val="2"/>
        <scheme val="minor"/>
      </rPr>
      <t xml:space="preserve"> = Jumlah penelitian dengan sumber pembiayaan luar negeri dalam 3 tahun terakhir.</t>
    </r>
  </si>
  <si>
    <r>
      <t>N</t>
    </r>
    <r>
      <rPr>
        <vertAlign val="subscript"/>
        <sz val="11"/>
        <color theme="1"/>
        <rFont val="Calibri"/>
        <family val="2"/>
        <scheme val="minor"/>
      </rPr>
      <t>N</t>
    </r>
    <r>
      <rPr>
        <sz val="11"/>
        <color theme="1"/>
        <rFont val="Calibri"/>
        <family val="2"/>
        <scheme val="minor"/>
      </rPr>
      <t xml:space="preserve"> = Jumlah penelitian dengan sumber pembiayaan dalam negeri dalam 3 tahun terakhir.</t>
    </r>
  </si>
  <si>
    <r>
      <t>N</t>
    </r>
    <r>
      <rPr>
        <vertAlign val="subscript"/>
        <sz val="11"/>
        <color theme="1"/>
        <rFont val="Calibri"/>
        <family val="2"/>
        <scheme val="minor"/>
      </rPr>
      <t>L</t>
    </r>
    <r>
      <rPr>
        <sz val="11"/>
        <color theme="1"/>
        <rFont val="Calibri"/>
        <family val="2"/>
        <scheme val="minor"/>
      </rPr>
      <t xml:space="preserve"> = Jumlah penelitian dengan sumber pembiayaan PT/mandiri dalam 3 tahun terakhir.</t>
    </r>
  </si>
  <si>
    <r>
      <t>R</t>
    </r>
    <r>
      <rPr>
        <vertAlign val="subscript"/>
        <sz val="11"/>
        <color theme="1"/>
        <rFont val="Calibri"/>
        <family val="2"/>
        <scheme val="minor"/>
      </rPr>
      <t>I</t>
    </r>
    <r>
      <rPr>
        <sz val="11"/>
        <color theme="1"/>
        <rFont val="Calibri"/>
        <family val="2"/>
        <scheme val="minor"/>
      </rPr>
      <t xml:space="preserve"> = N</t>
    </r>
    <r>
      <rPr>
        <vertAlign val="subscript"/>
        <sz val="11"/>
        <color theme="1"/>
        <rFont val="Calibri"/>
        <family val="2"/>
        <scheme val="minor"/>
      </rPr>
      <t>I</t>
    </r>
    <r>
      <rPr>
        <sz val="11"/>
        <color theme="1"/>
        <rFont val="Calibri"/>
        <family val="2"/>
        <scheme val="minor"/>
      </rPr>
      <t xml:space="preserve"> / 3 / N</t>
    </r>
    <r>
      <rPr>
        <vertAlign val="subscript"/>
        <sz val="11"/>
        <color theme="1"/>
        <rFont val="Calibri"/>
        <family val="2"/>
        <scheme val="minor"/>
      </rPr>
      <t>DTPS</t>
    </r>
  </si>
  <si>
    <r>
      <t>R</t>
    </r>
    <r>
      <rPr>
        <vertAlign val="subscript"/>
        <sz val="11"/>
        <color theme="1"/>
        <rFont val="Calibri"/>
        <family val="2"/>
        <scheme val="minor"/>
      </rPr>
      <t>N</t>
    </r>
    <r>
      <rPr>
        <sz val="11"/>
        <color theme="1"/>
        <rFont val="Calibri"/>
        <family val="2"/>
        <scheme val="minor"/>
      </rPr>
      <t xml:space="preserve"> = N</t>
    </r>
    <r>
      <rPr>
        <vertAlign val="subscript"/>
        <sz val="11"/>
        <color theme="1"/>
        <rFont val="Calibri"/>
        <family val="2"/>
        <scheme val="minor"/>
      </rPr>
      <t>N</t>
    </r>
    <r>
      <rPr>
        <sz val="11"/>
        <color theme="1"/>
        <rFont val="Calibri"/>
        <family val="2"/>
        <scheme val="minor"/>
      </rPr>
      <t xml:space="preserve"> / 3 / N</t>
    </r>
    <r>
      <rPr>
        <vertAlign val="subscript"/>
        <sz val="11"/>
        <color theme="1"/>
        <rFont val="Calibri"/>
        <family val="2"/>
        <scheme val="minor"/>
      </rPr>
      <t>DTPS</t>
    </r>
  </si>
  <si>
    <r>
      <t>R</t>
    </r>
    <r>
      <rPr>
        <vertAlign val="subscript"/>
        <sz val="11"/>
        <color theme="1"/>
        <rFont val="Calibri"/>
        <family val="2"/>
        <scheme val="minor"/>
      </rPr>
      <t>L</t>
    </r>
    <r>
      <rPr>
        <sz val="11"/>
        <color theme="1"/>
        <rFont val="Calibri"/>
        <family val="2"/>
        <scheme val="minor"/>
      </rPr>
      <t xml:space="preserve"> = N</t>
    </r>
    <r>
      <rPr>
        <vertAlign val="subscript"/>
        <sz val="11"/>
        <color theme="1"/>
        <rFont val="Calibri"/>
        <family val="2"/>
        <scheme val="minor"/>
      </rPr>
      <t>L</t>
    </r>
    <r>
      <rPr>
        <sz val="11"/>
        <color theme="1"/>
        <rFont val="Calibri"/>
        <family val="2"/>
        <scheme val="minor"/>
      </rPr>
      <t xml:space="preserve"> / 3 / N</t>
    </r>
    <r>
      <rPr>
        <vertAlign val="subscript"/>
        <sz val="11"/>
        <color theme="1"/>
        <rFont val="Calibri"/>
        <family val="2"/>
        <scheme val="minor"/>
      </rPr>
      <t>DTPS</t>
    </r>
  </si>
  <si>
    <r>
      <t xml:space="preserve">3-4: RI &lt; a DAN RN </t>
    </r>
    <r>
      <rPr>
        <sz val="11"/>
        <color theme="0"/>
        <rFont val="Calibri"/>
        <family val="2"/>
      </rPr>
      <t>≥</t>
    </r>
    <r>
      <rPr>
        <sz val="11"/>
        <color theme="0"/>
        <rFont val="Calibri"/>
        <family val="2"/>
        <scheme val="minor"/>
      </rPr>
      <t xml:space="preserve"> b</t>
    </r>
  </si>
  <si>
    <t>a) Perguruan Tinggi
b) Mandiri</t>
  </si>
  <si>
    <t>Lembaga Dalam Negeri (di Luar PT)</t>
  </si>
  <si>
    <t>Lembaga Luar Negeri</t>
  </si>
  <si>
    <r>
      <t>N</t>
    </r>
    <r>
      <rPr>
        <vertAlign val="subscript"/>
        <sz val="11"/>
        <color theme="1"/>
        <rFont val="Calibri"/>
        <family val="2"/>
        <scheme val="minor"/>
      </rPr>
      <t>I</t>
    </r>
    <r>
      <rPr>
        <sz val="11"/>
        <color theme="1"/>
        <rFont val="Calibri"/>
        <family val="2"/>
        <scheme val="minor"/>
      </rPr>
      <t xml:space="preserve"> = Jumlah PkM dengan sumber pembiayaan luar negeri dalam 3 tahun terakhir.</t>
    </r>
  </si>
  <si>
    <r>
      <t>N</t>
    </r>
    <r>
      <rPr>
        <vertAlign val="subscript"/>
        <sz val="11"/>
        <color theme="1"/>
        <rFont val="Calibri"/>
        <family val="2"/>
        <scheme val="minor"/>
      </rPr>
      <t>N</t>
    </r>
    <r>
      <rPr>
        <sz val="11"/>
        <color theme="1"/>
        <rFont val="Calibri"/>
        <family val="2"/>
        <scheme val="minor"/>
      </rPr>
      <t xml:space="preserve"> = Jumlah PkM dengan sumber pembiayaan dalam negeri dalam 3 tahun terakhir.</t>
    </r>
  </si>
  <si>
    <r>
      <t>N</t>
    </r>
    <r>
      <rPr>
        <vertAlign val="subscript"/>
        <sz val="11"/>
        <color theme="1"/>
        <rFont val="Calibri"/>
        <family val="2"/>
        <scheme val="minor"/>
      </rPr>
      <t>L</t>
    </r>
    <r>
      <rPr>
        <sz val="11"/>
        <color theme="1"/>
        <rFont val="Calibri"/>
        <family val="2"/>
        <scheme val="minor"/>
      </rPr>
      <t xml:space="preserve"> = Jumlah PkM dengan sumber pembiayaan PT/mandiri dalam 3 tahun terakhir.</t>
    </r>
  </si>
  <si>
    <t>Jumlah Judul</t>
  </si>
  <si>
    <r>
      <t>N</t>
    </r>
    <r>
      <rPr>
        <vertAlign val="subscript"/>
        <sz val="11"/>
        <color rgb="FF000000"/>
        <rFont val="Calibri"/>
        <family val="2"/>
        <scheme val="minor"/>
      </rPr>
      <t>A1</t>
    </r>
    <r>
      <rPr>
        <sz val="11"/>
        <color indexed="8"/>
        <rFont val="Calibri"/>
        <family val="2"/>
        <scheme val="minor"/>
      </rPr>
      <t xml:space="preserve"> = Jumlah publikasi di jurnal nasional tidak terakreditasi.</t>
    </r>
  </si>
  <si>
    <r>
      <t>N</t>
    </r>
    <r>
      <rPr>
        <vertAlign val="subscript"/>
        <sz val="11"/>
        <color rgb="FF000000"/>
        <rFont val="Calibri"/>
        <family val="2"/>
        <scheme val="minor"/>
      </rPr>
      <t>A2</t>
    </r>
    <r>
      <rPr>
        <sz val="11"/>
        <color indexed="8"/>
        <rFont val="Calibri"/>
        <family val="2"/>
        <scheme val="minor"/>
      </rPr>
      <t xml:space="preserve"> = Jumlah publikasi di jurnal nasional terakreditasi.</t>
    </r>
  </si>
  <si>
    <r>
      <t>N</t>
    </r>
    <r>
      <rPr>
        <vertAlign val="subscript"/>
        <sz val="11"/>
        <color rgb="FF000000"/>
        <rFont val="Calibri"/>
        <family val="2"/>
        <scheme val="minor"/>
      </rPr>
      <t>A3</t>
    </r>
    <r>
      <rPr>
        <sz val="11"/>
        <color indexed="8"/>
        <rFont val="Calibri"/>
        <family val="2"/>
        <scheme val="minor"/>
      </rPr>
      <t xml:space="preserve"> = Jumlah publikasi di jurnal internasional.</t>
    </r>
  </si>
  <si>
    <r>
      <t>N</t>
    </r>
    <r>
      <rPr>
        <vertAlign val="subscript"/>
        <sz val="11"/>
        <color rgb="FF000000"/>
        <rFont val="Calibri"/>
        <family val="2"/>
        <scheme val="minor"/>
      </rPr>
      <t>A4</t>
    </r>
    <r>
      <rPr>
        <sz val="11"/>
        <color indexed="8"/>
        <rFont val="Calibri"/>
        <family val="2"/>
        <scheme val="minor"/>
      </rPr>
      <t xml:space="preserve"> = Jumlah publikasi di jurnal internasional bereputasi.</t>
    </r>
  </si>
  <si>
    <r>
      <t>N</t>
    </r>
    <r>
      <rPr>
        <vertAlign val="subscript"/>
        <sz val="11"/>
        <color rgb="FF000000"/>
        <rFont val="Calibri"/>
        <family val="2"/>
        <scheme val="minor"/>
      </rPr>
      <t>B1</t>
    </r>
    <r>
      <rPr>
        <sz val="11"/>
        <color indexed="8"/>
        <rFont val="Calibri"/>
        <family val="2"/>
        <scheme val="minor"/>
      </rPr>
      <t xml:space="preserve"> = Jumlah publikasi di seminar wilayah/lokal/PT.</t>
    </r>
  </si>
  <si>
    <r>
      <t>N</t>
    </r>
    <r>
      <rPr>
        <vertAlign val="subscript"/>
        <sz val="11"/>
        <color rgb="FF000000"/>
        <rFont val="Calibri"/>
        <family val="2"/>
        <scheme val="minor"/>
      </rPr>
      <t>B2</t>
    </r>
    <r>
      <rPr>
        <sz val="11"/>
        <color indexed="8"/>
        <rFont val="Calibri"/>
        <family val="2"/>
        <scheme val="minor"/>
      </rPr>
      <t xml:space="preserve"> = Jumlah publikasi di seminar nasional.</t>
    </r>
  </si>
  <si>
    <r>
      <t>N</t>
    </r>
    <r>
      <rPr>
        <vertAlign val="subscript"/>
        <sz val="11"/>
        <color rgb="FF000000"/>
        <rFont val="Calibri"/>
        <family val="2"/>
        <scheme val="minor"/>
      </rPr>
      <t>B3</t>
    </r>
    <r>
      <rPr>
        <sz val="11"/>
        <color indexed="8"/>
        <rFont val="Calibri"/>
        <family val="2"/>
        <scheme val="minor"/>
      </rPr>
      <t xml:space="preserve"> = Jumlah publikasi di seminar internasional.</t>
    </r>
  </si>
  <si>
    <r>
      <t>R</t>
    </r>
    <r>
      <rPr>
        <vertAlign val="subscript"/>
        <sz val="11"/>
        <color theme="1"/>
        <rFont val="Calibri"/>
        <family val="2"/>
        <scheme val="minor"/>
      </rPr>
      <t>I</t>
    </r>
    <r>
      <rPr>
        <sz val="11"/>
        <color theme="1"/>
        <rFont val="Calibri"/>
        <family val="2"/>
        <scheme val="minor"/>
      </rPr>
      <t xml:space="preserve"> = (N</t>
    </r>
    <r>
      <rPr>
        <vertAlign val="subscript"/>
        <sz val="11"/>
        <color theme="1"/>
        <rFont val="Calibri"/>
        <family val="2"/>
        <scheme val="minor"/>
      </rPr>
      <t>A4</t>
    </r>
    <r>
      <rPr>
        <sz val="11"/>
        <color theme="1"/>
        <rFont val="Calibri"/>
        <family val="2"/>
        <scheme val="minor"/>
      </rPr>
      <t xml:space="preserve"> + N</t>
    </r>
    <r>
      <rPr>
        <vertAlign val="subscript"/>
        <sz val="11"/>
        <color theme="1"/>
        <rFont val="Calibri"/>
        <family val="2"/>
        <scheme val="minor"/>
      </rPr>
      <t>B3</t>
    </r>
    <r>
      <rPr>
        <sz val="11"/>
        <color theme="1"/>
        <rFont val="Calibri"/>
        <family val="2"/>
        <scheme val="minor"/>
      </rPr>
      <t xml:space="preserve"> + N</t>
    </r>
    <r>
      <rPr>
        <vertAlign val="subscript"/>
        <sz val="11"/>
        <color theme="1"/>
        <rFont val="Calibri"/>
        <family val="2"/>
        <scheme val="minor"/>
      </rPr>
      <t>C3</t>
    </r>
    <r>
      <rPr>
        <sz val="11"/>
        <color theme="1"/>
        <rFont val="Calibri"/>
        <family val="2"/>
        <scheme val="minor"/>
      </rPr>
      <t>) / N</t>
    </r>
    <r>
      <rPr>
        <vertAlign val="subscript"/>
        <sz val="11"/>
        <color theme="1"/>
        <rFont val="Calibri"/>
        <family val="2"/>
        <scheme val="minor"/>
      </rPr>
      <t>DTPS</t>
    </r>
  </si>
  <si>
    <r>
      <t>R</t>
    </r>
    <r>
      <rPr>
        <vertAlign val="subscript"/>
        <sz val="11"/>
        <color theme="1"/>
        <rFont val="Calibri"/>
        <family val="2"/>
        <scheme val="minor"/>
      </rPr>
      <t>N</t>
    </r>
    <r>
      <rPr>
        <sz val="11"/>
        <color theme="1"/>
        <rFont val="Calibri"/>
        <family val="2"/>
        <scheme val="minor"/>
      </rPr>
      <t xml:space="preserve"> = (N</t>
    </r>
    <r>
      <rPr>
        <vertAlign val="subscript"/>
        <sz val="11"/>
        <color theme="1"/>
        <rFont val="Calibri"/>
        <family val="2"/>
        <scheme val="minor"/>
      </rPr>
      <t>A2</t>
    </r>
    <r>
      <rPr>
        <sz val="11"/>
        <color theme="1"/>
        <rFont val="Calibri"/>
        <family val="2"/>
        <scheme val="minor"/>
      </rPr>
      <t xml:space="preserve"> + N</t>
    </r>
    <r>
      <rPr>
        <vertAlign val="subscript"/>
        <sz val="11"/>
        <color theme="1"/>
        <rFont val="Calibri"/>
        <family val="2"/>
        <scheme val="minor"/>
      </rPr>
      <t>A3</t>
    </r>
    <r>
      <rPr>
        <sz val="11"/>
        <color theme="1"/>
        <rFont val="Calibri"/>
        <family val="2"/>
        <scheme val="minor"/>
      </rPr>
      <t xml:space="preserve"> + N</t>
    </r>
    <r>
      <rPr>
        <vertAlign val="subscript"/>
        <sz val="11"/>
        <color theme="1"/>
        <rFont val="Calibri"/>
        <family val="2"/>
        <scheme val="minor"/>
      </rPr>
      <t>B2</t>
    </r>
    <r>
      <rPr>
        <sz val="11"/>
        <color theme="1"/>
        <rFont val="Calibri"/>
        <family val="2"/>
        <scheme val="minor"/>
      </rPr>
      <t xml:space="preserve"> + N</t>
    </r>
    <r>
      <rPr>
        <vertAlign val="subscript"/>
        <sz val="11"/>
        <color theme="1"/>
        <rFont val="Calibri"/>
        <family val="2"/>
        <scheme val="minor"/>
      </rPr>
      <t>C2</t>
    </r>
    <r>
      <rPr>
        <sz val="11"/>
        <color theme="1"/>
        <rFont val="Calibri"/>
        <family val="2"/>
        <scheme val="minor"/>
      </rPr>
      <t>) / N</t>
    </r>
    <r>
      <rPr>
        <vertAlign val="subscript"/>
        <sz val="11"/>
        <color theme="1"/>
        <rFont val="Calibri"/>
        <family val="2"/>
        <scheme val="minor"/>
      </rPr>
      <t>DTPS</t>
    </r>
  </si>
  <si>
    <r>
      <t>R</t>
    </r>
    <r>
      <rPr>
        <vertAlign val="subscript"/>
        <sz val="11"/>
        <color theme="1"/>
        <rFont val="Calibri"/>
        <family val="2"/>
        <scheme val="minor"/>
      </rPr>
      <t>W</t>
    </r>
    <r>
      <rPr>
        <sz val="11"/>
        <color theme="1"/>
        <rFont val="Calibri"/>
        <family val="2"/>
        <scheme val="minor"/>
      </rPr>
      <t xml:space="preserve"> = (N</t>
    </r>
    <r>
      <rPr>
        <vertAlign val="subscript"/>
        <sz val="11"/>
        <color theme="1"/>
        <rFont val="Calibri"/>
        <family val="2"/>
        <scheme val="minor"/>
      </rPr>
      <t>A1</t>
    </r>
    <r>
      <rPr>
        <sz val="11"/>
        <color theme="1"/>
        <rFont val="Calibri"/>
        <family val="2"/>
        <scheme val="minor"/>
      </rPr>
      <t xml:space="preserve"> + N</t>
    </r>
    <r>
      <rPr>
        <vertAlign val="subscript"/>
        <sz val="11"/>
        <color theme="1"/>
        <rFont val="Calibri"/>
        <family val="2"/>
        <scheme val="minor"/>
      </rPr>
      <t>B1</t>
    </r>
    <r>
      <rPr>
        <sz val="11"/>
        <color theme="1"/>
        <rFont val="Calibri"/>
        <family val="2"/>
        <scheme val="minor"/>
      </rPr>
      <t xml:space="preserve"> + N</t>
    </r>
    <r>
      <rPr>
        <vertAlign val="subscript"/>
        <sz val="11"/>
        <color theme="1"/>
        <rFont val="Calibri"/>
        <family val="2"/>
        <scheme val="minor"/>
      </rPr>
      <t>C1</t>
    </r>
    <r>
      <rPr>
        <sz val="11"/>
        <color theme="1"/>
        <rFont val="Calibri"/>
        <family val="2"/>
        <scheme val="minor"/>
      </rPr>
      <t>) / N</t>
    </r>
    <r>
      <rPr>
        <vertAlign val="subscript"/>
        <sz val="11"/>
        <color theme="1"/>
        <rFont val="Calibri"/>
        <family val="2"/>
        <scheme val="minor"/>
      </rPr>
      <t>DTPS</t>
    </r>
  </si>
  <si>
    <t>Skor rata-rata butir Profil Dosen</t>
  </si>
  <si>
    <r>
      <t>N</t>
    </r>
    <r>
      <rPr>
        <vertAlign val="subscript"/>
        <sz val="11"/>
        <rFont val="Calibri"/>
        <family val="2"/>
        <scheme val="minor"/>
      </rPr>
      <t>AS</t>
    </r>
    <r>
      <rPr>
        <sz val="11"/>
        <rFont val="Calibri"/>
        <family val="2"/>
        <scheme val="minor"/>
      </rPr>
      <t xml:space="preserve"> = Jumlah judul artikel yang disitasi.</t>
    </r>
  </si>
  <si>
    <r>
      <t>N</t>
    </r>
    <r>
      <rPr>
        <vertAlign val="subscript"/>
        <sz val="11"/>
        <rFont val="Calibri"/>
        <family val="2"/>
        <scheme val="minor"/>
      </rPr>
      <t>DTPS</t>
    </r>
    <r>
      <rPr>
        <sz val="11"/>
        <rFont val="Calibri"/>
        <family val="2"/>
        <scheme val="minor"/>
      </rPr>
      <t xml:space="preserve"> = Jumlah dosen tetap yang ditugaskan sebagai pengampu mata kuliah dengan bidang keahlian yang sesuai dengan kompetensi inti program studi yang diakreditasi.</t>
    </r>
  </si>
  <si>
    <r>
      <t>R</t>
    </r>
    <r>
      <rPr>
        <vertAlign val="subscript"/>
        <sz val="11"/>
        <rFont val="Calibri"/>
        <family val="2"/>
        <scheme val="minor"/>
      </rPr>
      <t>S</t>
    </r>
    <r>
      <rPr>
        <sz val="11"/>
        <rFont val="Calibri"/>
        <family val="2"/>
        <scheme val="minor"/>
      </rPr>
      <t xml:space="preserve"> = N</t>
    </r>
    <r>
      <rPr>
        <vertAlign val="subscript"/>
        <sz val="11"/>
        <rFont val="Calibri"/>
        <family val="2"/>
        <scheme val="minor"/>
      </rPr>
      <t>AS</t>
    </r>
    <r>
      <rPr>
        <sz val="11"/>
        <rFont val="Calibri"/>
        <family val="2"/>
        <scheme val="minor"/>
      </rPr>
      <t xml:space="preserve"> / N</t>
    </r>
    <r>
      <rPr>
        <vertAlign val="subscript"/>
        <sz val="11"/>
        <rFont val="Calibri"/>
        <family val="2"/>
        <scheme val="minor"/>
      </rPr>
      <t>DTPS</t>
    </r>
  </si>
  <si>
    <r>
      <t>N</t>
    </r>
    <r>
      <rPr>
        <vertAlign val="subscript"/>
        <sz val="11"/>
        <color rgb="FF000000"/>
        <rFont val="Calibri"/>
        <family val="2"/>
        <scheme val="minor"/>
      </rPr>
      <t>A</t>
    </r>
    <r>
      <rPr>
        <sz val="11"/>
        <color indexed="8"/>
        <rFont val="Calibri"/>
        <family val="2"/>
        <scheme val="minor"/>
      </rPr>
      <t xml:space="preserve"> = Jumlah luaran penelitian/PkM yang mendapat pengakuan HKI (Paten, Paten Sederhana)</t>
    </r>
  </si>
  <si>
    <r>
      <t>N</t>
    </r>
    <r>
      <rPr>
        <vertAlign val="subscript"/>
        <sz val="11"/>
        <color rgb="FF000000"/>
        <rFont val="Calibri"/>
        <family val="2"/>
        <scheme val="minor"/>
      </rPr>
      <t>B</t>
    </r>
    <r>
      <rPr>
        <sz val="11"/>
        <color indexed="8"/>
        <rFont val="Calibri"/>
        <family val="2"/>
        <scheme val="minor"/>
      </rPr>
      <t xml:space="preserve"> = Jumlah luaran penelitian/PkM yang mendapat pengakuan HKI (Hak Cipta, Desain Produk Industri, Perlindungan Varietas Tanaman, Desain Tata Letak Sirkuit Terpadu, dll.)</t>
    </r>
  </si>
  <si>
    <r>
      <t>N</t>
    </r>
    <r>
      <rPr>
        <vertAlign val="subscript"/>
        <sz val="11"/>
        <color rgb="FF000000"/>
        <rFont val="Calibri"/>
        <family val="2"/>
        <scheme val="minor"/>
      </rPr>
      <t>C</t>
    </r>
    <r>
      <rPr>
        <sz val="11"/>
        <color indexed="8"/>
        <rFont val="Calibri"/>
        <family val="2"/>
        <scheme val="minor"/>
      </rPr>
      <t xml:space="preserve"> = Jumlah luaran penelitian/PkM dalam bentuk Teknologi Tepat Guna, Produk (Produk Terstandarisasi, Produk Tersertifikasi), Karya Seni, Rekayasa Sosial.</t>
    </r>
  </si>
  <si>
    <r>
      <t>N</t>
    </r>
    <r>
      <rPr>
        <vertAlign val="subscript"/>
        <sz val="11"/>
        <color rgb="FF000000"/>
        <rFont val="Calibri"/>
        <family val="2"/>
        <scheme val="minor"/>
      </rPr>
      <t>D</t>
    </r>
    <r>
      <rPr>
        <sz val="11"/>
        <color indexed="8"/>
        <rFont val="Calibri"/>
        <family val="2"/>
        <scheme val="minor"/>
      </rPr>
      <t xml:space="preserve"> = Jumlah luaran penelitian/PkM yang diterbitkan dalam bentuk Buku ber-ISBN, </t>
    </r>
    <r>
      <rPr>
        <i/>
        <sz val="11"/>
        <color rgb="FF000000"/>
        <rFont val="Calibri"/>
        <family val="2"/>
        <scheme val="minor"/>
      </rPr>
      <t>Book Chapter</t>
    </r>
    <r>
      <rPr>
        <sz val="11"/>
        <color indexed="8"/>
        <rFont val="Calibri"/>
        <family val="2"/>
        <scheme val="minor"/>
      </rPr>
      <t>.</t>
    </r>
  </si>
  <si>
    <r>
      <t>R</t>
    </r>
    <r>
      <rPr>
        <vertAlign val="subscript"/>
        <sz val="11"/>
        <color rgb="FF000000"/>
        <rFont val="Calibri"/>
        <family val="2"/>
        <scheme val="minor"/>
      </rPr>
      <t>LP</t>
    </r>
    <r>
      <rPr>
        <sz val="11"/>
        <color indexed="8"/>
        <rFont val="Calibri"/>
        <family val="2"/>
        <scheme val="minor"/>
      </rPr>
      <t xml:space="preserve"> = (2 x (N</t>
    </r>
    <r>
      <rPr>
        <vertAlign val="subscript"/>
        <sz val="11"/>
        <color rgb="FF000000"/>
        <rFont val="Calibri"/>
        <family val="2"/>
        <scheme val="minor"/>
      </rPr>
      <t>A</t>
    </r>
    <r>
      <rPr>
        <sz val="11"/>
        <color indexed="8"/>
        <rFont val="Calibri"/>
        <family val="2"/>
        <scheme val="minor"/>
      </rPr>
      <t xml:space="preserve"> + N</t>
    </r>
    <r>
      <rPr>
        <vertAlign val="subscript"/>
        <sz val="11"/>
        <color rgb="FF000000"/>
        <rFont val="Calibri"/>
        <family val="2"/>
        <scheme val="minor"/>
      </rPr>
      <t>B</t>
    </r>
    <r>
      <rPr>
        <sz val="11"/>
        <color indexed="8"/>
        <rFont val="Calibri"/>
        <family val="2"/>
        <scheme val="minor"/>
      </rPr>
      <t xml:space="preserve"> + N</t>
    </r>
    <r>
      <rPr>
        <vertAlign val="subscript"/>
        <sz val="11"/>
        <color rgb="FF000000"/>
        <rFont val="Calibri"/>
        <family val="2"/>
        <scheme val="minor"/>
      </rPr>
      <t>C</t>
    </r>
    <r>
      <rPr>
        <sz val="11"/>
        <color rgb="FF000000"/>
        <rFont val="Calibri"/>
        <family val="2"/>
        <scheme val="minor"/>
      </rPr>
      <t>) + N</t>
    </r>
    <r>
      <rPr>
        <vertAlign val="subscript"/>
        <sz val="11"/>
        <color rgb="FF000000"/>
        <rFont val="Calibri"/>
        <family val="2"/>
        <scheme val="minor"/>
      </rPr>
      <t>D</t>
    </r>
    <r>
      <rPr>
        <sz val="11"/>
        <color indexed="8"/>
        <rFont val="Calibri"/>
        <family val="2"/>
        <scheme val="minor"/>
      </rPr>
      <t>) / N</t>
    </r>
    <r>
      <rPr>
        <vertAlign val="subscript"/>
        <sz val="11"/>
        <color rgb="FF000000"/>
        <rFont val="Calibri"/>
        <family val="2"/>
        <scheme val="minor"/>
      </rPr>
      <t>DTPS</t>
    </r>
  </si>
  <si>
    <t xml:space="preserve">Karya ilmiah DTPS yang disitasi </t>
  </si>
  <si>
    <t>Skor rata-rata butir Profil Dosen, Sarana dan Prasarana</t>
  </si>
  <si>
    <t>Pelampauan SN-DIKTI (indikator kinerja tambahan) yang ditetapkan oleh UPPS pada tiap kriteria.</t>
  </si>
  <si>
    <t>UPPS menetapkan indikator kinerja tambahan berdasarkan standar pendidikan tinggi yang ditetapkan perguruan tinggi. Indikator kinerja tambahan mencakup seluruh kriteria serta menunjukkan daya saing UPPS dan program studi di tingkat inernasional. Data indikator kinerja tambahan telah diukur, dimonitor, dikaji, dan dianalisis untuk perbaikan berkelanjutan.</t>
  </si>
  <si>
    <t>UPPS menetapkan indikator kinerja tambahan berdasarkan standar pendidikan tinggi yang ditetapkan perguruan tinggi. Indikator kinerja tambahan mencakup sebagian kriteria serta menunjukkan daya saing UPPS dan program studi di tingkat nasional. Data indikator kinerja tambahan telah diukur, dimonitor, dikaji, dan dianalisis untuk perbaikan berkelanjutan.</t>
  </si>
  <si>
    <t>UPPS tidak menetapkan indikator kinerja tambahan.</t>
  </si>
  <si>
    <t>Tidak ada Skor kurang dari 2.</t>
  </si>
  <si>
    <t>Analisis keberhasilan dan/atau ketidakberhasilan pencapaian kinerja yang telah ditetapkan institusi yang memenuhi 2 aspek sebagai berikut: 
1) capaian kinerja harus diukur dengan metoda yang tepat, dan hasilnya dianalisis serta dievaluasi, dan
2) analisis terhadap capaian kinerja mencakup identifikasi akar masalah, faktor pendukung keberhasilan dan faktor penghambat ketercapaian standar, dan deskripsi singkat tindak lanjut yang akan dilakukan.</t>
  </si>
  <si>
    <t>Analisis pencapaian kinerja UPPS di tiap kriteria memenuhi 2 aspek, dilaksanakan setiap tahun dan hasilnya dipublikasikan kepada para pemangku kepentingan.</t>
  </si>
  <si>
    <t>Analisis pencapaian kinerja UPPS di tiap kriteria memenuhi 2 aspek dan dilaksanakan setiap tahun.</t>
  </si>
  <si>
    <t xml:space="preserve">Analisis pencapaian kinerja UPPS di tiap kriteria memenuhi 2 aspek. </t>
  </si>
  <si>
    <t xml:space="preserve">UPPS memiliki laporan pencapaian kinerja namun belum dianalisis dan dievaluasi. </t>
  </si>
  <si>
    <t xml:space="preserve">UPPS tidak memiliki laporan pencapaian kinerja. </t>
  </si>
  <si>
    <t>D  Analisis dan Penetapan Program Pengembangan
D.1 
Analisis dan Capaian Kinerja</t>
  </si>
  <si>
    <t>Keserbacakupan (kelengkapan, keluasan, dan kedalaman), ketepatan, ketajaman, dan kesesuaian analisis capaian kinerja serta konsistensi dengan setiap kriteria.</t>
  </si>
  <si>
    <t>UPPS telah melakukan analisis capaian kinerja yang: 
1) analisisnya didukung oleh data/informasi yang relevan (merujuk pada pencapaian standar mutu perguruan tinggi) dan berkualitas (andal dan memadai) yang didukung oleh keberadaan pangkalan data institusi yang terintegrasi.
2) konsisten dengan seluruh kriteria yang diuraikan sebelumnya, 
3) analisisnya dilakukan secara komprehensif, tepat, dan tajam untuk mengidentifikasi akar masalah di  UPPS.
4) hasilnya dipublikasikan kepada para pemangku kepentingan internal dan eksternal serta mudah diakses.</t>
  </si>
  <si>
    <t>UPPS telah melakukan analisis capaian kinerja yang: 
1) analisisnya didukung oleh data/informasi yang relevan (merujuk pada pencapaian standar mutu perguruan tinggi) dan berkualitas (andal dan memadai) yang didukung oleh keberadaan pangkalan data institusi yang belum terintegrasi.
2) konsisten dengan sebagian besar (7 s.d. 8) kriteria yang diuraikan sebelumnya, 
3) analisisnya dilakukan secara komprehensif dan tepat untuk mengidentifikasi akar masalah di UPPS.
4) hasilnya dipublikasikan kepada para pemangku kepentingan internal serta mudah diakses.</t>
  </si>
  <si>
    <t>UPPS telah melakukan analisis capaian kinerja yang: 
1) analisisnya didukung oleh data/informasi yang relevan (merujuk pada pencapaian standar mutu perguruan tinggi) dan berkualitas (andal dan memadai).
2) konsisten dengan sebagian (5 s.d. 6) kriteria yang diuraikan sebelumnya, 
3) analisisnya dilakukan secara komprehensif untuk mengidentifikasi akar masalah di UPPS.
4) hasilnya dipublikasikan kepada para pemangku kepentingan internal.</t>
  </si>
  <si>
    <t>UPPS telah melakukan analisis capaian kinerja yang: 
1) analisisnya tidak sepenuhnya didukung oleh data/informasi yang relevan (merujuk pada pencapaian standar mutu perguruan tinggi) dan berkualitas (andal dan memadai).
2) konsisten dengan sebagian kecil (kurang dari 5) kriteria yang diuraikan sebelumnya, 
3) analisisnya dilakukan tidak secara komprehensif untuk mengidentifikasi akar masalah di UPPS.
4) hasilnya tidak dipublikasikan.</t>
  </si>
  <si>
    <t>UPPS tidak melakukan analisis capaian kinerja.</t>
  </si>
  <si>
    <t>D.2 
Analisis SWOT atau Analisis Lain yang Relevan</t>
  </si>
  <si>
    <t>Ketepatan analisis SWOT atau analisis yang relevan di dalam mengembangkan strategi.</t>
  </si>
  <si>
    <t>UPPS melakukan analisis SWOT atau analisis lain yang relevan, serta memenuhi aspek-aspek sebagai berikut:
1) melakukan identifikasi kekuatan atau faktor pendorong, kelemahan atau faktor penghambat, peluang dan ancaman yang dihadapi UPPS dilakukan secara tepat,
2) memiliki keterkaitan dengan hasil analisis capaian kinerja,
3) merumuskan strategi pengembangan UPPS yang berkesesuaian, dan
4) menghasilkan program-program pengembangan alternatif yang tepat.</t>
  </si>
  <si>
    <t>UPPS melakukan analisis SWOT atau analisis lain yang relevan, serta memenuhi aspek-aspek sebagai berikut:
1) melakukan identifikasi kekuatan atau faktor pendorong, kelemahan atau faktor penghambat, peluang dan ancaman yang dihadapi UPPS dilakukan secara tepat,
2) memiliki keterkaitan dengan hasil analisis capaian kinerja, dan
3) merumuskan strategi pengembangan UPPS yang berkesesuaian.</t>
  </si>
  <si>
    <t>UPPS melakukan analisis SWOT atau analisis lain yang relevan, serta memenuhi aspek-aspek sebagai berikut:
1) melakukan identifikasi kekuatan atau faktor pendorong, kelemahan atau faktor penghambat, peluang dan ancaman yang dihadapi UPPS dilakukan secara tepat, dan 
2) memiliki keterkaitan dengan hasil analisis capaian kinerja.</t>
  </si>
  <si>
    <t>UPPS melakukan analisis SWOT atau analisis lain yang memenuhi aspek-aspek sebagai berikut:
1) melakukan identifikasi kekuatan atau faktor pendorong, kelemahan atau faktor penghambat, peluang dan ancaman yang dihadapi UPPS, dan
2) memiliki keterkaitan dengan hasil analisis capaian kinerja, namun tidak terstruktur dan tidak sistematis.</t>
  </si>
  <si>
    <t>UPPS tidak melakukan analisis untuk mengembangkan strategi.</t>
  </si>
  <si>
    <t>D.3
Program Pengembangan</t>
  </si>
  <si>
    <t>Ketepatan di dalam menetapkan prioritas program pengembangan.</t>
  </si>
  <si>
    <t>UPPS menetapkan prioritas program pengembangan berdasarkan hasil analisis SWOT atau analisis lainnya yang mempertimbangkan secara komprehensif:
1) kapasitas UPPS,
2) kebutuhan UPPS dan PS di masa depan,
3) rencana strategis UPPS yang berlaku,
4) aspirasi dari pemangku kepentingan internal dan eksternal, dan
5) program yang menjamin keberlanjutan.</t>
  </si>
  <si>
    <t>UPPS menetapkan prioritas program pengembangan berdasarkan hasil analisis SWOT atau analisis lainnya yang mempertimbangkan secara komprehensif:
1) kapasitas UPPS,
2) kebutuhan UPPS dan PS di masa depan,
3) rencana strategis UPPS yang berlaku, dan
4) aspirasi dari pemangku kepentingan internal.</t>
  </si>
  <si>
    <t>UPPS menetapkan prioritas program pengembangan berdasarkan hasil analisis SWOT atau analisis lainnya yang mempertimbangkan secara komprehensif:
1) kapasitas UPPS,
2) kebutuhan UPPS dan PS di masa depan, dan
3) rencana strategis UPPS yang berlaku.</t>
  </si>
  <si>
    <t>UPPS menetapkan prioritas program pengembangan namun belum mempertimbangan secara komprehensif:
1) kapasitas UPPS,
2) kebutuhan UPPS dan PS, dan
3) rencana strategis UPPS yang berlaku.</t>
  </si>
  <si>
    <t>UPPS tidak menetapkan prioritas program pengembangan.</t>
  </si>
  <si>
    <t xml:space="preserve">D.4 
Program Keberlanjutan </t>
  </si>
  <si>
    <t>UPPS memiliki kebijakan, ketersediaan sumberdaya, kemampuan melaksanakan, dan kerealistikan program.</t>
  </si>
  <si>
    <t>UPPS memiliki kebijakan dan upaya yang diturunkan ke dalam berbagai peraturan untuk menjamin keberlanjutan program yang mencakup:
1) alokasi sumber daya, 
2) kemampuan melaksanakan,
3) rencana penjaminan mutu yang berkelanjutan, dan 
4) keberadaan dukungan stakeholders eksternal.</t>
  </si>
  <si>
    <t>UPPS memiliki kebijakan dan upaya yang diturunkan ke dalam berbagai peraturan untuk menjamin keberlanjutan program yang mencakup:
1) alokasi sumber daya, 
2) kemampuan melaksanakan, dan
3) rencana penjaminan mutu yang berkelanjutan.</t>
  </si>
  <si>
    <t>UPPS memiliki kebijakan dan upaya untuk menjamin keberlanjutan program yang mencakup:
1) alokasi sumber daya, 
2) kemampuan melaksanakan, dan
3) rencana penjaminan mutu yang berkelanjutan.</t>
  </si>
  <si>
    <t>UPPS memiliki kebijakan dan upaya namun belum cukup untuk menjamin keberlanjutan program.</t>
  </si>
  <si>
    <t>UPPS tidak memiliki kebijakan dan upaya untuk menjamin keberlanjutan program.</t>
  </si>
  <si>
    <t>ELEMEN</t>
  </si>
  <si>
    <r>
      <t xml:space="preserve">Kondisi Eksternal
</t>
    </r>
    <r>
      <rPr>
        <sz val="11"/>
        <color theme="1"/>
        <rFont val="Calibri"/>
        <family val="2"/>
        <scheme val="minor"/>
      </rPr>
      <t>Konsistensi dengan hasil analisis SWOT dan/atau analisis lain serta rencana pengembangan ke depan.</t>
    </r>
  </si>
  <si>
    <t>Unit Pengelola Program Studi (UPPS) mampu:
1) mengidentifikasi kondisi lingkungan dan industri yang relevan secara komprehensif dan strategis,
2) menetapkan posisi relatif program studi terhadap lingkungannya,
3) menggunakan hasil identifikasi dan posisi yang ditetapkan untuk melakukan analisis (SWOT/metoda analisis lain yang relevan) untuk pengembangan program studi, dan
4) merumuskan strategi pengembangan program studi yang berkesesuaian untuk menghasilkan program-program pengembangan alternatif yang tepat.</t>
  </si>
  <si>
    <t>Unit Pengelola Program Studi (UPPS) mampu:
1) mengidentifikasi kondisi lingkungan dan industri yang relevan secara komprehensif,
2) menetapkan posisi relatif program studi terhadap lingkungannya, dan 
3) menggunakan hasil identifikasi dan posisi yang ditetapkan untuk melakukan analisis (SWOT/metoda analisis lain yang relevan) untuk pengembangan program studi.</t>
  </si>
  <si>
    <t>Unit Pengelola Program Studi (UPPS) mampu:
1) mengidentifikasi kondisi lingkungan dan industri yang relevan, dan
2) menetapkan posisi relatif program studi terhadap lingkungannya.</t>
  </si>
  <si>
    <t>Unit Pengelola Program Studi (UPPS) kurang mampu:
1) mengidentifikasi kondisi lingkungan dan industri yang relevan, dan
2) menetapkan posisi relatif program studi terhadap lingkungannya.</t>
  </si>
  <si>
    <t>Unit Pengelola Program Studi (UPPS) tidak mampu:
1) mengidentifikasi kondisi lingkungan dan industri yang relevan, dan
2) menetapkan posisi relatif program studi terhadap lingkungannya.</t>
  </si>
  <si>
    <t>A</t>
  </si>
  <si>
    <t>B</t>
  </si>
  <si>
    <r>
      <t xml:space="preserve">C  Kriteria
C.1 
Visi, Misi, Tujuan dan Strategi
</t>
    </r>
    <r>
      <rPr>
        <sz val="11"/>
        <color theme="1"/>
        <rFont val="Calibri"/>
        <family val="2"/>
        <scheme val="minor"/>
      </rPr>
      <t xml:space="preserve">C.1.4 
Indikator Kinerja Utama
</t>
    </r>
  </si>
  <si>
    <t>Kesesuaian Visi, Misi, Tujuan dan Strategi (VMTS) Unit Pengelola Program Studi (UPPS) terhadap VMTS Perguruan Tinggi (PT) dan visi keilmuan Program Studi (PS) yang dikelolanya.</t>
  </si>
  <si>
    <t>UPPS memiliki:
1) visi yang mencerminkan visi perguruan tinggi dan memayungi visi keilmuan terkait keunikan program studi serta didukung data konsistensi implementasinya,
2) misi, tujuan, dan strategi yang searah dan bersinerji dengan misi, tujuan, dan strategi perguruan tinggi serta mendukung pengembangan program studi dengan data konsistensi implementasinya.</t>
  </si>
  <si>
    <t>UPPS memiliki:
1) visi yang mencerminkan visi perguruan tinggi dan memayungi visi keilmuan terkait keunikan program studi,
2) misi, tujuan, dan strategi yang searah dan bersinerji dengan misi, tujuan, dan strategi perguruan tinggi serta mendukung pengembangan program studi.</t>
  </si>
  <si>
    <t>UPPS memiliki: 
1) visi yang mencerminkan visi perguruan tinggi dan memayungi visi keilmuan terkait program studi,
2) misi, tujuan, dan strategi yang searah dengan misi, tujuan, dan strategi perguruan tinggi serta mendukung pengembangan program studi.</t>
  </si>
  <si>
    <t>UPPS memiliki:
1) visi yang mencerminkan visi perguruan tinggi namun tidak memayungi visi keilmuan terkait program studi,
2) misi, tujuan, dan strategi kurang searah dengan misi, tujuan sasaran, dan strategi perguruan tinggi serta kurang mendukung pengembangan program studi.</t>
  </si>
  <si>
    <t>UPPS memiliki misi, tujuan, dan strategi yang tidak terkait dengan strategi perguruan tinggi dan pengembangan program studi.</t>
  </si>
  <si>
    <t xml:space="preserve">Ada mekanisme dalam penyusunan dan penetapan visi, misi, tujuan dan strategi yang terdokumentasi serta ada keterlibatan pemangku kepentingan internal (dosen, mahasiswa dan tenaga kependidikan) dan pemangku kepentingan eksternal (lulusan dan pengguna lulusan). </t>
  </si>
  <si>
    <t>Ada mekanisme dalam penyusunan dan penetapan visi, misi, tujuan dan strategi yang terdokumentasi serta ada keterlibatan pemangku kepentingan internal (dosen dan mahasiswa) dan pemangku kepentingan eksternal (lulusan).</t>
  </si>
  <si>
    <t>Strategi efektif untuk mencapai tujuan dan disusun berdasarkan analisis yang sistematis dengan menggunakan metoda yang relevan dan terdokumentasi serta pada pelaksanaannya dilakukan pemantauan dan evaluasi dan ditindaklanjuti.</t>
  </si>
  <si>
    <t>Strategi efektif untuk mencapai tujuan dan disusun berdasarkan analisis yang sistematis dengan menggunakan metoda yang relevan dan terdokumentasi serta pada pelaksanaannya dilakukan pemantauan dan evaluasi.</t>
  </si>
  <si>
    <t>Strategi untuk mencapai tujuan dan disusun berdasarkan analisis yang sistematis dengan menggunakan metoda yang relevan serta terdokumentasi namun belum terbukti efektifitasnya.</t>
  </si>
  <si>
    <t>Strategi untuk mencapai tujuan disusun berdasarkan analisis yang kurang sistematis serta tidak menggunakan metoda yang relevan.</t>
  </si>
  <si>
    <t>Tidak memiliki strategi untuk mencapai tujuan.</t>
  </si>
  <si>
    <t>A. Kelengkapan struktur organisasi dan keefektifan penyelenggaraan organisasi.</t>
  </si>
  <si>
    <t>UPPS memiliki dokumen formal struktur organisasi dan tata kerja yang dilengkapi tugas dan fungsinya, serta telah berjalan secara konsisten dan menjamin tata pamong yang baik serta berjalan efektif dan efisien.</t>
  </si>
  <si>
    <t>UPPS memiliki dokumen formal struktur organisasi dan tata kerja yang dilengkapi tugas dan fungsinya, serta telah berjalan secara konsisten dan menjamin tata pamong yang baik.</t>
  </si>
  <si>
    <t xml:space="preserve">UPPS memiliki dokumen formal struktur organisasi dan tata kerja yang dilengkapi tugas dan fungsinya, serta telah berjalan secara konsisten. </t>
  </si>
  <si>
    <t>UPPS memiliki dokumen formal struktur organisasi dan tata kerja  namun tugas dan fungsi belum berjalan secara konsisten.</t>
  </si>
  <si>
    <t>UPPS tidak memiliki dokumen formal struktur organisasi.</t>
  </si>
  <si>
    <t>UPPS memiliki praktek baik (best practices) dalam menerapkan tata pamong yang memenuhi 5 kaidah good governance untuk menjamin penyelenggaraan program studi yang bermutu.</t>
  </si>
  <si>
    <t>UPPS memiliki praktek baik (best practices) dalam menerapkan tata pamong yang memenuhi 4 kaidah good governance untuk menjamin penyelenggaraan program studi yang bermutu.</t>
  </si>
  <si>
    <t>UPPS memiliki praktek baik (best practices) dalam menerapkan tata pamong yang memenuhi 3 kaidah good governance untuk menjamin penyelenggaraan program studi yang bermutu.</t>
  </si>
  <si>
    <t>UPPS memiliki praktek baik (best practices) dalam menerapkan tata pamong yang memenuhi 1 s.d. 2 kaidah good governance untuk menjamin penyelenggaraan program studi yang bermutu.</t>
  </si>
  <si>
    <t>A. Komitmen pimpinan UPPS.</t>
  </si>
  <si>
    <t xml:space="preserve">Terdapat bukti/pengakuan yang sahih bahwa pimpinan UPPS memiliki karakter kepemimpinan operasional, organisasi, dan publik. </t>
  </si>
  <si>
    <t xml:space="preserve">Terdapat bukti/pengakuan yang sahih bahwa pimpinan UPPS memiliki 2 karakter diantara kepemimpinan operasional, organisasi, dan publik. </t>
  </si>
  <si>
    <t xml:space="preserve">Terdapat bukti/pengakuan yang sahih bahwa pimpinan UPPS memiliki salah satu karakter diantara kepemimpinan operasional, organisasi, dan publik. </t>
  </si>
  <si>
    <t xml:space="preserve">B. Kapabilitas pimpinan UPPS, mencakup aspek: 1) perencanaan, 2) pengorganisasian, 3) penempatan personel, 4) pelaksanaan, 5) pengendalian dan pengawasan, dan 6) pelaporan yang menjadi dasar tindak lanjut. </t>
  </si>
  <si>
    <t>Pimpinan UPPS mampu :
1) melaksanakan 6 fungsi manajemen secara efektif dan efisien,
2) mengantisipasi dan menyelesaikan masalah pada situasi yang tidak terduga,
3) melakukan inovasi untuk menghasilkan nilai tambah.</t>
  </si>
  <si>
    <t>Pimpinan UPPS mampu :
1) melaksanakan 6 fungsi manajemen secara efektif dan efisien,
2) mengantisipasi dan menyelesaikan masalah pada situasi yang tidak terduga.</t>
  </si>
  <si>
    <t>Pimpinan UPPS mampu melaksanakan 6 fungsi manajemen secara efektif.</t>
  </si>
  <si>
    <t>Pimpinan UPPS mampu melaksanakan kurang dari 6 fungsi manajemen.</t>
  </si>
  <si>
    <t>Mutu, manfaat, kepuasan dan keberlanjutan kerjasama pendidikan, penelitian dan PkM yang relevan dengan program studi. UPPS memiliki bukti yang sahih terkait kerjasama yang ada telah memenuhi 3 aspek berikut: 1) memberikan manfaat bagi program studi dalam pemenuhan proses pembelajaran, penelitian, PkM. 2) memberikan peningkatan kinerja tridharma dan fasilitas pendukung program studi. 3) memberikan kepuasan kepada mitra industri dan mitra kerjasama lainnya, serta menjamin keberlanjutan kerjasama dan hasilnya.</t>
  </si>
  <si>
    <t>UPPS memiliki bukti yang sahih terkait kerjasama yang ada telah memenuhi 3 aspek.</t>
  </si>
  <si>
    <t>UPPS memiliki bukti yang sahih terkait kerjasama yang ada telah memenuhi aspek 1 dan 2.</t>
  </si>
  <si>
    <t>UPPS memiliki bukti yang sahih terkait kerjasama yang ada telah memenuhi aspek 1.</t>
  </si>
  <si>
    <t>UPPS tidak memiliki bukti pelaksanaan kerjasama.</t>
  </si>
  <si>
    <t>Keterlaksanaan Sistem Penjaminan Mutu Internal (akademik dan nonakademik) yang dibuktikan dengan keberadaan 5 aspek:
1) dokumen legal pembentukan unsur pelaksana penjaminan mutu.
2) ketersediaan dokumen mutu: kebijakan SPMI, manual SPMI, standar SPMI, dan formulir SPMI.
3) terlaksananya siklus penjaminan mutu (siklus PPEPP).
4) bukti sahih efektivitas pelaksanaan penjaminan mutu.
5) memiliki external benchmarking dalam peningkatan mutu.</t>
  </si>
  <si>
    <t>UPPS telah melaksanakan SPMI yang memenuhi 5 aspek.</t>
  </si>
  <si>
    <t xml:space="preserve">UPPS telah melaksanakan SPMI yang memenuhi aspek nomor 1 sampai dengan 4. </t>
  </si>
  <si>
    <t>UPPS telah melaksanakan SPMI yang memenuhi aspek nomor 1 sampai dengan 3.</t>
  </si>
  <si>
    <t>UPPS telah melaksanakan SPMI yang memenuhi aspek nomor 1 dan 2, serta siklus kegiatan SPMI baru dilaksanakan pada tahapan penetapan standar dan pelaksanaan standar pendidikan tinggi.</t>
  </si>
  <si>
    <t>UPPS telah memiliki dokumen legal pembentukan unsur pelaksana penjaminan mutu tanpa pelaksanaan SPMI.</t>
  </si>
  <si>
    <t>C.2.7
Penjaminan Mutu</t>
  </si>
  <si>
    <t>C.2.8
Kepuasan pemangku kepentingan</t>
  </si>
  <si>
    <t>Pengukuran kepuasan layanan manajemen terhadap para pemangku kepentingan: mahasiswa, dosen, tenaga kependidikan, lulusan, pengguna dan mitra yang memenuhi aspek-aspek berikut:
1) menggunakan instrumen kepuasan yang sahih, andal, mudah digunakan,
2) dilaksanakan secara berkala, serta datanya terekam secara komprehensif, 
3) dianalisis dengan metode yang tepat serta bermanfaat untuk pengambilan keputusan,
4) tingkat kepuasan dan umpan balik ditindaklanjuti untuk perbaikan dan peningkatan mutu luaran secara berkala dan tersistem,
5) dilakukan review terhadap pelaksanaan pengukuran kepuasan dosen dan mahasiswa, serta
6) hasilnya dipublikasikan dan mudah diakses oleh dosen dan mahasiswa.</t>
  </si>
  <si>
    <t>UPPS melakukan pengukuran kepuasan kepada seluruh pemangku kepentingan terhadap layanan manajemen yang memenuhi seluruh aspek.</t>
  </si>
  <si>
    <t>UPPS melakukan pengukuran kepuasan kepada seluruh pemangku kepentingan terhadap layanan manajemen yang memenuhi aspek 1 s.d 4 dan salah satu dari aspek 5 atau aspek 6.</t>
  </si>
  <si>
    <t>UPPS melakukan pengukuran kepuasan kepada seluruh pemangku kepentingan terhadap layanan manajemen yang memenuhi aspek 1 s.d 4.</t>
  </si>
  <si>
    <t>UPPS melakukan pengukuran kepuasan kepada sebagian pemangku kepentingan terhadap layanan manajemen yang memenuhi aspek 1 s.d. 4.</t>
  </si>
  <si>
    <t>UPPS tidak melakukan pengukuran kepuasan layanan manajemen.</t>
  </si>
  <si>
    <r>
      <t xml:space="preserve">C.3
Mahasiswa
</t>
    </r>
    <r>
      <rPr>
        <sz val="11"/>
        <color theme="1"/>
        <rFont val="Calibri"/>
        <family val="2"/>
        <scheme val="minor"/>
      </rPr>
      <t>C.3.4 
Indikator Kinerja Utama
C.3.4.a) 
Kualitas Input Mahasiswa</t>
    </r>
  </si>
  <si>
    <t>C.3.4.b) Daya Tarik Program Studi</t>
  </si>
  <si>
    <t>Jenis layanan mencakup bidang penalaran, minat dan bakat,  kesejahteraan (bimbingan dan konseling, layanan beasiswa, dan layanan kesehatan), dan bimbingan karir dan kewirausahaan.</t>
  </si>
  <si>
    <t>B. Akses dan mutu layanan kemahasiswaan.</t>
  </si>
  <si>
    <t>C.3.4.c) 
Layanan Kemahasiswaan</t>
  </si>
  <si>
    <r>
      <t xml:space="preserve">C.4. Sumber Daya Manusia
</t>
    </r>
    <r>
      <rPr>
        <sz val="11"/>
        <color theme="1"/>
        <rFont val="Calibri"/>
        <family val="2"/>
        <scheme val="minor"/>
      </rPr>
      <t>C.4.4. Indikator Kinerja Utama
C.4.4.a) Profil Dosen</t>
    </r>
  </si>
  <si>
    <r>
      <t>N</t>
    </r>
    <r>
      <rPr>
        <vertAlign val="subscript"/>
        <sz val="11"/>
        <color theme="1"/>
        <rFont val="Calibri"/>
        <family val="2"/>
        <scheme val="minor"/>
      </rPr>
      <t>DS3</t>
    </r>
    <r>
      <rPr>
        <sz val="11"/>
        <color theme="1"/>
        <rFont val="Calibri"/>
        <family val="2"/>
        <scheme val="minor"/>
      </rPr>
      <t xml:space="preserve"> = Jumlah DTPS yang berpendidikan tertinggi Doktor/Doktor Terapan/Subspesialis.</t>
    </r>
  </si>
  <si>
    <r>
      <t>P</t>
    </r>
    <r>
      <rPr>
        <vertAlign val="subscript"/>
        <sz val="11"/>
        <color theme="1"/>
        <rFont val="Calibri"/>
        <family val="2"/>
        <scheme val="minor"/>
      </rPr>
      <t>DS3</t>
    </r>
    <r>
      <rPr>
        <sz val="11"/>
        <color theme="1"/>
        <rFont val="Calibri"/>
        <family val="2"/>
        <scheme val="minor"/>
      </rPr>
      <t xml:space="preserve"> = (N</t>
    </r>
    <r>
      <rPr>
        <vertAlign val="subscript"/>
        <sz val="11"/>
        <color theme="1"/>
        <rFont val="Calibri"/>
        <family val="2"/>
        <scheme val="minor"/>
      </rPr>
      <t>DS3</t>
    </r>
    <r>
      <rPr>
        <sz val="11"/>
        <color theme="1"/>
        <rFont val="Calibri"/>
        <family val="2"/>
        <scheme val="minor"/>
      </rPr>
      <t xml:space="preserve"> / N</t>
    </r>
    <r>
      <rPr>
        <vertAlign val="subscript"/>
        <sz val="11"/>
        <color theme="1"/>
        <rFont val="Calibri"/>
        <family val="2"/>
        <scheme val="minor"/>
      </rPr>
      <t>DTPS</t>
    </r>
    <r>
      <rPr>
        <sz val="11"/>
        <color theme="1"/>
        <rFont val="Calibri"/>
        <family val="2"/>
        <scheme val="minor"/>
      </rPr>
      <t>) x 100%</t>
    </r>
  </si>
  <si>
    <t>Jabatan akademik DTPS.</t>
  </si>
  <si>
    <t>Kualifikasi akademik DTPS.</t>
  </si>
  <si>
    <r>
      <t>N</t>
    </r>
    <r>
      <rPr>
        <vertAlign val="subscript"/>
        <sz val="11"/>
        <color theme="1"/>
        <rFont val="Calibri"/>
        <family val="2"/>
        <scheme val="minor"/>
      </rPr>
      <t>DGB</t>
    </r>
    <r>
      <rPr>
        <sz val="11"/>
        <color theme="1"/>
        <rFont val="Calibri"/>
        <family val="2"/>
        <scheme val="minor"/>
      </rPr>
      <t xml:space="preserve"> = Jumlah DTPS yang memiliki jabatan akademik Guru Besar.</t>
    </r>
  </si>
  <si>
    <r>
      <t>N</t>
    </r>
    <r>
      <rPr>
        <vertAlign val="subscript"/>
        <sz val="11"/>
        <color theme="1"/>
        <rFont val="Calibri"/>
        <family val="2"/>
        <scheme val="minor"/>
      </rPr>
      <t>DLK</t>
    </r>
    <r>
      <rPr>
        <sz val="11"/>
        <color theme="1"/>
        <rFont val="Calibri"/>
        <family val="2"/>
        <scheme val="minor"/>
      </rPr>
      <t xml:space="preserve"> = Jumlah DTPS yang memiliki jabatan akademik Lektor Kepala.</t>
    </r>
  </si>
  <si>
    <r>
      <t>N</t>
    </r>
    <r>
      <rPr>
        <vertAlign val="subscript"/>
        <sz val="11"/>
        <color theme="1"/>
        <rFont val="Calibri"/>
        <family val="2"/>
        <scheme val="minor"/>
      </rPr>
      <t>DL</t>
    </r>
    <r>
      <rPr>
        <sz val="11"/>
        <color theme="1"/>
        <rFont val="Calibri"/>
        <family val="2"/>
        <scheme val="minor"/>
      </rPr>
      <t xml:space="preserve"> = Jumlah DTPS tetap yang memiliki jabatan akademik Lektor.</t>
    </r>
  </si>
  <si>
    <r>
      <t>P</t>
    </r>
    <r>
      <rPr>
        <vertAlign val="subscript"/>
        <sz val="11"/>
        <color theme="1"/>
        <rFont val="Calibri"/>
        <family val="2"/>
        <scheme val="minor"/>
      </rPr>
      <t>GBLKL</t>
    </r>
    <r>
      <rPr>
        <sz val="11"/>
        <color theme="1"/>
        <rFont val="Calibri"/>
        <family val="2"/>
        <scheme val="minor"/>
      </rPr>
      <t xml:space="preserve"> = ((N</t>
    </r>
    <r>
      <rPr>
        <vertAlign val="subscript"/>
        <sz val="11"/>
        <color theme="1"/>
        <rFont val="Calibri"/>
        <family val="2"/>
        <scheme val="minor"/>
      </rPr>
      <t>DGB</t>
    </r>
    <r>
      <rPr>
        <sz val="11"/>
        <color theme="1"/>
        <rFont val="Calibri"/>
        <family val="2"/>
        <scheme val="minor"/>
      </rPr>
      <t xml:space="preserve"> + N</t>
    </r>
    <r>
      <rPr>
        <vertAlign val="subscript"/>
        <sz val="11"/>
        <color theme="1"/>
        <rFont val="Calibri"/>
        <family val="2"/>
        <scheme val="minor"/>
      </rPr>
      <t>DLK</t>
    </r>
    <r>
      <rPr>
        <sz val="11"/>
        <color theme="1"/>
        <rFont val="Calibri"/>
        <family val="2"/>
        <scheme val="minor"/>
      </rPr>
      <t xml:space="preserve"> + N</t>
    </r>
    <r>
      <rPr>
        <vertAlign val="subscript"/>
        <sz val="11"/>
        <color theme="1"/>
        <rFont val="Calibri"/>
        <family val="2"/>
        <scheme val="minor"/>
      </rPr>
      <t>DL</t>
    </r>
    <r>
      <rPr>
        <sz val="11"/>
        <color theme="1"/>
        <rFont val="Calibri"/>
        <family val="2"/>
        <scheme val="minor"/>
      </rPr>
      <t>) / N</t>
    </r>
    <r>
      <rPr>
        <vertAlign val="subscript"/>
        <sz val="11"/>
        <color theme="1"/>
        <rFont val="Calibri"/>
        <family val="2"/>
        <scheme val="minor"/>
      </rPr>
      <t>DTPS</t>
    </r>
    <r>
      <rPr>
        <sz val="11"/>
        <color theme="1"/>
        <rFont val="Calibri"/>
        <family val="2"/>
        <scheme val="minor"/>
      </rPr>
      <t>) x 100%</t>
    </r>
  </si>
  <si>
    <t>Rasio jumlah mahasiswa program studi terhadap jumlah DTPS.</t>
  </si>
  <si>
    <r>
      <t>N</t>
    </r>
    <r>
      <rPr>
        <vertAlign val="subscript"/>
        <sz val="11"/>
        <color theme="1"/>
        <rFont val="Calibri"/>
        <family val="2"/>
        <scheme val="minor"/>
      </rPr>
      <t>M</t>
    </r>
    <r>
      <rPr>
        <sz val="11"/>
        <color theme="1"/>
        <rFont val="Calibri"/>
        <family val="2"/>
        <scheme val="minor"/>
      </rPr>
      <t xml:space="preserve"> = Jumlah mahasiswa pada saat TS.</t>
    </r>
  </si>
  <si>
    <r>
      <t>R</t>
    </r>
    <r>
      <rPr>
        <vertAlign val="subscript"/>
        <sz val="11"/>
        <color theme="1"/>
        <rFont val="Calibri"/>
        <family val="2"/>
        <scheme val="minor"/>
      </rPr>
      <t>MD</t>
    </r>
    <r>
      <rPr>
        <sz val="11"/>
        <color theme="1"/>
        <rFont val="Calibri"/>
        <family val="2"/>
        <scheme val="minor"/>
      </rPr>
      <t xml:space="preserve"> = N</t>
    </r>
    <r>
      <rPr>
        <vertAlign val="subscript"/>
        <sz val="11"/>
        <color theme="1"/>
        <rFont val="Calibri"/>
        <family val="2"/>
        <scheme val="minor"/>
      </rPr>
      <t>M</t>
    </r>
    <r>
      <rPr>
        <sz val="11"/>
        <color theme="1"/>
        <rFont val="Calibri"/>
        <family val="2"/>
        <scheme val="minor"/>
      </rPr>
      <t xml:space="preserve"> / N</t>
    </r>
    <r>
      <rPr>
        <vertAlign val="subscript"/>
        <sz val="11"/>
        <color theme="1"/>
        <rFont val="Calibri"/>
        <family val="2"/>
        <scheme val="minor"/>
      </rPr>
      <t>DTPS</t>
    </r>
  </si>
  <si>
    <t>Untuk program studi dengan jumlah kebutuhan lulusan rendah, berlaku Skor = Skor butir Kualitas Input Mahasiswa</t>
  </si>
  <si>
    <t>Penugasan DTPS sebagai pembimbing utama tugas akhir mahasiswa.</t>
  </si>
  <si>
    <t>Dosen tidak tetap.</t>
  </si>
  <si>
    <r>
      <t>N</t>
    </r>
    <r>
      <rPr>
        <vertAlign val="subscript"/>
        <sz val="11"/>
        <color theme="1"/>
        <rFont val="Calibri"/>
        <family val="2"/>
        <scheme val="minor"/>
      </rPr>
      <t>DT</t>
    </r>
    <r>
      <rPr>
        <sz val="11"/>
        <color theme="1"/>
        <rFont val="Calibri"/>
        <family val="2"/>
        <scheme val="minor"/>
      </rPr>
      <t xml:space="preserve"> = Jumlah dosen tetap yang ditugaskan sebagai pengampu mata kuliah di program studi yang diakreditasi.</t>
    </r>
  </si>
  <si>
    <r>
      <t>N</t>
    </r>
    <r>
      <rPr>
        <vertAlign val="subscript"/>
        <sz val="11"/>
        <color theme="1"/>
        <rFont val="Calibri"/>
        <family val="2"/>
        <scheme val="minor"/>
      </rPr>
      <t>DTT</t>
    </r>
    <r>
      <rPr>
        <sz val="11"/>
        <color theme="1"/>
        <rFont val="Calibri"/>
        <family val="2"/>
        <scheme val="minor"/>
      </rPr>
      <t xml:space="preserve"> = Jumlah dosen tidak tetap yang ditugaskan sebagai pengampu mata kuliah di program studi yang diakreditasi.</t>
    </r>
  </si>
  <si>
    <r>
      <t>P</t>
    </r>
    <r>
      <rPr>
        <vertAlign val="subscript"/>
        <sz val="11"/>
        <color theme="1"/>
        <rFont val="Calibri"/>
        <family val="2"/>
        <scheme val="minor"/>
      </rPr>
      <t>DTT</t>
    </r>
    <r>
      <rPr>
        <sz val="11"/>
        <color theme="1"/>
        <rFont val="Calibri"/>
        <family val="2"/>
        <scheme val="minor"/>
      </rPr>
      <t xml:space="preserve"> = (N</t>
    </r>
    <r>
      <rPr>
        <vertAlign val="subscript"/>
        <sz val="11"/>
        <color theme="1"/>
        <rFont val="Calibri"/>
        <family val="2"/>
        <scheme val="minor"/>
      </rPr>
      <t>DTT</t>
    </r>
    <r>
      <rPr>
        <sz val="11"/>
        <color theme="1"/>
        <rFont val="Calibri"/>
        <family val="2"/>
        <scheme val="minor"/>
      </rPr>
      <t xml:space="preserve"> / (N</t>
    </r>
    <r>
      <rPr>
        <vertAlign val="subscript"/>
        <sz val="11"/>
        <color theme="1"/>
        <rFont val="Calibri"/>
        <family val="2"/>
        <scheme val="minor"/>
      </rPr>
      <t>DTT</t>
    </r>
    <r>
      <rPr>
        <sz val="11"/>
        <color theme="1"/>
        <rFont val="Calibri"/>
        <family val="2"/>
        <scheme val="minor"/>
      </rPr>
      <t xml:space="preserve"> + N</t>
    </r>
    <r>
      <rPr>
        <vertAlign val="subscript"/>
        <sz val="11"/>
        <color theme="1"/>
        <rFont val="Calibri"/>
        <family val="2"/>
        <scheme val="minor"/>
      </rPr>
      <t>DT</t>
    </r>
    <r>
      <rPr>
        <sz val="11"/>
        <color theme="1"/>
        <rFont val="Calibri"/>
        <family val="2"/>
        <scheme val="minor"/>
      </rPr>
      <t>)) x 100%</t>
    </r>
  </si>
  <si>
    <t>C.4.4.b) Kinerja Dosen</t>
  </si>
  <si>
    <r>
      <t>N</t>
    </r>
    <r>
      <rPr>
        <vertAlign val="subscript"/>
        <sz val="11"/>
        <color theme="1"/>
        <rFont val="Calibri"/>
        <family val="2"/>
        <scheme val="minor"/>
      </rPr>
      <t>RD</t>
    </r>
    <r>
      <rPr>
        <sz val="11"/>
        <color theme="1"/>
        <rFont val="Calibri"/>
        <family val="2"/>
        <scheme val="minor"/>
      </rPr>
      <t xml:space="preserve"> = Jumlah pengakuan atas prestasi/kinerja DTPS yang relevan dengan bidang keahlian dalam 3 tahun terakhir.</t>
    </r>
  </si>
  <si>
    <r>
      <t>R</t>
    </r>
    <r>
      <rPr>
        <vertAlign val="subscript"/>
        <sz val="11"/>
        <color theme="1"/>
        <rFont val="Calibri"/>
        <family val="2"/>
        <scheme val="minor"/>
      </rPr>
      <t>RD</t>
    </r>
    <r>
      <rPr>
        <sz val="11"/>
        <color theme="1"/>
        <rFont val="Calibri"/>
        <family val="2"/>
        <scheme val="minor"/>
      </rPr>
      <t xml:space="preserve"> = N</t>
    </r>
    <r>
      <rPr>
        <vertAlign val="subscript"/>
        <sz val="11"/>
        <color theme="1"/>
        <rFont val="Calibri"/>
        <family val="2"/>
        <scheme val="minor"/>
      </rPr>
      <t>RD</t>
    </r>
    <r>
      <rPr>
        <sz val="11"/>
        <color theme="1"/>
        <rFont val="Calibri"/>
        <family val="2"/>
        <scheme val="minor"/>
      </rPr>
      <t xml:space="preserve"> / N</t>
    </r>
    <r>
      <rPr>
        <vertAlign val="subscript"/>
        <sz val="11"/>
        <color theme="1"/>
        <rFont val="Calibri"/>
        <family val="2"/>
        <scheme val="minor"/>
      </rPr>
      <t>DTPS</t>
    </r>
    <r>
      <rPr>
        <sz val="11"/>
        <color theme="1"/>
        <rFont val="Calibri"/>
        <family val="2"/>
        <scheme val="minor"/>
      </rPr>
      <t xml:space="preserve"> </t>
    </r>
  </si>
  <si>
    <t>Pengakuan/rekognisi atas kepakaran/prestasi/kinerja DTPS.
Pengakuan/rekognisi atas kepakaran/prestasi/kinerja DTPS dapat berupa:
a) menjadi visiting lecturer atau visiting scholar di program studi/perguruan tinggi terakreditasi A/Unggul atau program studi/perguruan tinggi internasional bereputasi.
b) menjadi keynote speaker/invited speaker pada pertemuan ilmiah tingkat nasional/ internasional.
c) menjadi editor atau mitra bestari pada jurnal nasional terakreditasi/jurnal internasional bereputasi di bidang yang sesuai dengan bidang program studi.
d) menjadi staf ahli/narasumber di lembaga tingkat wilayah/nasional/internasional pada bidang yang sesuai dengan bidang program studi (untuk pengusul dari program studi pada program Sarjana/Magister/Doktor), atau menjadi tenaga ahli/konsultan di lembaga/industri tingkat wilayah/nasional/ internasional pada bidang yang sesuai dengan bidang program studi (untuk pengusul dari program studi pada program Diploma Tiga/Sarjana Terapan/Magister Terapan/Doktor Terapan).
e) mendapat penghargaan atas prestasi dan kinerja di tingkat wilayah/nasional/internasional.</t>
  </si>
  <si>
    <t>LEVEL RISIKO</t>
  </si>
  <si>
    <t>IDENTIFIKASI RISIKO</t>
  </si>
  <si>
    <t>MANAJEMEN RISIKO</t>
  </si>
  <si>
    <t>Upaya pengembangan dosen.
Catatan: Jika Skor rata-rata butir Profil Dosen ≥ 3,5 , maka Skor = 4.</t>
  </si>
  <si>
    <t>C.4.4.c) Pengembangan Dosen</t>
  </si>
  <si>
    <t>C.4.4.d) Tenaga Kependidikan</t>
  </si>
  <si>
    <t>A. Kualifikasi dan kecukupan tenaga kependidikan berdasarkan jenis pekerjaannya (administrasi, pustakawan, teknisi, dll.)
Catatan: Penilaian kecukupan tidak hanya ditentukan oleh jumlah tenaga kependidikan, namun keberadaan dan pemanfaatan teknologi informasi dan komputer dalam proses administrasi dapat dijadikan pertimbangan untuk menilai efektifitas pekerjaan dan kebutuhan akan tenaga kependidikan.</t>
  </si>
  <si>
    <t>UPPS memiliki tenaga kependidikan yang memenuhi tingkat kecukupan dan kualifikasi berdasarkan kebutuhan layanan program studi dan mendukung pelaksanaan akademik, fungsi unit pengelola, serta pengembangan program studi.</t>
  </si>
  <si>
    <t>UPPS memiliki tenaga kependidikan yang memenuhi tingkat kecukupan dan kualifikasi berdasarkan kebutuhan layanan program studi dan mendukung pelaksanaan akademik dan fungsi unit pengelola.</t>
  </si>
  <si>
    <t>UPPS memiliki tenaga kependidikan yang memenuhi tingkat kecukupan dan kualifikasi berdasarkan kebutuhan layanan program studi dan mendukung pelaksanaan akademik.</t>
  </si>
  <si>
    <t>UPPS memiliki tenaga kependidikan yang memenuhi tingkat kecukupan dan/atau kualifikasi berdasarkan kebutuhan layanan program studi dan mendukung pelaksanaan akademik.</t>
  </si>
  <si>
    <t>UPPS memiliki tenaga kependidikan yang tidak memenuhi tingkat kecukupan dan kualifikasi berdasarkan kebutuhan layanan program studi.</t>
  </si>
  <si>
    <t>B. Kualifikasi dan kecukupan laboran untuk mendukung proses pembelajaran sesuai dengan kebutuhan program studi.</t>
  </si>
  <si>
    <t>UPPS memiliki jumlah laboran yang cukup terhadap jumlah laboratorium yang digunakan program studi, kualifikasinya sesuai
dengan laboratorium yang menjadi tanggungjawabnya, serta bersertifikat laboran dan bersertifikat kompetensi tertentu sesuai bidang tugasnya.</t>
  </si>
  <si>
    <t>UPPS memiliki jumlah laboran yang cukup terhadap jumlah laboratorium yang digunakan program studi, kualifikasinya sesuai
dengan laboratorium yang menjadi tanggungjawabnya, dan bersertifikat laboran atau bersertifikat kompetensi tertentu sesuai bidang tugasnya.</t>
  </si>
  <si>
    <t>UPPS memiliki jumlah laboran yang cukup terhadap jumlah laboratorium yang digunakan program studi dan kualifikasinya sesuai dengan laboratorium yang menjadi tanggungjawabnya.</t>
  </si>
  <si>
    <t>UPPS memiliki jumlah laboran yang cukup terhadap jumlah
laboratorium yang digunakan program studi.</t>
  </si>
  <si>
    <t>UPPS tidak memiliki laboran.</t>
  </si>
  <si>
    <r>
      <t xml:space="preserve">C.5. Keuangan, Sarana dan Prasarana
</t>
    </r>
    <r>
      <rPr>
        <sz val="11"/>
        <color theme="1"/>
        <rFont val="Calibri"/>
        <family val="2"/>
        <scheme val="minor"/>
      </rPr>
      <t>C.5.4. Indikator Kinerja Utama
C.5.4.a) Keuangan</t>
    </r>
  </si>
  <si>
    <t>Biaya operasional pendidikan.</t>
  </si>
  <si>
    <t>BOP = Biaya operasional pendidikan dalam 3 tahun terakhir.</t>
  </si>
  <si>
    <t>NM = Jumlah mahasiswa aktif pada saat TS.</t>
  </si>
  <si>
    <t>DOP = Rata-rata dana operasional pendidikan/mahasiswa/ tahun dalam 3 tahun terakhir = BOP / 3 / NM</t>
  </si>
  <si>
    <t>Dana penelitian DTPS.</t>
  </si>
  <si>
    <r>
      <t>D</t>
    </r>
    <r>
      <rPr>
        <vertAlign val="subscript"/>
        <sz val="11"/>
        <color theme="1"/>
        <rFont val="Calibri"/>
        <family val="2"/>
        <scheme val="minor"/>
      </rPr>
      <t>P</t>
    </r>
    <r>
      <rPr>
        <sz val="11"/>
        <color theme="1"/>
        <rFont val="Calibri"/>
        <family val="2"/>
        <scheme val="minor"/>
      </rPr>
      <t xml:space="preserve"> = Jumlah dana penelitian yang diperoleh dosen tetap dalam 3 tahun terakhir.</t>
    </r>
  </si>
  <si>
    <r>
      <t>D</t>
    </r>
    <r>
      <rPr>
        <vertAlign val="subscript"/>
        <sz val="11"/>
        <color theme="1"/>
        <rFont val="Calibri"/>
        <family val="2"/>
        <scheme val="minor"/>
      </rPr>
      <t>PD</t>
    </r>
    <r>
      <rPr>
        <sz val="11"/>
        <color theme="1"/>
        <rFont val="Calibri"/>
        <family val="2"/>
        <scheme val="minor"/>
      </rPr>
      <t xml:space="preserve"> = Rata-rata dana penelitian DTPS/ tahun dalam 3 tahun terakhir = D</t>
    </r>
    <r>
      <rPr>
        <vertAlign val="subscript"/>
        <sz val="11"/>
        <color theme="1"/>
        <rFont val="Calibri"/>
        <family val="2"/>
        <scheme val="minor"/>
      </rPr>
      <t>P</t>
    </r>
    <r>
      <rPr>
        <sz val="11"/>
        <color theme="1"/>
        <rFont val="Calibri"/>
        <family val="2"/>
        <scheme val="minor"/>
      </rPr>
      <t xml:space="preserve"> / 3 / N</t>
    </r>
    <r>
      <rPr>
        <vertAlign val="subscript"/>
        <sz val="11"/>
        <color theme="1"/>
        <rFont val="Calibri"/>
        <family val="2"/>
        <scheme val="minor"/>
      </rPr>
      <t>DTPS</t>
    </r>
  </si>
  <si>
    <t>Dana pengabdian kepada masyarakat DTPS.</t>
  </si>
  <si>
    <r>
      <t>D</t>
    </r>
    <r>
      <rPr>
        <vertAlign val="subscript"/>
        <sz val="11"/>
        <color theme="1"/>
        <rFont val="Calibri"/>
        <family val="2"/>
        <scheme val="minor"/>
      </rPr>
      <t>PkM</t>
    </r>
    <r>
      <rPr>
        <sz val="11"/>
        <color theme="1"/>
        <rFont val="Calibri"/>
        <family val="2"/>
        <scheme val="minor"/>
      </rPr>
      <t xml:space="preserve"> = Jumlah dana PkM yang diperoleh dosen tetap dalam 3 tahun terakhir.</t>
    </r>
  </si>
  <si>
    <r>
      <t>D</t>
    </r>
    <r>
      <rPr>
        <vertAlign val="subscript"/>
        <sz val="11"/>
        <color theme="1"/>
        <rFont val="Calibri"/>
        <family val="2"/>
        <scheme val="minor"/>
      </rPr>
      <t>PkMD</t>
    </r>
    <r>
      <rPr>
        <sz val="11"/>
        <color theme="1"/>
        <rFont val="Calibri"/>
        <family val="2"/>
        <scheme val="minor"/>
      </rPr>
      <t xml:space="preserve"> = Rata-rata dana PkM DTPS/ tahun dalam 3 tahun terakhir = D</t>
    </r>
    <r>
      <rPr>
        <vertAlign val="subscript"/>
        <sz val="11"/>
        <color theme="1"/>
        <rFont val="Calibri"/>
        <family val="2"/>
        <scheme val="minor"/>
      </rPr>
      <t>PkM</t>
    </r>
    <r>
      <rPr>
        <sz val="11"/>
        <color theme="1"/>
        <rFont val="Calibri"/>
        <family val="2"/>
        <scheme val="minor"/>
      </rPr>
      <t xml:space="preserve"> / 3 / N</t>
    </r>
    <r>
      <rPr>
        <vertAlign val="subscript"/>
        <sz val="11"/>
        <color theme="1"/>
        <rFont val="Calibri"/>
        <family val="2"/>
        <scheme val="minor"/>
      </rPr>
      <t>DTPS</t>
    </r>
  </si>
  <si>
    <t>Realisasi investasi (SDM, sarana dan prasarana) yang mendukung penyelenggaraan tridharma.
Catatan: Jika Skor rata-rata butir tentang Profil Dosen, Sarana, dan Prasarana ≥ 3,5 , maka Skor butir ini = 4.</t>
  </si>
  <si>
    <t>C.5.4.b) Sarana dan Prasarana</t>
  </si>
  <si>
    <t>Kecukupan, aksesibilitas dan mutu sarana dan prasarana untuk menjamin pencapaian capaian pembelajaran dan meningkatkan suasana akademik.</t>
  </si>
  <si>
    <t>UPPS menyediakan sarana dan prasarana yang mutakhir serta aksesibiltas yang cukup untuk menjamin pencapaian capaian pembelajaran dan meningkatkan suasana akademik.</t>
  </si>
  <si>
    <t>UPPS menyediakan sarana dan prasarana serta aksesibiltas yang cukup untuk menjamin pencapaian capaian pembelajaran dan meningkatkan suasana akademik.</t>
  </si>
  <si>
    <t xml:space="preserve">UPPS menyediakan sarana dan prasarana serta aksesibiltas yang cukup untuk menjamin pencapaian capaian pembelajaran.
</t>
  </si>
  <si>
    <t>UPPS menyediakan sarana dan prasarana serta aksesibiltas yang tidak cukup untuk menjamin pencapaian capaian pembelajaran.</t>
  </si>
  <si>
    <t>UPPS tidak memiliki sarana dan prasarana.</t>
  </si>
  <si>
    <r>
      <rPr>
        <b/>
        <sz val="11"/>
        <color theme="1"/>
        <rFont val="Calibri"/>
        <family val="2"/>
        <scheme val="minor"/>
      </rPr>
      <t>C.6. Pendidikan</t>
    </r>
    <r>
      <rPr>
        <sz val="11"/>
        <color theme="1"/>
        <rFont val="Calibri"/>
        <family val="2"/>
        <scheme val="minor"/>
      </rPr>
      <t xml:space="preserve">
C.6.4. Indikator Kinerja Utama
C.6.4.a) Kurikulum</t>
    </r>
  </si>
  <si>
    <t>A. Keterlibatan pemangku kepentingan dalam proses evaluasi dan pemutakhiran kurikulum.</t>
  </si>
  <si>
    <t>B. Kesesuaian capaian pembelajaran dengan profil lulusan dan jenjang KKNI/SKKNI.</t>
  </si>
  <si>
    <t>Capaian pembelajaran diturunkan dari profil lulusan, mengacu pada hasil kesepakatan dengan asosiasi penyelenggara program studi sejenis dan organisasi profesi, dan memenuhi level KKNI, serta dimutakhirkan secara berkala tiap 4 s.d. 5 tahun sesuai perkembangan ipteks dan kebutuhan pengguna.</t>
  </si>
  <si>
    <t>Capaian pembelajaran diturunkan dari profil lulusan, memenuhi level KKNI, dan dimutakhirkan secara berkala tiap 4 s.d. 5 tahun sesuai perkembangan ipteks atau kebutuhan pengguna.</t>
  </si>
  <si>
    <t>Capaian pembelajaran diturunkan dari profil lulusan dan tidak memenuhi level KKNI.</t>
  </si>
  <si>
    <t>Capaian pembelajaran tidak diturunkan dari profil lulusan dan tidak memenuhi level KKNI.</t>
  </si>
  <si>
    <t>C. Ketepatan struktur kurikulum dalam pembentukan capaian pembelajaran.</t>
  </si>
  <si>
    <t>C.6.4.b) Karakteristik Proses Pembelajaran</t>
  </si>
  <si>
    <t>Pemenuhan karakteristik proses pembelajaran, yang terdiri atas sifat: 1) interaktif, 2) holistik, 3) integratif, 4) saintifik, 5) kontekstual, 6) tematik, 7) efektif, 8) kolaboratif, dan 9) berpusat pada mahasiswa.</t>
  </si>
  <si>
    <t>C.6.4.c) Rencana Proses Pembelajaran</t>
  </si>
  <si>
    <t xml:space="preserve">A. Ketersediaan dan kelengkapan dokumen rencana pembelajaran semester (RPS) </t>
  </si>
  <si>
    <t>B. Kedalaman dan keluasan RPS sesuai dengan capaian pembelajaran lulusan.</t>
  </si>
  <si>
    <t>C.6.4.d) Pelaksanaan Proses Pembelajaran</t>
  </si>
  <si>
    <t>A. Bentuk interaksi antara dosen, mahasiswa dan sumber belajar</t>
  </si>
  <si>
    <t>B. Pemantauan kesesuaian proses terhadap rencana pembelajaran</t>
  </si>
  <si>
    <t>C. Proses pembelajaran yang terkait dengan penelitian harus mengacu SN Dikti Penelitian: 1) hasil penelitian: harus memenuhi pengembangan IPTEKS, meningkatkan kesejahteraan masyarakat, dan daya saing bangsa. 2) isi penelitian: memenuhi kedalaman dan keluasan materi penelitian sesuai capaian pembelajaran. 3) proses penelitian: mencakup perencanaan, pelaksanaan, dan pelaporan. 4) penilaian penelitian memenuhi unsur edukatif, obyektif, akuntabel, dan transparan.</t>
  </si>
  <si>
    <t>Terdapat bukti sahih tentang pemenuhan SN Dikti Penelitian pada proses pembelajaran terkait penelitian serta pemenuhan SN Dikti Penelitian pada proses pembelajaran terkait penelitian.</t>
  </si>
  <si>
    <t>Tidak ada Skor antara 2 dan 4.</t>
  </si>
  <si>
    <t>Terdapat bukti sahih tentang pemenuhan SN Dikti Penelitian pada proses pembelajaran terkait penelitian namun tidak memenuhi SN Dikti Penelitian pada proses pembelajaran terkait penelitian.</t>
  </si>
  <si>
    <t>D. Proses pembelajaran yang terkait dengan PkM harus mengacu SN Dikti PkM: 1) hasil PkM: harus memenuhi pengembangan IPTEKS, meningkatkan kesejahteraan masyarakat, dan daya saing bangsa. 2) isi PkM: memenuhi kedalaman dan keluasan materi PkM sesuai capaian pembelajaran. 3) proses PkM:  mencakup perencanaan, pelaksanaan, dan pelaporan. 4) penilaian PkM memenuhi unsur edukatif, obyektif, akuntabel, dan transparan.</t>
  </si>
  <si>
    <t>Terdapat bukti sahih tentang pemenuhan SN Dikti PkM pada proses pembelajaran terkait PkM serta pemenuhan SN Dikti PkM pada proses pembelajaran terkait PkM.</t>
  </si>
  <si>
    <t>Terdapat bukti sahih tentang pemenuhan SN Dikti PkM pada proses pembelajaran terkait PkM namun tidak memenuhi SN Dikti PkM pada proses pembelajaran terkait PkM.</t>
  </si>
  <si>
    <t>E. Kesesuaian metode pembelajaran dengan capaian pembelajaran. Contoh: RBE (research based education), IBE (industry based education), teaching factory/teaching industry, dll.</t>
  </si>
  <si>
    <t>Terdapat bukti sahih yang menunjukkan metode pembelajaran yang dilaksanakan sesuai dengan capaian pembelajaran yang direncanakan pada 75% s.d. 100% mata kuliah.</t>
  </si>
  <si>
    <t>Terdapat bukti sahih yang menunjukkan metode pembelajaran yang dilaksanakan sesuai dengan capaian pembelajaran yang direncanakan pada 50 s.d. &lt; 75% mata kuliah.</t>
  </si>
  <si>
    <t>Terdapat bukti sahih yang menunjukkan metode pembelajaran yang dilaksanakan sesuai dengan capaian pembelajaran yang direncanakan pada 25 s.d. &lt; 50% mata kuliah.</t>
  </si>
  <si>
    <t>Terdapat bukti sahih yang menunjukkan metode pembelajaran yang dilaksanakan sesuai dengan capaian pembelajaran yang direncanakan pada &lt; 25% mata kuliah.</t>
  </si>
  <si>
    <t>Tidak terdapat bukti sahih yang menunjukkan metode pembelajaran yang dilaksanakan sesuai dengan capaian pembelajaran yang direncanakan.</t>
  </si>
  <si>
    <t>Skor = (A + (2 x B) + (2 x C) + (2 x D) + (2 x E)) / 9</t>
  </si>
  <si>
    <t>Pembelajaran yang dilaksanakan dalam bentuk praktikum, praktik studio, praktik bengkel, atau praktik lapangan.</t>
  </si>
  <si>
    <t>C.6.4.e) Monitoring dan Evaluasi Proses Pembelajaran</t>
  </si>
  <si>
    <t>Monitoring dan evaluasi pelaksanaan proses pembelajaran mencakup karakteristik, perencanaan, pelaksanaan, proses pembelajaran dan beban belajar mahasiswa untuk memperoleh capaian pembelajaran lulusan.</t>
  </si>
  <si>
    <t>UPPS memiliki bukti sahih tentang sistem dan pelaksanaan monitoring dan evaluasi proses pembelajaran mencakup karakteristik, perencanaan, pelaksanaan, proses pembelajaran dan beban belajar mahasiswa yang dilaksanakan secara konsisten dan ditindak lanjuti.</t>
  </si>
  <si>
    <t>UPPS memiliki bukti sahih tentang sistem dan pelaksanaan monitoring dan evaluasi proses pembelajaran mencakup karakteristik, perencanaan, pelaksanaan, proses pembelajaran dan beban belajar mahasiswa yang dilaksanakan secara konsisten.</t>
  </si>
  <si>
    <t>UPPS memiliki bukti sahih tentang sistem dan pelaksanaan monitoring dan evaluasi proses pembelajaran mencakup karakteristik, perencanaan, pelaksanaan, proses pembelajaran dan beban belajar mahasiswa.</t>
  </si>
  <si>
    <t>UPPS telah melaksanakan monitoring dan evaluasi proses pembelajaran mencakup karakteristik, perencanaan, pelaksanaan, proses pembelajaran dan beban belajar mahasiswa namun tidak semua didukung bukti sahih.</t>
  </si>
  <si>
    <t>UPPS tidak melaksanakan monitoring dan evaluasi proses pembelajaran mencakup karakteristik, perencanaan, pelaksanaan, proses pembelajaran dan beban belajar mahasiswa.</t>
  </si>
  <si>
    <t>C.6.4.f) Penilaian Pembelajaran</t>
  </si>
  <si>
    <t>A. Mutu pelaksanaan penilaian pembelajaran (proses dan hasil belajar mahasiswa) untuk mengukur ketercapaian capaian pembelajaran berdasarkan prinsip penilaian yang mencakup: 1) edukatif, 2) otentik, 3) objektif, 4) akuntabel, dan 5) transparan, yang dilakukan secara terintegrasi.</t>
  </si>
  <si>
    <t>B. Pelaksanaan penilaian terdiri atas teknik dan instrumen penilaian. 
Teknik penilaian terdiri dari: 1) observasi, 2) partisipasi, 3) unjuk kerja, 4) test tertulis, 5) test lisan, dan 6) angket.
Instrumen penilaian terdiri dari: 1) penilaian proses dalam bentuk rubrik, dan/ atau; 2) penilaian hasil dalam bentuk portofolio, atau 3) karya disain.</t>
  </si>
  <si>
    <t xml:space="preserve">Terdapat bukti sahih yang menunjukkan kesesuaian teknik dan instrumen penilaian terhadap capaian pembelajaran minimum 75% s.d. 100% dari jumlah matakuliah. </t>
  </si>
  <si>
    <t xml:space="preserve">Terdapat bukti sahih yang menunjukkan kesesuaian teknik dan instrumen penilaian terhadap capaian pembelajaran minimum 50 s.d. &lt; 75% dari jumlah matakuliah.  </t>
  </si>
  <si>
    <t xml:space="preserve">Terdapat bukti sahih yang menunjukkan kesesuaian teknik dan instrumen penilaian terhadap capaian pembelajaran yang dinilai minimum 25 s.d. &lt; 50%  dari jumlah matakuliah.  </t>
  </si>
  <si>
    <t xml:space="preserve">Terdapat bukti sahih yang menunjukkan kesesuaian teknik dan instrumen penilaian terhadap capaian pembelajaran yang dinilai &lt; 25% dari jumlah matakuliah.  </t>
  </si>
  <si>
    <t>C. Pelaksanaan penilaian memuat unsur-unsur sebagai berikut: 1) mempunyai kontrak rencana penilaian, 2) melaksanakan penilaian sesuai kontrak atau kesepakatan, 3) memberikan umpan balik dan memberi kesempatan untuk mempertanyakan hasil kepada mahasiswa, 4) mempunyai dokumentasi penilaian proses dan hasil belajar mahasiswa, 5) mempunyai prosedur yang mencakup tahap perencanaan, kegiatan pemberian tugas atau soal, observasi kinerja, pengembalian hasil observasi, dan pemberian nilai akhir, 6) pelaporan penilaian berupa kualifikasi keberhasilan mahasiswa dalam menempuh suatu mata kuliah dalam bentuk huruf dan angka, 7) mempunyai bukti-bukti rencana dan telah melakukan proses perbaikan berdasar hasil monev penilaian.</t>
  </si>
  <si>
    <t>C.6.4.g) Integrasi kegiatan penelitian dan PkM dalam pembelajaran</t>
  </si>
  <si>
    <t>MK = Jumlah mata kuliah yang dikembangkan berdasarkan hasil penelitian/PkM DTPS dalam 3 tahun terakhir.</t>
  </si>
  <si>
    <t>Integrasi kegiatan penelitian dan PkM dalam pembelajaran oleh DTPS dalam 3 tahun terakhir.</t>
  </si>
  <si>
    <t>C.6.4.h) Suasana Akademik</t>
  </si>
  <si>
    <t>Keterlaksanaan dan keberkalaan program dan kegiatan diluar kegiatan pembelajaran terstruktur untuk meningkatkan suasana akademik.
Contoh: kegiatan himpunan mahasiswa, kuliah umum/studium generale, seminar ilmiah, bedah buku.</t>
  </si>
  <si>
    <t>Kegiatan ilmiah yang terjadwal dilaksanakan dua s.d tiga bulan sekali.</t>
  </si>
  <si>
    <t>Kegiatan ilmiah yang terjadwal dilaksanakan empat s.d. enam bulan sekali.</t>
  </si>
  <si>
    <t>Kegiatan ilmiah yang terjadwal dilaksanakan lebih dari enam bulan sekali.</t>
  </si>
  <si>
    <t>C.6.4.i) Kepuasan Mahasiswa</t>
  </si>
  <si>
    <t>A. Tingkat kepuasan mahasiswa terhadap proses pendidikan.
Aspek yang diukur: 1) Keandalan (reliability): kemampuan dosen, tenaga kependidikan, dan pengelola dalam memberikan pelayanan; 2) Daya tanggap (responsiveness): kemauan dari dosen, tenaga kependidikan, dan pengelola dalam membantu mahasiswa dan memberikan jasa dengan cepat; 3) Kepastian (assurance): kemampuan dosen, tenaga kependidikan, dan pengelola untuk memberi keyakinan kepada mahasiswa bahwa pelayanan yang diberikan telah sesuai dengan ketentuan; 4) Empati (empathy): kesediaan/kepedulian dosen, tenaga kependidikan, dan pengelola untuk memberi perhatian kepada mahasiswa; dan 5) Tangible: penilaian mahasiswa terhadap kecukupan, aksesibitas, kualitas sarana dan prasarana.</t>
  </si>
  <si>
    <t>B. Analisis dan tindak lanjut dari hasil pengukuran kepuasan mahasiswa.</t>
  </si>
  <si>
    <r>
      <rPr>
        <b/>
        <sz val="11"/>
        <color theme="1"/>
        <rFont val="Calibri"/>
        <family val="2"/>
        <scheme val="minor"/>
      </rPr>
      <t>C.7
Penelitian</t>
    </r>
    <r>
      <rPr>
        <sz val="11"/>
        <color theme="1"/>
        <rFont val="Calibri"/>
        <family val="2"/>
        <scheme val="minor"/>
      </rPr>
      <t xml:space="preserve">
C.7.4
Indikator Kinerja Utama
C.7.4.a)
Relevansi Penelitian
</t>
    </r>
  </si>
  <si>
    <t>UPPS memenuhi 4 unsur relevansi penelitian dosen dan mahasiswa.</t>
  </si>
  <si>
    <t>UPPS memenuhi  unsur 1, 2, dan 3 relevansi penelitian dosen dan mahasiswa.</t>
  </si>
  <si>
    <t>UPPS memenuhi  unsur 1, dan 2 relevansi penelitian dosen dan mahasiswa.</t>
  </si>
  <si>
    <t>UPPS memenuhi  unsur pertama namun penelitian dosen dan mahasiswa tidak sesuai dengan peta jalan.</t>
  </si>
  <si>
    <t>UPPS tidak mempunyai peta jalan penelitian dosen dan mahasiswa.</t>
  </si>
  <si>
    <t>Relevansi penelitian pada UPPS mencakup unsur-unsur sebagai berikut: 
1) memiliki peta jalan yang memayungi tema penelitian dosen dan mahasiswa,
2) dosen dan mahasiswa melaksanakan penelitian sesuai dengan agenda penelitian dosen yang merujuk kepada peta jalan penelitian. 
3) melakukan evaluasi kesesuaian penelitian dosen dan mahasiswa dengan peta jalan, dan 
4) menggunakan hasil evaluasi untuk perbaikan relevansi penelitian dan pengembangan keilmuan program studi.</t>
  </si>
  <si>
    <t>Persentase judul penelitian DTPS yang dalam pelaksanaannya melibatkan mahasiswa program studi dalam 3 tahun terakhir.</t>
  </si>
  <si>
    <t>Penelitian DTPS yang dalam pelaksanaannya melibatkan mahasiswa program studi dalam 3 tahun terakhir.</t>
  </si>
  <si>
    <t>C.7.4.b) Penelitian Dosen dan Mahasiswa</t>
  </si>
  <si>
    <r>
      <t xml:space="preserve">C.8
Pengabdian kepada Masyarakat
</t>
    </r>
    <r>
      <rPr>
        <sz val="11"/>
        <color theme="1"/>
        <rFont val="Calibri"/>
        <family val="2"/>
        <scheme val="minor"/>
      </rPr>
      <t>C.8.4
Indikator Kinerja Utama
C.8.4.a)
Relevansi PkM</t>
    </r>
  </si>
  <si>
    <t>Relevansi PkM pada UPPS mencakup unsur-unsur sebagai berikut: 
1) memiliki peta jalan yang memayungi tema PkM dosen dan mahasiswa serta hilirisasi/penerapan keilmuan program studi, 
2) dosen dan mahasiswa melaksanakan PkM sesuai dengan peta jalan PkM. 
3) melakukan evaluasi kesesuaian PkM dosen dan mahasiswa dengan peta jalan, dan 
4) menggunakan hasil evaluasi untuk perbaikan relevansi PkM dan pengembangan keilmuan program studi.</t>
  </si>
  <si>
    <t>UPPS memenuhi 4 unsur relevansi PkM dosen dan mahasiswa.</t>
  </si>
  <si>
    <t>UPPS memenuhi  unsur 1, 2, dan 3 relevansi PkM dosen dan mahasiswa.</t>
  </si>
  <si>
    <t>UPPS memenuhi  unsur 1, dan 2 relevansi PkM dosen dan mahasiswa.</t>
  </si>
  <si>
    <t>UPPS memenuhi  unsur pertama namun PkM dosen dan mahasiswa tidak sesuai dengan peta jalan.</t>
  </si>
  <si>
    <t>UPPS tidak mempunyai peta jalan PkM dosen dan mahasiswa.</t>
  </si>
  <si>
    <t>Persentase judul PkM DTPS yang dalam pelaksanaannya melibatkan mahasiswa program studi dalam 3 tahun terakhir.</t>
  </si>
  <si>
    <t>PkM DTPS yang dalam pelaksanaannya melibatkan mahasiswa program studi dalam 3 tahun terakhir.</t>
  </si>
  <si>
    <t>C.8.4.b) PkM Dosen dan Mahasiswa</t>
  </si>
  <si>
    <r>
      <t xml:space="preserve">C.9
Luaran dan Capaian Tridharma
</t>
    </r>
    <r>
      <rPr>
        <sz val="11"/>
        <color theme="1"/>
        <rFont val="Calibri"/>
        <family val="2"/>
        <scheme val="minor"/>
      </rPr>
      <t>C.9.4 
Indikator Kinerja Utama
C.9.4.a)
Luaran Dharma Pendidikan</t>
    </r>
  </si>
  <si>
    <t>Analisis pemenuhan capaian pembelajaran lulusan (CPL) yang diukur dengan metoda yang sahih dan relevan, mencakup aspek:
1) keserbacakupan, 
2) kedalaman, dan 
3) kebermanfaatan analisis yang ditunjukkan dengan peningkatan CPL dari waktu ke waktu dalam 3 tahun terakhir.</t>
  </si>
  <si>
    <t xml:space="preserve">Analisis capaian pembelajaran lulusan memenuhi 3 aspek. </t>
  </si>
  <si>
    <t xml:space="preserve">Analisis capaian pembelajaran lulusan memenuhi 2 aspek. </t>
  </si>
  <si>
    <t xml:space="preserve">Analisis capaian pembelajaran lulusan memenuhi 1 aspek. </t>
  </si>
  <si>
    <t xml:space="preserve">Analisis capaian pembelajaran lulusan tidak memenuhi ketiga aspek. </t>
  </si>
  <si>
    <t>IPK lulusan.</t>
  </si>
  <si>
    <t>Prestasi mahasiswa di bidang akademik dalam 3 tahun terakhir.</t>
  </si>
  <si>
    <t>Prestasi mahasiswa di bidang nonakademik dalam 3 tahun terakhir.</t>
  </si>
  <si>
    <t>Masa studi.</t>
  </si>
  <si>
    <t>Kelulusan tepat waktu</t>
  </si>
  <si>
    <t>Keberhasilan studi</t>
  </si>
  <si>
    <t xml:space="preserve">Pelaksanaan tracer study yang mencakup 5 aspek sebagai berikut: 
1) pelaksanaan tracer study terkoordinasi di tingkat PT,
2) kegiatan tracer study dilakukan secara reguler setiap tahun dan terdokumentasi,
3) isi kuesioner mencakup seluruh pertanyaan inti tracer study DIKTI.
4) ditargetkan pada seluruh populasi (lulusan TS-4 s.d. TS-2),
5) hasilnya disosialisasikan dan digunakan untuk pengembangan kurikulum dan pembelajaran. </t>
  </si>
  <si>
    <t>Tracer study yang dilakukan UPPS telah mencakup 5 aspek.</t>
  </si>
  <si>
    <t>Tracer study yang dilakukan UPPS telah mencakup 4 aspek.</t>
  </si>
  <si>
    <t>Tracer study yang dilakukan UPPS telah mencakup 3 aspek.</t>
  </si>
  <si>
    <t>Tracer study yang dilakukan UPPS telah mencakup 2 aspek.</t>
  </si>
  <si>
    <t>UPPS tidak melaksanakan tracer study.</t>
  </si>
  <si>
    <t>STUDI PENELUSURAN LULUSAN</t>
  </si>
  <si>
    <t>STUDI PENELUSURAN LULUSAN
Kesesuaian bidang kerja</t>
  </si>
  <si>
    <t>STUDI PENELUSURAN LULUSAN
Tingkat dan ukuran tempat kerja lulusan</t>
  </si>
  <si>
    <t>STUDI PENELUSURAN LULUSAN
Tingkat kepuasan pengguna lulusan.</t>
  </si>
  <si>
    <t xml:space="preserve">C.9.4.b) Luaran Dharma Penelitian dan PkM </t>
  </si>
  <si>
    <t>Luaran penelitian dan PkM yang dihasilkan mahasiswa, baik secara mandiri atau bersama DTPS dalam 3 tahun terakhir.</t>
  </si>
  <si>
    <t>Peringkat</t>
  </si>
  <si>
    <t>TINGKAT
 KEMUNGKINAN</t>
  </si>
  <si>
    <t>SKALA DAMPAK</t>
  </si>
  <si>
    <t>E</t>
  </si>
  <si>
    <t>EKSTREM</t>
  </si>
  <si>
    <t>T</t>
  </si>
  <si>
    <t>TINGGI</t>
  </si>
  <si>
    <t>M</t>
  </si>
  <si>
    <t>MODERAT</t>
  </si>
  <si>
    <t>R</t>
  </si>
  <si>
    <t>RENDAH</t>
  </si>
  <si>
    <t>E.4</t>
  </si>
  <si>
    <t>E.5</t>
  </si>
  <si>
    <t>D.4</t>
  </si>
  <si>
    <t>D.5</t>
  </si>
  <si>
    <t>C.5</t>
  </si>
  <si>
    <t>B.5</t>
  </si>
  <si>
    <t>E.3</t>
  </si>
  <si>
    <t>D.3</t>
  </si>
  <si>
    <t>C.4</t>
  </si>
  <si>
    <t>C.3</t>
  </si>
  <si>
    <t>B.4</t>
  </si>
  <si>
    <t>A.5</t>
  </si>
  <si>
    <t>A.4</t>
  </si>
  <si>
    <t>E.1</t>
  </si>
  <si>
    <t>E.2</t>
  </si>
  <si>
    <t>D.2</t>
  </si>
  <si>
    <t>C.2</t>
  </si>
  <si>
    <t>B.3</t>
  </si>
  <si>
    <t>A.3</t>
  </si>
  <si>
    <t>D.1</t>
  </si>
  <si>
    <t>C.1</t>
  </si>
  <si>
    <t>B.1</t>
  </si>
  <si>
    <t>B.2</t>
  </si>
  <si>
    <t>A.2</t>
  </si>
  <si>
    <t>A.1</t>
  </si>
  <si>
    <t>D</t>
  </si>
  <si>
    <t>Sangat Besar</t>
  </si>
  <si>
    <t>TINGKAT KEMUNGKINAN</t>
  </si>
  <si>
    <t>Besar</t>
  </si>
  <si>
    <t>Kecil</t>
  </si>
  <si>
    <t>Sangat Kecil</t>
  </si>
  <si>
    <t>Tidak Signifikan</t>
  </si>
  <si>
    <t>Minor</t>
  </si>
  <si>
    <t>Medium</t>
  </si>
  <si>
    <t>Signifikan</t>
  </si>
  <si>
    <t>Malapetaka</t>
  </si>
  <si>
    <t>C</t>
  </si>
  <si>
    <t>PETA RISIKO</t>
  </si>
  <si>
    <t>E1</t>
  </si>
  <si>
    <t>E2</t>
  </si>
  <si>
    <t>E3</t>
  </si>
  <si>
    <t>E4</t>
  </si>
  <si>
    <t>E5</t>
  </si>
  <si>
    <t>D1</t>
  </si>
  <si>
    <t>D2</t>
  </si>
  <si>
    <t>D3</t>
  </si>
  <si>
    <t>D4</t>
  </si>
  <si>
    <t>D5</t>
  </si>
  <si>
    <t>C1</t>
  </si>
  <si>
    <t>C2</t>
  </si>
  <si>
    <t>C3</t>
  </si>
  <si>
    <t>C4</t>
  </si>
  <si>
    <t>C5</t>
  </si>
  <si>
    <t>B1</t>
  </si>
  <si>
    <t>B2</t>
  </si>
  <si>
    <t>B3</t>
  </si>
  <si>
    <t>B4</t>
  </si>
  <si>
    <t>B5</t>
  </si>
  <si>
    <t>A1</t>
  </si>
  <si>
    <t>A2</t>
  </si>
  <si>
    <t>A3</t>
  </si>
  <si>
    <t>A4</t>
  </si>
  <si>
    <t>A5</t>
  </si>
  <si>
    <t>LAPORAN EVALUASI DIRI</t>
  </si>
  <si>
    <r>
      <rPr>
        <b/>
        <sz val="12"/>
        <color theme="0"/>
        <rFont val="Calibri"/>
        <family val="2"/>
        <scheme val="minor"/>
      </rPr>
      <t xml:space="preserve">PETUNJUK PENGISIAN: SEL YANG DIISI PRODI HANYA YANG BERWARNA </t>
    </r>
    <r>
      <rPr>
        <b/>
        <sz val="12"/>
        <color rgb="FFFFFF00"/>
        <rFont val="Calibri"/>
        <family val="2"/>
        <scheme val="minor"/>
      </rPr>
      <t>KUNING</t>
    </r>
  </si>
  <si>
    <t>Deskripsi dan penjelasan tentang indikator yang terkait</t>
  </si>
  <si>
    <t>Deskripsi identifikasi risiko tentang indikator yang terkait</t>
  </si>
  <si>
    <t>KERTAS KERJA AUDIT MUTU INTERNAL</t>
  </si>
  <si>
    <t>AUDIT MUTU INTERNAL</t>
  </si>
  <si>
    <t>Jumlah DTPS yang memiliki sertifikat kompetensi/profesi/industri</t>
  </si>
  <si>
    <t>Prosentase DTPS yang memiliki sertifikat kompetensi/profesi/industri</t>
  </si>
  <si>
    <t>Jumlah mata kuliah kompetensi yang diampu oleh dosen industri/ praktisi.</t>
  </si>
  <si>
    <t>Jumlah mata kuliah kompetensi</t>
  </si>
  <si>
    <t>Sertifikasi kompetensi/profesi/ industri DTPS.
Tabel 3.a.1) LKPS</t>
  </si>
  <si>
    <t>Sertifikasi kompetensi/profesi/industri DTPS.</t>
  </si>
  <si>
    <t>Keterlibatan dosen industri/ praktisi.
Tabel 3.a.5) LKPS</t>
  </si>
  <si>
    <t>Persentase  mata kuliah kompetensi yang diampu oleh dosen industri/praktisi</t>
  </si>
  <si>
    <t>Keterlibatan dosen industri/praktisi.</t>
  </si>
  <si>
    <t>Produk/jasa yang diadopsi oleh industri/masyarakat dalam 3 tahun terakhir.</t>
  </si>
  <si>
    <t>Jumlah produk/jasa yang diadopsi oleh industri/masyarakat dalam 3 tahun terakhir.</t>
  </si>
  <si>
    <t>Rerata  produk/jasa yang diadopsi oleh industri/masyarakat dalam 3 tahun terakhir</t>
  </si>
  <si>
    <t>Produk/jasa DTPS yang diadopsi oleh industri/ masyarakat</t>
  </si>
  <si>
    <t>Produk/jasa karya DTPS yang diadopsi oleh industri/masyarakat dalam 3 tahun terakhir.
Tabel 3.b.6) LKPS</t>
  </si>
  <si>
    <t>C.9.4.b) Luaran Dharma Penelitian dan PkM 
Pagelaran/pameran/presentasi/ publikasi ilmiah mahasiswa, yang dihasilkan secara mandiri atau bersama DTPS, dengan judul yang relevan dengan bidang program studi dalam 3 tahun terakhir.
Tabel 8.f.1) LKPS</t>
  </si>
  <si>
    <t>Produk/jasa karya mahasiswa, yang dihasilkan secara
mandiri atau bersama DTPS, yang diadopsi oleh industri/ masyarakat dalam 3 tahun terakhir.
Tabel 8.f.3) LKPS</t>
  </si>
  <si>
    <t>Produk/jasa karya mahasiswa, yang dihasilkan secara
mandiri atau bersama DTPS, yang diadopsi oleh industri/masyarakat dalam 3 tahun terakhir.</t>
  </si>
  <si>
    <t>Jumlah produk/jasa karya mahasiswa yang diadopsi oleh industri/masyarakat dalam 3 tahun terakhir.</t>
  </si>
  <si>
    <t>Produk/jasa karya mahasiswa yang diadopsi oleh industri/ masyarakat</t>
  </si>
  <si>
    <t>(1)Data mahasiswa asing</t>
  </si>
  <si>
    <t>(1)Data jumlah dosen program studi
(2)Data jumlah mahasiswa program studi</t>
  </si>
  <si>
    <t>(1)Rekap penelitian DTPS
(2)Bukti sumber dana penelitian DTPS</t>
  </si>
  <si>
    <t>(1)Kurikulum program studi
(2)Modul praktikum
(3)Laporan praktikum mahasiswa</t>
  </si>
  <si>
    <t>(1)Rekap PkM dosen bersama mahasiswa
(2)Bukti laporan PkM dosen bersama mahasiswa</t>
  </si>
  <si>
    <t>(1)Rekap non prestasi akademik mahasiswa
(2)Bukti prestasi non akademik mahasiswa</t>
  </si>
  <si>
    <t>(1)Data lulusan 4 tahun terakhir
(2)Data waktu tunggu lulusan</t>
  </si>
  <si>
    <t>(1)Data lulusan 4 tahun terakhir
(2)Data jenis pekerjaan lulusan</t>
  </si>
  <si>
    <t>B. Perwujudan good governance dan pemenuhan lima pilar sistem tata pamong, yang mencakup:
1) Kredibel
2) Transparan
3) Akuntabel
4) Bertanggung jawab
5) Adil.</t>
  </si>
  <si>
    <r>
      <t>N</t>
    </r>
    <r>
      <rPr>
        <vertAlign val="subscript"/>
        <sz val="11"/>
        <color rgb="FF000000"/>
        <rFont val="Calibri"/>
        <family val="2"/>
        <scheme val="minor"/>
      </rPr>
      <t>C1</t>
    </r>
    <r>
      <rPr>
        <sz val="11"/>
        <color indexed="8"/>
        <rFont val="Calibri"/>
        <family val="2"/>
        <scheme val="minor"/>
      </rPr>
      <t xml:space="preserve"> = Jumlah pagelaran/pameran/presentasi dalam forum di tingkat wilayah.</t>
    </r>
  </si>
  <si>
    <r>
      <t>N</t>
    </r>
    <r>
      <rPr>
        <vertAlign val="subscript"/>
        <sz val="11"/>
        <color rgb="FF000000"/>
        <rFont val="Calibri"/>
        <family val="2"/>
        <scheme val="minor"/>
      </rPr>
      <t>C2</t>
    </r>
    <r>
      <rPr>
        <sz val="11"/>
        <color indexed="8"/>
        <rFont val="Calibri"/>
        <family val="2"/>
        <scheme val="minor"/>
      </rPr>
      <t xml:space="preserve"> = Jumlah pagelaran/pameran/presentasi dalam forum di tingkat nasional.</t>
    </r>
  </si>
  <si>
    <r>
      <t>N</t>
    </r>
    <r>
      <rPr>
        <vertAlign val="subscript"/>
        <sz val="11"/>
        <color rgb="FF000000"/>
        <rFont val="Calibri"/>
        <family val="2"/>
        <scheme val="minor"/>
      </rPr>
      <t>C3</t>
    </r>
    <r>
      <rPr>
        <sz val="11"/>
        <color indexed="8"/>
        <rFont val="Calibri"/>
        <family val="2"/>
        <scheme val="minor"/>
      </rPr>
      <t xml:space="preserve"> = Jumlah pagelaran/pameran/presentasi dalam forum di tingkat internasional.</t>
    </r>
  </si>
  <si>
    <t>Publikasi di Jurnal Nasional Tidak Terakreditasi</t>
  </si>
  <si>
    <t>Publikasi di Jurnal Nasional Terakreditasi</t>
  </si>
  <si>
    <t>Publikasi di Jurnal Internasional</t>
  </si>
  <si>
    <t>Publikasi di Jurnal Internasional Bereputasi</t>
  </si>
  <si>
    <t>Publikasi di Seminar Nasional</t>
  </si>
  <si>
    <t>Publikasi di Seminar Internasional</t>
  </si>
  <si>
    <t>Penelitian DTPS yang menjadi rujukan tema tesis/disertasi mahasiswa program studi dalam 3 tahun terakhir.</t>
  </si>
  <si>
    <t>Persentase penelitian DTPS yang digunakan sebagai rujukan tesis mahasiswa</t>
  </si>
  <si>
    <t>Jumlah judul penelitian DTPS yang menjadi rujukan tema tesis mahasiswa program studi dalam 3 tahun terakhir</t>
  </si>
  <si>
    <t>Penelitian DTPS yang menjadi rujukan tema tesis/disertasi mahasiswa program studi dalam 3 tahun terakhir.
Tabel 6.b LKPS</t>
  </si>
  <si>
    <t>Artikel karya ilmiah mahasiswa, yang dihasilkan secara mandiri atau bersama DTPS, yang disitasi dalam 3 tahun terakhir.
Tabel 8.f.2) LKPS</t>
  </si>
  <si>
    <t>Artikel karya ilmiah mahasiswa, yang dihasilkan secara mandiri atau bersama DTPS, yang disitasi dalam 3 tahun terakhir.</t>
  </si>
  <si>
    <t>Artikel karya ilmiah
mahasiswa, yang
dihasilkan secara
mandiri atau bersama
DTPS, yang disitasi
dalam 3 tahun terakhir</t>
  </si>
  <si>
    <t>Jumlah artikel mahasiswa yang disitasi dalam 3 tahun terakhir.</t>
  </si>
  <si>
    <t>Tabel Jumlah Kegiatan Nonkurikuler Mahasiswa</t>
  </si>
  <si>
    <t>Tabel Jumlah Produk/Jasa DTPS yang diadopsi oleh industri/masyarakat</t>
  </si>
  <si>
    <t>Tabel Jumlah Prestasi Non Akademik</t>
  </si>
  <si>
    <t>Untuk D3 dan D4</t>
  </si>
  <si>
    <t>d) menjadi tenaga ahli/ konsultan di lembaga/industri tingkat wilayah/nasional/ internasional pada bidang yang sesuai dengan bidang program studi</t>
  </si>
  <si>
    <t>d) menjadi staf ahli/ narasumber di lembaga tingkat wilayah/nasional/ internasional pada bidang yang sesuai dengan bidang program studi</t>
  </si>
  <si>
    <t>Untuk S1, S2 dan S3</t>
  </si>
  <si>
    <t>Tulisan di Media Massa Wilayah</t>
  </si>
  <si>
    <t>Tulisan di Media Massa Nasional</t>
  </si>
  <si>
    <t>Tulisan di Media Massa Internasional</t>
  </si>
  <si>
    <t>S1 - S3</t>
  </si>
  <si>
    <t>D3 dan D4</t>
  </si>
  <si>
    <t>Tabel Jumlah Pagelaran/Pameran/Presentasi/Publikasi Ilmiah DTPS</t>
  </si>
  <si>
    <t>Jurnal Nasional Tidak Terakreditasi</t>
  </si>
  <si>
    <t>Jurnal Nasional Terakreditasi</t>
  </si>
  <si>
    <t>Jurnal Internasional</t>
  </si>
  <si>
    <t>Jurnal Internasional Bereputasi</t>
  </si>
  <si>
    <t>Seminar Wilayah/Lokal/ Perguruan Tinggi</t>
  </si>
  <si>
    <t>Seminar Nasional</t>
  </si>
  <si>
    <t>Seminar Internasional</t>
  </si>
  <si>
    <t>Pagelaran/pameran/ presentasi dalam forum di tingkat Wilayah</t>
  </si>
  <si>
    <t>Pagelaran/pameran/ presentasi dalam forum di tingkat Nasional</t>
  </si>
  <si>
    <t>Pagelaran/pameran/ presentasi dalam forum di tingkat Internasional</t>
  </si>
  <si>
    <t>Publikasi di Seminar Wilayah/Lokal/Perguruan Tinggi</t>
  </si>
  <si>
    <t>D4 - S3</t>
  </si>
  <si>
    <t>D3 - S1</t>
  </si>
  <si>
    <t>Tabel Jumlah PKM DTPS yang Melibatkan Mahasiswa</t>
  </si>
  <si>
    <t>S2 - S3</t>
  </si>
  <si>
    <t>Cek Tabel 8.d.1 LKPS</t>
  </si>
  <si>
    <t>D3 - S2</t>
  </si>
  <si>
    <t>S1-S3</t>
  </si>
  <si>
    <t>Tabel Jumlah Pagelaran/Pameran/Presentasi/Publikasi Ilmiah Mahasiswa</t>
  </si>
  <si>
    <t>Jurnal nasional tidak terakreditasi.</t>
  </si>
  <si>
    <t>Jurnal nasional terakreditasi.</t>
  </si>
  <si>
    <t>Jurnal internasional.</t>
  </si>
  <si>
    <t>Jurnal internasional bereputasi.</t>
  </si>
  <si>
    <t>Publikasi di seminar wilayah/lokal/Perguruan Tinggi.</t>
  </si>
  <si>
    <t>Publikasi di seminar nasional.</t>
  </si>
  <si>
    <t>Publikasi di seminar internasional.</t>
  </si>
  <si>
    <t>Pagelaran/pameran/ presentasi dalam forum di wilayah.</t>
  </si>
  <si>
    <t>Pagelaran/pameran/ presentasi dalam forum di nasional.</t>
  </si>
  <si>
    <t>Pagelaran/pameran/ presentasi dalam forum di internasional.</t>
  </si>
  <si>
    <t>D3 - D4</t>
  </si>
  <si>
    <t>Tabel Jumlah Produk/Jasa Yang Dihasilkan Mahasiswa yang diadopsi oleh industri/masyarakat</t>
  </si>
  <si>
    <t>A. Peningkatan animo calon mahasiswa.</t>
  </si>
  <si>
    <t>(1) Sertifikasi profesi/kompetensi/ industri DTPS.</t>
  </si>
  <si>
    <t>(1) Data dosen tetap dan tidak tetap
(2) Ijazah dosen tetap dan tidak tetap
(3 )SK Jafa dosen tetap dan tidak tetap
(4) Sertifikat pendidik dosen tetap dan tidak tetap</t>
  </si>
  <si>
    <t>(1) SK/Penugasan/Bukti lain tentang keterlibatan dosen industri/praktisi
(2) Dokumentasi pembelajaran yang melibatkan dosen industri/praktisi</t>
  </si>
  <si>
    <t>(1) Daftar Produk/jasa yang diadopsi oleh industri/masyarakat
(2) Dokumentasi penggunaan produk oleh masyarakat</t>
  </si>
  <si>
    <t>(1) Rekap luaran penelitian dan PkM DTPS
(2) Bukti luaran penelitian dan PkM DTPS</t>
  </si>
  <si>
    <t>Skor min. = 2,5</t>
  </si>
  <si>
    <r>
      <rPr>
        <b/>
        <sz val="11"/>
        <color rgb="FF000000"/>
        <rFont val="Calibri"/>
        <family val="2"/>
      </rPr>
      <t xml:space="preserve">Profil Unit Pengelola Program Studi
</t>
    </r>
    <r>
      <rPr>
        <sz val="11"/>
        <color rgb="FF000000"/>
        <rFont val="Calibri"/>
        <family val="2"/>
      </rPr>
      <t>Keserbacakupan informasi dalam profil dan konsistensi antara profil dengan data dan informasi yang disampaikan pada masing-masing kriteria, serta menunjukkan iklim yang kondusif untuk pengembangan dan reputasi sebagai rujukan di bidang keilmuannya.</t>
    </r>
  </si>
  <si>
    <r>
      <t xml:space="preserve">C.2 
Tata Pamong, Tata Kelola, dan Kerjasama
</t>
    </r>
    <r>
      <rPr>
        <sz val="11"/>
        <color theme="1"/>
        <rFont val="Calibri"/>
        <family val="2"/>
        <scheme val="minor"/>
      </rPr>
      <t>C.2.4 
Indikator Kinerja Utama
C.2.4.a) 
Sistem Tata Pamong</t>
    </r>
  </si>
  <si>
    <t>C.2.4.b) 
Kepemimpinan dan Kemampuan Manajerial</t>
  </si>
  <si>
    <t>C.2.4.c) 
Kerjasama</t>
  </si>
  <si>
    <t>C.2.5 
Indikator Kinerja Tambahan</t>
  </si>
  <si>
    <t>C.2.6 
Evaluasi Capaian Kinerja</t>
  </si>
  <si>
    <t>PMA</t>
  </si>
  <si>
    <t>Kecukupan jumlah DTPS.</t>
  </si>
  <si>
    <t>Ekuivalensi Waktu Mengajar Penuh DTPS.</t>
  </si>
  <si>
    <t>Total perolehan dana PkM dalam 3 tahun terakhir (dalam juta)</t>
  </si>
  <si>
    <t>Total perolehan dana penelitian dalam 3 tahun terakhir (dalam juta)</t>
  </si>
  <si>
    <t>Total dana operasional pendidikan dalam 3 tahun terakhir (dalam juta)</t>
  </si>
  <si>
    <t>Jumlah mata kuliah</t>
  </si>
  <si>
    <t>Jumlah mata kuliah yang dikembangkan dari Penelitian/PkM dalam 3 tahun terakhir</t>
  </si>
  <si>
    <t>MKI = Jumlah mata kuliah yang dikembangkan berdasarkan hasil penelitian/PkM DTPS dalam 3 tahun terakhir.</t>
  </si>
  <si>
    <t>MK = Jumlah mata kuliah.</t>
  </si>
  <si>
    <t>Jumlah lulusan pada akhir TS dari mahasiswa tahun masuk TS-2</t>
  </si>
  <si>
    <t>Rata-rata masa studi lulusan dari mahasiswa tahun masuk TS-2 (Tahun)</t>
  </si>
  <si>
    <t>Jumlah lulusan pada akhir TS dari mahasiswa tahun masuk TS-1</t>
  </si>
  <si>
    <t>Rata-rata masa studi lulusan dari mahasiswa tahun masuk TS-1 (Tahun)</t>
  </si>
  <si>
    <t>Jumlah Mahasiswa Diterima pada TS-2</t>
  </si>
  <si>
    <t>Jumlah Mahasiswa Diterima pada TS-1</t>
  </si>
  <si>
    <t>Tabel 8.e.1 LKPS</t>
  </si>
  <si>
    <t>Publikasi ilmiah mahasiswa, yang dihasilkan secara mandiri atau bersama DTPS, dengan judul yang relevan dengan bidang program studi dalam 3 tahun terakhir.</t>
  </si>
  <si>
    <t>PROGRAM MAGISTER</t>
  </si>
  <si>
    <t>PRODI S2</t>
  </si>
  <si>
    <t xml:space="preserve">UPPS memiliki dokumen tentang sistem penerimaan mahasiswa baru yang lengkap, mencakup: kebijakan seleksi, kriteria seleksi, sistem pengambilan keputusan, dan prosedur penerimaan, yang dilaksanakan secara konsisten. </t>
  </si>
  <si>
    <t>UPPS memiliki dokumen tentang sistem penerimaan mahasiswa baru yang lengkap, mencakup: kebijakan seleksi, kriteria seleksi, sistem pengambilan keputusan, dan prosedur penerimaan.</t>
  </si>
  <si>
    <t>UPPS memiliki dokumen tentang sistem penerimaan mahasiswa baru yang kurang lengkap.</t>
  </si>
  <si>
    <t>UPPS tidak memiliki dokumen tentang sistem penerimaan mahasiswa baru.</t>
  </si>
  <si>
    <t>B. Kriteria penerimaan mahasiswa.</t>
  </si>
  <si>
    <t>Persyaratan penerimaan mahasiswa sangat tinggi, ditunjukkan oleh syarat: IPK ≥ 3,00 , TPA ≥ 475 (skala 1 -700) , dan TOEFL ≥ 475 (skala 1 - 700) .</t>
  </si>
  <si>
    <t>Persyaratan penerimaan mahasiswa tinggi, ditunjukkan oleh syarat: IPK ≥ 2,75 , TPA ≥ 450 (skala 1 -700) , dan TOEFL ≥ 450 (skala 1 - 700) .</t>
  </si>
  <si>
    <t>Persyaratan penerimaan mahasiswa ditunjukkan oleh syarat: IPK ≥ 2,50 , TPA ≥ 425 (skala 1 -700) , dan TOEFL ≥ 425 (skala 1 - 700) .</t>
  </si>
  <si>
    <t>Persyaratan penerimaan mahasiswa ditunjukkan hanya oleh syarat IPK ≥ 2,00 .</t>
  </si>
  <si>
    <t>Persyaratan penerimaan mahasiswa tidak jelas, yang memungkinkan penerimaan mahasiswa tanpa syarat.</t>
  </si>
  <si>
    <t>C. Proses seleksi.</t>
  </si>
  <si>
    <t>Proses seleksi menggunakan ujian tertulis dan wawancara untuk mengetahui kemampuan intelektual dan motivasi calon mahasiswa.</t>
  </si>
  <si>
    <t>Proses seleksi menggunakan ujian tertulis atau wawancara untuk mengetahui kemampuan intelektual dan motivasi calon mahasiswa.</t>
  </si>
  <si>
    <t>Proses seleksi tidak digunakan untuk mengetahui kemampuan intelektual dan motivasi calon mahasiswa.</t>
  </si>
  <si>
    <t>A. Metoda rekrutmen dan keketatan seleksi.</t>
  </si>
  <si>
    <t>B. Mahasiswa asing.</t>
  </si>
  <si>
    <t>SKOR AUDITOR MUTU</t>
  </si>
  <si>
    <t>DESKRIPSI TEMUAN AUDITOR MUTU INTERNAL</t>
  </si>
  <si>
    <t>REKOMENDASI AUDITOR MUTU INTERNAL</t>
  </si>
  <si>
    <t>Deskripsi temuan auditor mutu internal tentang indikator yang terkait</t>
  </si>
  <si>
    <t>Rekomendasi auditor mutu internal berkaitan dengan hasil temuan</t>
  </si>
  <si>
    <t>Nama Auditor Mutu Internal:</t>
  </si>
  <si>
    <t>Jumlah dosen tetap yang terlibat dalam penyelenggaraan pendidikan (NDT)</t>
  </si>
  <si>
    <t>Jumlah dosen pengampu matakuliah inti program studi (NDTPS)</t>
  </si>
  <si>
    <t>Dosen DTPS berpendidikan S3</t>
  </si>
  <si>
    <t>Dosen DTPS berjafa GB</t>
  </si>
  <si>
    <t>Dosen DTPS berjafa LK</t>
  </si>
  <si>
    <t>Dosen DTPS berjafa L</t>
  </si>
  <si>
    <t>Dosen DTPS yang memiliki sertifikat kompetensi/profesi/ industri.</t>
  </si>
  <si>
    <t>Tabel 1 Jumlah Kerjasama Tridharma</t>
  </si>
  <si>
    <t>Tabel 3 Jumlah Mahasiswa Asing</t>
  </si>
  <si>
    <t>Tabel 4 Jumlah Dosen Tetap Program Studi</t>
  </si>
  <si>
    <t>Tabel 5 Dosen Pembimbing Utama Tugas Akhir</t>
  </si>
  <si>
    <t>Tabel 6 Keuangan, Sarana dan Prasarana</t>
  </si>
  <si>
    <t>Tabel 7 Jumlah Penelitian berdasarkan Sumber Pendanaannya</t>
  </si>
  <si>
    <t>Tabel 8 Jumlah PkM berdasarkan Sumber Pendanaannya</t>
  </si>
  <si>
    <t>Tabel 9 Jumlah Publikasi Ilmiah DTPS</t>
  </si>
  <si>
    <t xml:space="preserve">Tabel 10 Jumlah Karya ilmiah DTPS yang disitasi </t>
  </si>
  <si>
    <t>Tabel 11 Jumlah Luaran Penelitian dan PkM DTPS</t>
  </si>
  <si>
    <t>Tabel 12 Jumlah matakuliah yang dikembangkan dari Penelitian/PkM</t>
  </si>
  <si>
    <t>Tabel 13 Hasil Survei Kepuasan Mahasiswa Terhadap Proses Pendidikan</t>
  </si>
  <si>
    <t>Tabel 14 Jumlah Penelitian DTPS yang Melibatkan Mahasiswa</t>
  </si>
  <si>
    <t>Tabel 15 Jumlah Penelitian DTPS yang menjadi rujukan tema tesis/disertasi</t>
  </si>
  <si>
    <t>Tabel 16 IPK Lulusan</t>
  </si>
  <si>
    <t>Tabel 17 Jumlah Prestasi Akademik</t>
  </si>
  <si>
    <t>Tabel 19 Masa Studi Lulusan</t>
  </si>
  <si>
    <t>Tabel 20 Kesesuaian Bidang Kerja Lulusan</t>
  </si>
  <si>
    <t>Tabel 21 Hasil Survei Kepuasan Pengguna Lulusan</t>
  </si>
  <si>
    <t>Tabel 22 Jumlah Publikasi Ilmiah Mahasiswa</t>
  </si>
  <si>
    <t>Tabel 23 Jumlah Karya Ilmiah Mahasiswa yang disitasi</t>
  </si>
  <si>
    <t>Tabel 24 Jumlah Luaran Penelitian dan PkM Mahasiswa</t>
  </si>
  <si>
    <t>A. Ketersediaan layanan kemahasiswaan dalam bentuk: 
1) bimbingan dan konseling, 
2) layanan beasiswa, dan 
3) layanan kesehatan.</t>
  </si>
  <si>
    <t>NDTPS = Jumlah dosen tetap yang ditugaskan sebagai pengampu mata kuliah dengan bidang keahlian yang sesuai dengan kompetensi inti program studi yang diakreditasi.</t>
  </si>
  <si>
    <t>Nama UPPS :</t>
  </si>
  <si>
    <t>Fakultas/Departemen A</t>
  </si>
  <si>
    <t>Tabel 2  Seleksi Mahasiswa Baru</t>
  </si>
  <si>
    <t>Jumlah Rekognisi DTPS dalam 3 tahun terakhir (dihitung per DTPS, bisa memilih salah satu)</t>
  </si>
  <si>
    <r>
      <t xml:space="preserve">PETUNJUK PENGISIAN: SEL YANG DIISI PRODI HANYA YANG BERWARNA </t>
    </r>
    <r>
      <rPr>
        <b/>
        <sz val="12"/>
        <color rgb="FFFFFF00"/>
        <rFont val="Calibri"/>
        <family val="2"/>
        <scheme val="minor"/>
      </rPr>
      <t>KUNING</t>
    </r>
    <r>
      <rPr>
        <b/>
        <sz val="12"/>
        <color theme="0"/>
        <rFont val="Calibri"/>
        <family val="2"/>
        <scheme val="minor"/>
      </rPr>
      <t xml:space="preserve">, SEL YANG DIISI auditor mutu INTERNAL HANYA YANG BERWARNA </t>
    </r>
    <r>
      <rPr>
        <b/>
        <sz val="12"/>
        <color rgb="FF00B0F0"/>
        <rFont val="Calibri"/>
        <family val="2"/>
        <scheme val="minor"/>
      </rPr>
      <t>BIRU</t>
    </r>
  </si>
  <si>
    <r>
      <rPr>
        <b/>
        <sz val="9.5"/>
        <rFont val="Calibri"/>
        <family val="1"/>
      </rPr>
      <t>HASIL PENILAIAN PEMANTAUAN TAHAP 1</t>
    </r>
  </si>
  <si>
    <r>
      <rPr>
        <sz val="8.5"/>
        <rFont val="Calibri"/>
        <family val="1"/>
      </rPr>
      <t>Nilai Pemantauan Tahap 1</t>
    </r>
  </si>
  <si>
    <r>
      <rPr>
        <sz val="8.5"/>
        <rFont val="Calibri"/>
        <family val="1"/>
      </rPr>
      <t>Syarat Perlu Perpanjangan Tahap 1</t>
    </r>
  </si>
  <si>
    <r>
      <rPr>
        <sz val="8.5"/>
        <rFont val="Calibri"/>
        <family val="1"/>
      </rPr>
      <t>a. Syarat Perlu Peringkat Unggul</t>
    </r>
  </si>
  <si>
    <r>
      <rPr>
        <sz val="8.5"/>
        <rFont val="Calibri"/>
        <family val="1"/>
      </rPr>
      <t>b. Syarat Perlu Peringkat Baik Sekali</t>
    </r>
  </si>
  <si>
    <r>
      <rPr>
        <b/>
        <sz val="9.5"/>
        <rFont val="Calibri"/>
        <family val="1"/>
      </rPr>
      <t>PENILAIAN SYARAT PERLU PERPANJANGAN TAHAP 1</t>
    </r>
  </si>
  <si>
    <r>
      <rPr>
        <b/>
        <sz val="8.5"/>
        <rFont val="Calibri"/>
        <family val="1"/>
      </rPr>
      <t>NO.</t>
    </r>
  </si>
  <si>
    <r>
      <rPr>
        <b/>
        <sz val="8.5"/>
        <rFont val="Calibri"/>
        <family val="1"/>
      </rPr>
      <t>ELEMEN</t>
    </r>
  </si>
  <si>
    <r>
      <rPr>
        <b/>
        <sz val="8.5"/>
        <rFont val="Calibri"/>
        <family val="1"/>
      </rPr>
      <t>INDIKATOR</t>
    </r>
  </si>
  <si>
    <r>
      <rPr>
        <b/>
        <sz val="8.5"/>
        <rFont val="Calibri"/>
        <family val="1"/>
      </rPr>
      <t>PENILAIAN</t>
    </r>
  </si>
  <si>
    <r>
      <rPr>
        <b/>
        <sz val="8.5"/>
        <rFont val="Calibri"/>
        <family val="1"/>
      </rPr>
      <t>Mahasiswa</t>
    </r>
  </si>
  <si>
    <r>
      <rPr>
        <sz val="8.5"/>
        <rFont val="Calibri"/>
        <family val="1"/>
      </rPr>
      <t xml:space="preserve">Jumlah mahasiswa baru dalam 3 tahun terakhir TS-2 s.d. TS).
</t>
    </r>
    <r>
      <rPr>
        <sz val="8.5"/>
        <rFont val="Calibri"/>
        <family val="1"/>
      </rPr>
      <t>Tabel 1.a</t>
    </r>
  </si>
  <si>
    <r>
      <rPr>
        <sz val="8.5"/>
        <rFont val="Calibri"/>
        <family val="1"/>
      </rPr>
      <t>NMBR2 = Jumlah mahasiswa baru reguler pada TS-2</t>
    </r>
  </si>
  <si>
    <r>
      <rPr>
        <sz val="8.5"/>
        <rFont val="Calibri"/>
        <family val="1"/>
      </rPr>
      <t>NMBR1 = Jumlah mahasiswa baru reguler pada TS-1</t>
    </r>
  </si>
  <si>
    <r>
      <rPr>
        <sz val="8.5"/>
        <rFont val="Calibri"/>
        <family val="1"/>
      </rPr>
      <t>NMBR = Jumlah mahasiswa baru reguler pada TS</t>
    </r>
  </si>
  <si>
    <r>
      <rPr>
        <sz val="8.5"/>
        <rFont val="Calibri"/>
        <family val="1"/>
      </rPr>
      <t>PP = Persentase penurunan jumlah mahasiswa baru</t>
    </r>
  </si>
  <si>
    <r>
      <rPr>
        <sz val="8.5"/>
        <rFont val="Calibri"/>
        <family val="1"/>
      </rPr>
      <t>NTMB = Banyaknya tahun akademik dimana mahasiswa baru terdaftar</t>
    </r>
  </si>
  <si>
    <r>
      <rPr>
        <b/>
        <sz val="8.5"/>
        <rFont val="Calibri"/>
        <family val="1"/>
      </rPr>
      <t>Dosen</t>
    </r>
  </si>
  <si>
    <r>
      <rPr>
        <sz val="8.5"/>
        <rFont val="Calibri"/>
        <family val="1"/>
      </rPr>
      <t xml:space="preserve">Kecukupan jumlah dosen tetap yang mengampu mata kuliah di program studi pada saat TS.
</t>
    </r>
    <r>
      <rPr>
        <sz val="8.5"/>
        <rFont val="Calibri"/>
        <family val="1"/>
      </rPr>
      <t>Tabel 2.a</t>
    </r>
  </si>
  <si>
    <r>
      <rPr>
        <sz val="8.5"/>
        <rFont val="Calibri"/>
        <family val="1"/>
      </rPr>
      <t>NDT = Jumlah dosen tetap yang mengampu mata kuliah di program studi pada saat TS</t>
    </r>
  </si>
  <si>
    <r>
      <rPr>
        <sz val="8.5"/>
        <rFont val="Calibri"/>
        <family val="1"/>
      </rPr>
      <t xml:space="preserve">Batas maksimum keterlibatan dosen tidak tetap yang mengampu mata kuliah di program studi pada saat TS.
</t>
    </r>
    <r>
      <rPr>
        <sz val="8.5"/>
        <rFont val="Calibri"/>
        <family val="1"/>
      </rPr>
      <t>Tabel 2.a, Tabel 2.b</t>
    </r>
  </si>
  <si>
    <r>
      <rPr>
        <sz val="8.5"/>
        <rFont val="Calibri"/>
        <family val="1"/>
      </rPr>
      <t>NDTT = Jumlah dosen tidak tetap yang mengampu mata kuliah di program studi pada saat TS</t>
    </r>
  </si>
  <si>
    <r>
      <rPr>
        <sz val="8.5"/>
        <rFont val="Calibri"/>
        <family val="1"/>
      </rPr>
      <t>PDTT = (NDTT / (NDTT + NDT)) x 100%</t>
    </r>
  </si>
  <si>
    <r>
      <rPr>
        <sz val="8.5"/>
        <rFont val="Calibri"/>
        <family val="1"/>
      </rPr>
      <t xml:space="preserve">Rasio jumlah mahasiswa program studi terhadap jumlah dosen tetap.
</t>
    </r>
    <r>
      <rPr>
        <sz val="8.5"/>
        <rFont val="Calibri"/>
        <family val="1"/>
      </rPr>
      <t>Tabel 1.a, Tabel 2.a</t>
    </r>
  </si>
  <si>
    <r>
      <rPr>
        <sz val="8.5"/>
        <rFont val="Calibri"/>
        <family val="1"/>
      </rPr>
      <t>NM = Jumlah mahasiswa aktif pada saat TS</t>
    </r>
  </si>
  <si>
    <r>
      <rPr>
        <sz val="8.5"/>
        <rFont val="Calibri"/>
        <family val="1"/>
      </rPr>
      <t>RMDT = NM / NDT</t>
    </r>
  </si>
  <si>
    <r>
      <rPr>
        <b/>
        <sz val="8.5"/>
        <rFont val="Calibri"/>
        <family val="1"/>
      </rPr>
      <t>Lulusan</t>
    </r>
  </si>
  <si>
    <r>
      <rPr>
        <sz val="8.5"/>
        <rFont val="Calibri"/>
        <family val="1"/>
      </rPr>
      <t xml:space="preserve">Jumlah lulusan dalam 3 tahun terakhir (TS-2 s.d. TS).
</t>
    </r>
    <r>
      <rPr>
        <sz val="8.5"/>
        <rFont val="Calibri"/>
        <family val="1"/>
      </rPr>
      <t>Tabel 3.a</t>
    </r>
  </si>
  <si>
    <r>
      <rPr>
        <sz val="8.5"/>
        <rFont val="Calibri"/>
        <family val="1"/>
      </rPr>
      <t>NL2 = Jumlah lulusan pada TS-2</t>
    </r>
  </si>
  <si>
    <r>
      <rPr>
        <sz val="8.5"/>
        <rFont val="Calibri"/>
        <family val="1"/>
      </rPr>
      <t>NL1 = Jumlah lulusan pada TS-1</t>
    </r>
  </si>
  <si>
    <r>
      <rPr>
        <sz val="8.5"/>
        <rFont val="Calibri"/>
        <family val="1"/>
      </rPr>
      <t>NL = Jumlah lulusan pada TS</t>
    </r>
  </si>
  <si>
    <r>
      <rPr>
        <sz val="8.5"/>
        <rFont val="Calibri"/>
        <family val="1"/>
      </rPr>
      <t>PP = Persentase penurunan jumlah lulusan</t>
    </r>
  </si>
  <si>
    <r>
      <rPr>
        <sz val="8.5"/>
        <rFont val="Calibri"/>
        <family val="1"/>
      </rPr>
      <t>NTL = Banyaknya tahun akademik dimana ada lulusan</t>
    </r>
  </si>
  <si>
    <t>PEMANTAUAN DAN EVALUASI PERINGKAT AKREDITASI PROGRAM STUDI</t>
  </si>
  <si>
    <t>PENILAIAN PEMANTAUAN TAHAP 1</t>
  </si>
  <si>
    <t>ASESMEN KECUKUPAN</t>
  </si>
  <si>
    <t>PENILAIAN KONVERSI PERINGKAT AKREDITASI - APS 4.0</t>
  </si>
  <si>
    <t>Peringkat Terakreditasi (Instrumen APS 7 Standar):</t>
  </si>
  <si>
    <t>HASIL PENILAIAN:</t>
  </si>
  <si>
    <t>BUTIR</t>
  </si>
  <si>
    <t>SKOR MINIMAL 
UNTUK KONVERSI PERINGKAT</t>
  </si>
  <si>
    <t>PEMENUHAN SYARAT 
KONVERSI PERINGKAT</t>
  </si>
  <si>
    <t>BAIK</t>
  </si>
  <si>
    <t>BAIK SEKALI</t>
  </si>
  <si>
    <t>UNGGUL</t>
  </si>
  <si>
    <r>
      <rPr>
        <b/>
        <sz val="10"/>
        <color rgb="FF000000"/>
        <rFont val="Calibri"/>
        <family val="2"/>
      </rPr>
      <t>1 Dosen Tetap</t>
    </r>
    <r>
      <rPr>
        <sz val="10"/>
        <color rgb="FF000000"/>
        <rFont val="Calibri"/>
        <family val="2"/>
      </rPr>
      <t xml:space="preserve">
Kecukupan jumlah DTPS.
Tabel 1 DT dan DTPS</t>
    </r>
  </si>
  <si>
    <t>Jabatan akademik DTPS.
Tabel 1 DT dan DTPS</t>
  </si>
  <si>
    <r>
      <rPr>
        <b/>
        <sz val="10"/>
        <color rgb="FF000000"/>
        <rFont val="Calibri"/>
        <family val="2"/>
      </rPr>
      <t>2 Kurikulum</t>
    </r>
    <r>
      <rPr>
        <sz val="10"/>
        <color rgb="FF000000"/>
        <rFont val="Calibri"/>
        <family val="2"/>
      </rPr>
      <t xml:space="preserve">
A. Keterlibatan pemangku kepentingan dalam proses evaluasi dan pemutakhiran kurikulum.
B. Kesesuaian capaian pembelajaran dengan profil lulusan dan jenjang KKNI/SKKNI.
C. Ketepatan struktur kurikulum dalam pembentukan capaian pembelajaran.</t>
    </r>
  </si>
  <si>
    <r>
      <rPr>
        <b/>
        <sz val="10"/>
        <color rgb="FF000000"/>
        <rFont val="Calibri"/>
        <family val="2"/>
      </rPr>
      <t>3 Penjaminan Mutu</t>
    </r>
    <r>
      <rPr>
        <sz val="10"/>
        <color rgb="FF000000"/>
        <rFont val="Calibri"/>
        <family val="2"/>
      </rPr>
      <t xml:space="preserve">
3.1 Sistem Penjaminan Mutu Internal
Keterlaksanaan Sistem Penjaminan Mutu Internal (akademik dan nonakademik) yang dibuktikan dengan keberadaan 5 aspek: 1) dokumen legal pembentukan unsur pelaksana penjaminan mutu, 2) ketersediaan dokumen mutu: kebijakan SPMI, manual SPMI, standar SPMI, dan formulir SPMI, 3) terlaksananya siklus penjaminan mutu (siklus PPEPP), 4) bukti sahih efektivitas pelaksanaan penjaminan mutu, dan 5) memiliki external benchmarking dalam peningkatan mutu.</t>
    </r>
  </si>
  <si>
    <t>3.2 Pelampauan SN-DIKTI
Pelampauan SN-DIKTI yang ditetapkan oleh UPPS.</t>
  </si>
  <si>
    <r>
      <rPr>
        <b/>
        <sz val="10"/>
        <color rgb="FF000000"/>
        <rFont val="Calibri"/>
        <family val="2"/>
      </rPr>
      <t xml:space="preserve">4 Pelacakan Lulusan
</t>
    </r>
    <r>
      <rPr>
        <sz val="10"/>
        <color rgb="FF000000"/>
        <rFont val="Calibri"/>
        <family val="2"/>
      </rPr>
      <t xml:space="preserve">4.1 Sistem Pelacakan Lulusan
Pelaksanaan tracer study yang mencakup 5 aspek sebagai berikut: 1) pelaksanaan tracer study terkoordinasi di tingkat PT, 2) kegiatan tracer study dilakukan secara reguler setiap tahun dan terdokumentasi, 3) isi kuesioner mencakup seluruh pertanyaan inti tracer study DIKTI, 4) ditargetkan pada seluruh populasi (lulusan TS-4 s.d. TS-2), dan 5) hasilnya disosialisasikan dan digunakan untuk pengembangan kurikulum dan pembelajaran. </t>
    </r>
  </si>
  <si>
    <t>4.3 Kesesuaian Bidang Kerja
Kesesuaian bidang kerja lulusan saat mendapatkan pekerjaan pertama. 
Tabel 5 Kesesuaian Bidang Kerja Lulusan</t>
  </si>
  <si>
    <t>4.4 Kepuasan Pengguna
Tingkat kepuasan pengguna terhadap lulusan program studi.
Tabel 6 Responden Pengguna Luusan
Tabel 7 Tingkat Kepuasan Pengguna</t>
  </si>
  <si>
    <t xml:space="preserve">Jumlah butir yang memenuhi syarat konversi </t>
  </si>
  <si>
    <t>KEKUATAN</t>
  </si>
  <si>
    <t>No.</t>
  </si>
  <si>
    <t>FAKTOR STRATEGIS</t>
  </si>
  <si>
    <t>TOTAL SKOR</t>
  </si>
  <si>
    <t>TOTAL</t>
  </si>
  <si>
    <t>KELEMAHAN</t>
  </si>
  <si>
    <t xml:space="preserve">TOTAL SKOR AKHIR (KEKUATAN-KELEMAHAN) =  </t>
  </si>
  <si>
    <t>PELUANG</t>
  </si>
  <si>
    <t>ANCAMAN</t>
  </si>
  <si>
    <t xml:space="preserve">TOTAL SKOR AKHIR (PELUANG-ANCAMAN) =  </t>
  </si>
  <si>
    <t>Peringkat Terakreditasi :</t>
  </si>
  <si>
    <t>Konfirmasi Auditor</t>
  </si>
  <si>
    <t>5. Publikasi Ilmiah Mahasiswa
Publikasi ilmiah mahasiswa, yang dihasilkan secara mandiri atau bersama DTPS, dengan judul yang relevan dengan bidang program studi dalam 3 tahun terakhir.
Tabel 8.a) Publikasi Ilmiah Mahasiswa</t>
  </si>
  <si>
    <t>ANALISIS SWOT</t>
  </si>
  <si>
    <t>VALIDATOR</t>
  </si>
  <si>
    <t>Deskripsi dan penjelasan tentang :
1. Capaian terhadap indikator
2. Faktor pendukung dan faktor penghambat
3. Masalah dan akar masalah yang dihadapi
4. Data dan dokumen pendukung</t>
  </si>
  <si>
    <t>Deskripsi dan penjelasan tentang : 
1. Peristiwa yang mungkin terjadi terkait dengan indikator
2. Dampak dari terjadinya peristiwa yang mungkin terjadi terkait dengan indikator</t>
  </si>
  <si>
    <t>Temuan Minor:
(1)
(2)
(3)
dst…
Temuan Mayor:
(1)
(2)
(3)
dst…</t>
  </si>
  <si>
    <t>Rekomendasi berdasarkan temuan AMI, antara lain sebagai berikut:
(1)
(2)
(3)
dst…</t>
  </si>
  <si>
    <t xml:space="preserve">FORMULIR MONITORING DAN EVALUASI KINERJA LEVEL INSTITUSI </t>
  </si>
  <si>
    <t xml:space="preserve">Nama Standar </t>
  </si>
  <si>
    <t>Indikator</t>
  </si>
  <si>
    <t>Kode Indikator</t>
  </si>
  <si>
    <t>Sumber</t>
  </si>
  <si>
    <r>
      <t xml:space="preserve">Persentase Capaian 
</t>
    </r>
    <r>
      <rPr>
        <i/>
        <sz val="11"/>
        <color theme="1"/>
        <rFont val="Calibri"/>
        <family val="2"/>
        <scheme val="minor"/>
      </rPr>
      <t>(tuliskan seberapa besar persentase pencapaian institusi terhadap setiap indikator, persentase dituliskan berdasarkan penilaian pimpinan PT/evaluasi diri)</t>
    </r>
  </si>
  <si>
    <r>
      <t xml:space="preserve">Evaluasi Diri 
</t>
    </r>
    <r>
      <rPr>
        <i/>
        <sz val="11"/>
        <color theme="1"/>
        <rFont val="Calibri"/>
        <family val="2"/>
        <scheme val="minor"/>
      </rPr>
      <t xml:space="preserve">(deskripsikan data capaian indikator, dapat  berupa data kuantitatif/kualitatif, faktor pendukung/penghambat, masalah yang dihadapi, dan link dokumen bukti)  </t>
    </r>
  </si>
  <si>
    <r>
      <t xml:space="preserve">Tindak Lanjut 
</t>
    </r>
    <r>
      <rPr>
        <i/>
        <sz val="11"/>
        <color theme="1"/>
        <rFont val="Calibri"/>
        <family val="2"/>
        <scheme val="minor"/>
      </rPr>
      <t xml:space="preserve">(tuliskan tindak lanjut yang dilakukan untuk memperbaiki atau meningkatkan capaian indikator) </t>
    </r>
  </si>
  <si>
    <t>Standar Kompetensi Lulusan</t>
  </si>
  <si>
    <t xml:space="preserve">Tercapainya persentase lulusan yang melanjutkan studi minimal sebesar 10% dari total lulusan. </t>
  </si>
  <si>
    <t>S.001/022</t>
  </si>
  <si>
    <t>QS STARS RATING</t>
  </si>
  <si>
    <t>Tercapainya jumlah penghargaan yang diterima dari aspek seni dan budaya sebanyak 1 penghargaan per fakultas per tahun.</t>
  </si>
  <si>
    <t>S.001/023</t>
  </si>
  <si>
    <t>Standar Isi Pembelajaran</t>
  </si>
  <si>
    <t>Tersedianya kebijakan pengembangan kurikulum UKSW yang mempertimbangkan keterkaitan dengan visi dan misi UKSW, pengembangan ilmu pengetahuan dan kebutuhan stakeholder yang komprehensif dan mempertimbangkan perubahan di masa depan.</t>
  </si>
  <si>
    <t>S.002/001</t>
  </si>
  <si>
    <t>APT, LAMDIK</t>
  </si>
  <si>
    <t>Tersedianya pedoman pengembangan kurikulum program studi di UKSW yang memuat profil lulusan, capaian pembelajaran yang mengacu kepada KKNI, bahan kajian, struktur kurikulum dan rencana pembelajaran semester (RPS) yang mengacu ke SN-DIKTI dan benchmark pada institusi internasional, peraturan terkini, dan kepekaan terhadap isu-isu terkini.</t>
  </si>
  <si>
    <t>S.002/002</t>
  </si>
  <si>
    <t>APT</t>
  </si>
  <si>
    <t>Tersedianya mekanisme penetapan (legalitas) kurikulum yang melibatkan unsur-unsur yang berwenang dalam institusi secara akuntabel dan transparan.</t>
  </si>
  <si>
    <t>S.002/003</t>
  </si>
  <si>
    <t>Tersedianya pedoman implementasi kurikulum yang mencakup perencanaan, pelaksanaan, pemantauan, dan peninjauan kurikulum.</t>
  </si>
  <si>
    <t>S.002/004</t>
  </si>
  <si>
    <t>Standar Proses Pembelajaran</t>
  </si>
  <si>
    <t>Tersedia pedoman penerapan sistem penugasan dosen berdasarkan kebutuhan, kualifikasi, keahlian dan pengalaman.</t>
  </si>
  <si>
    <t>S.003/001</t>
  </si>
  <si>
    <t>Tersedia bukti yang sahih tentang penetapan strategi, metode, media pembelajaran dan penilaian pembelajaran</t>
  </si>
  <si>
    <t>S.003/002</t>
  </si>
  <si>
    <t>Tersedia dan terimplementasi sistem monev pelaksanaan dan mutu proses pembelajaran.</t>
  </si>
  <si>
    <t>S.003/003</t>
  </si>
  <si>
    <t>Tersedia kebijakan dan pedoman untuk mengintegrasikan kegiatan penelitian dan PkM ke dalam pembelajaran.</t>
  </si>
  <si>
    <t>S.003/004</t>
  </si>
  <si>
    <t>Tersedia bukti yang sahih tentang pelaksanaan, evaluasi, pengendalian, dan peningkatan kualitas secara berkelanjutan integrasi kegiatan penelitian dan PkM ke dalam pembelajaran, serta bukti yang sahih bahwa terlaksana monitoring dan evaluasi integrasi penelitian dan PkM ke dalam pembelajaran.</t>
  </si>
  <si>
    <t>S.003/005</t>
  </si>
  <si>
    <t>Tersedia dan terlaksana Kode Etik Mahasiswa dalam pembelajaran.</t>
  </si>
  <si>
    <t>S.003/016</t>
  </si>
  <si>
    <t>UKSW</t>
  </si>
  <si>
    <t>Terlaksananya jumlah pagelaran budaya yang diselenggarakan di UKSW sebanyak 1 kegiatan per fakultas per tahun.</t>
  </si>
  <si>
    <t>S.003/027</t>
  </si>
  <si>
    <t>Standar Dosen dan Tendik</t>
  </si>
  <si>
    <t xml:space="preserve">Tercapainya rasio jumlah dosen tetap berbanding jumlah program studi minimal 10:1. </t>
  </si>
  <si>
    <t>S.005/001</t>
  </si>
  <si>
    <t>Tercapainya jumlah dosen tetap dengan jabatan fungsional guru besar minimal sebanyak 15% dari keseluruhan jumlah dosen tetap.</t>
  </si>
  <si>
    <t>S.005/002</t>
  </si>
  <si>
    <t>Terlaksananya kegiatan internalisasi visi misi UKSW untuk semua dosen UKSW sebagai syarat menjadi dosen tetap.</t>
  </si>
  <si>
    <t>S.005/015</t>
  </si>
  <si>
    <t>Tercapainya jumlah dosen asing sebanyak 5% dari keseluruhan jumlah dosen.</t>
  </si>
  <si>
    <t>S.005/028</t>
  </si>
  <si>
    <t>QS STARS RATING, THE</t>
  </si>
  <si>
    <t>Terlibatnya Dosen UKSW dalam memberikan kontribusi sebagai pakar di dunia industri.</t>
  </si>
  <si>
    <t>S.005/029</t>
  </si>
  <si>
    <t>Tercapainya kecukupan jumlah tenaga kependidikan untuk memenuhi rasio jumlah tenaga kependidikan terhadap mahasiswa minimal 1:50</t>
  </si>
  <si>
    <t>S.005/030</t>
  </si>
  <si>
    <t>THE</t>
  </si>
  <si>
    <t>Tercapainya kecukupan jumlah penghargaan untuk memenuhi rasio jumlah penghargaan yang diterima dosen Doktor terhadap seluruh dosen minimal 1:3</t>
  </si>
  <si>
    <t>S.005/032</t>
  </si>
  <si>
    <t>Standar Sarana dan Prasarana Pembelajaran</t>
  </si>
  <si>
    <t>Tersedia sarana dan prasarana yang relevan dan mutakhir untuk mendukung pembelajaran dan memfasilitasi mahasiswa berkebutuhan khusus.</t>
  </si>
  <si>
    <t>S.006/001</t>
  </si>
  <si>
    <t>SN DIKTI, QS STARS RATING</t>
  </si>
  <si>
    <t>Tersedia sistem informasi untuk layanan administrasi yang terbukti efektif dan memenuhi aspek-aspek berikut: 1) mencakup layanan akademik, keuangan, SDM, dan sarana dan prasarana (aset), 2) mudah diakses oleh seluruh unit kerja dalam lingkup institusi, 3) lengkap dan mutakhir, 4) seluruh jenis layanan telah terintegrasi dan digunakan untuk pengambilan keputusan, dan 5) seluruh jenis layanan yang terintegrasi dievaluasi secara berkala dan hasilnya ditindak lanjuti untuk penyempurnaan sistem informasi.</t>
  </si>
  <si>
    <t>S.006/002</t>
  </si>
  <si>
    <t>SN DIKTI, APT, QS STARS RATING</t>
  </si>
  <si>
    <t>Tersedia sistem informasi untuk layanan proses pembelajaran yang terbukti efektif memenuhi aspek-aspek berikut: 1) ketersediaan layanan, 2) e-learning, perpustakaan (e-journal, e-book, e-repository, dll.), 3) mudah diakses oleh sivitas akademika, dan 4) seluruh jenis layanan dievaluasi secara berkala yang hasilnya ditindak lanjuti untuk penyempurnaan sistem informasi.</t>
  </si>
  <si>
    <t>S.006/003</t>
  </si>
  <si>
    <t>Tersedia pedoman pengelolaan sarana dan prasarana pembelajaran meliputi laboratorium, perangkat keras, perangkat lunak, bandwidth, dan bahan pustaka, yang terlaksana secara konsisten dan terdokumentasi.</t>
  </si>
  <si>
    <t>S.006/009</t>
  </si>
  <si>
    <t>LAM INFOKOM</t>
  </si>
  <si>
    <t>Terlaksana survei kepuasan mahasiswa, dosen, dan tenaga kependidikan terhadap sarana dan prasarana pembelajaran dengan tingkat kepuasan mencapai 75%.</t>
  </si>
  <si>
    <t>S.006/010</t>
  </si>
  <si>
    <t>Terlaksana audit sarana prasarana pembelajaran.</t>
  </si>
  <si>
    <t>S.006/011</t>
  </si>
  <si>
    <t>LAM PT-KES NERS &amp; GIZI</t>
  </si>
  <si>
    <t>Tersedia dan terlaksana pemutakhiran fasilitas untuk penyelenggaraan pembelajaran daring.</t>
  </si>
  <si>
    <t>S.006/013</t>
  </si>
  <si>
    <t>Standar Pengelolaan Pembelajaran</t>
  </si>
  <si>
    <t>Tersedia komunitas mahasiswa yang dikelola oleh universitas.</t>
  </si>
  <si>
    <t>S.007/011</t>
  </si>
  <si>
    <t>Standar Pembiayaan Pembelajaran</t>
  </si>
  <si>
    <t>Tersedia sistem pencatatan biaya dan melaksanakan pencatatan biaya sesuai dengan ketentuan peraturan perundang-undangan sampai pada satuan Program Studi.</t>
  </si>
  <si>
    <t>S.008/001</t>
  </si>
  <si>
    <t>SN DIKTI</t>
  </si>
  <si>
    <t>Tercapainya persentase penerimaan dari mahasiswa berbanding keseluruhan penerimaan maksimal 75%.</t>
  </si>
  <si>
    <t>S.008/002</t>
  </si>
  <si>
    <t>SN DIKTI, APT</t>
  </si>
  <si>
    <t>Tercapainya persentase penerimaan dari sumber selain dari mahasiswa berbanding keseluruhan penerimaan minimal 10%.</t>
  </si>
  <si>
    <t>S.008/003</t>
  </si>
  <si>
    <t>Tersedia dan terimplementasi sistem informasi pengelolaan keuangan UKSW.</t>
  </si>
  <si>
    <t>S.008/008</t>
  </si>
  <si>
    <t>Tersedia dan terlaksana kebijakan serta mekanisme pengelolaan keuangan yang terdiri dari perencanaan, penggunaan, pertanggungjawaban dan pelaporan keuangan.</t>
  </si>
  <si>
    <t>S.008/009</t>
  </si>
  <si>
    <t>LAMDIK, LAMEMBA</t>
  </si>
  <si>
    <t>S.008/010</t>
  </si>
  <si>
    <t>Standar Hasil Penelitian</t>
  </si>
  <si>
    <t>Terpublikasikan hasil penelitian dosen pada jurnal internasional bereputasi, jurnal
internasional, jurnal nasional terakreditasi atau jurnal tidak terakreditasi
dengan capaian 1 publikasi per dosen per semester.</t>
  </si>
  <si>
    <t>S.009/001</t>
  </si>
  <si>
    <t>Terpublikasikan hasil penelitian dosen pada seminar skala lokal/ nasional/
 internasional dan/atau media massa nasional/ internasional
dengan capaian 1 publikasi per dosen per tahun.</t>
  </si>
  <si>
    <t>S.009/002</t>
  </si>
  <si>
    <t>Terdapat hasil penelitian dosen yang mendapat pengakuan dalam bentuk HKI
(Paten, Paten Sederhana, Hak Cipta, Desain Produk Industri, Perlindungan Varietas, dll), Teknologi Tepat Guna, Produk Terstandarisasi, Produk Tersertifikasi, Karya Seni, Rekayasa Sosial, dan dalam bentuk Buku ber-ISBN, Book Chapter dengan capaian 1 publikasi per dosen per tahun.</t>
  </si>
  <si>
    <t>S.009/003</t>
  </si>
  <si>
    <t>Tersedia dan terlaksana kebijakan pemberian insentif publikasi
hasil penelitian bagi dosen dan mahasiswa.</t>
  </si>
  <si>
    <t>S.009/006</t>
  </si>
  <si>
    <t>Terdapatnya kutipan profil publik individu yang berafiliasi (menggunakan email)
dengan institusi minimal sebanyak 100 kutipan profil per tahun.</t>
  </si>
  <si>
    <t>S.009/011</t>
  </si>
  <si>
    <t>WEBOMETRICS</t>
  </si>
  <si>
    <t>Standar Isi Penelitian</t>
  </si>
  <si>
    <t>Tersedia dokumen formal Rencana Strategis Penelitian yang sah dan memuat landasan pengembangan, peta jalan penelitian, sumber daya, sasaran program strategis dan indikator kinerja berorientasi internasional.</t>
  </si>
  <si>
    <t>S.010/001</t>
  </si>
  <si>
    <t>Standar Proses Penelitian</t>
  </si>
  <si>
    <t>Tersedianya pedoman penelitian yang disosialisasikan, mudah diakses, sesuai dengan rencana strategis penelitian, serta dipahami oleh stakeholder.</t>
  </si>
  <si>
    <t>S.011/001</t>
  </si>
  <si>
    <t>Terlaksananya pengajuan proposal penelitian dosen melalui sistem informasi
penelitian UKSW (RISAT)</t>
  </si>
  <si>
    <t>S.011/003</t>
  </si>
  <si>
    <t>Standar Penilaian Penelitian</t>
  </si>
  <si>
    <t>Tersedia bukti yang sahih tentang pelaksanaan penilaian penelitian yang mencakup
6 aspek penilaian penelitian [1) tersedia tatacara penilaian dan review, 2) tersedia
legalitas pengangkatan reviewer, 3) tersedia hasil penilaian usul penelitian, 4)
tersedia legalitas penugasan peneliti/kerjasama peneliti, 5) terdokumentasi berita
acara hasil monitoring dan evaluasi, 6) terdokumentasi seluruh output penelitian.],
dan dilakukan review serta tindak lanjut hasil penilaian penelitian.</t>
  </si>
  <si>
    <t>S.012/001</t>
  </si>
  <si>
    <t>Standar Peneliti</t>
  </si>
  <si>
    <t>Tersedia dan terfasilitasi minimal 14 kelompok riset dan laboratorium riset yang
fungsional, ditunjukkan dengan adanya SK pembentukan kelompok riset dan
laboratorium riset; terlibatnya kelompok riset dalam jejaring tingkat nasional/
internasional, adanya produk yang dihasilkan yang berdaya saing internasional.</t>
  </si>
  <si>
    <t>S.013/002</t>
  </si>
  <si>
    <t>Standar Sarana dan Prasarana
Penelitian</t>
  </si>
  <si>
    <t>Tersedianya sistem informasi untuk layanan proses penelitian yang terbukti efektif
memenuhi aspek-aspek berikut: 1) ketersediaan layanan, 2) e-learning, perpustakaan (e-journal, e-book, e-repository, dll.), 3) mudah diakses oleh sivitas akademika, dan 4) seluruh jenis layanan dievaluasi secara berkala yang hasilnya ditindak lanjuti untuk penyempurnaan sistem informasi.</t>
  </si>
  <si>
    <t>S.014/002</t>
  </si>
  <si>
    <t>Terlaksana perancangan dan realisasi 4 sarana/prasarana untuk kegiatan
pengembangan dan pelayanan teaching factory atau teaching industry.</t>
  </si>
  <si>
    <t>S.014/004</t>
  </si>
  <si>
    <t>Standar Pengelolaan Penelitian</t>
  </si>
  <si>
    <t>Tersedia unit pengelola penelitian di tingkat universitas dan di 14 fakultas.</t>
  </si>
  <si>
    <t>S.015/001</t>
  </si>
  <si>
    <t>Terlaksana tugas-tugas Unit pengelola penelitian universitas dan UPPS untuk
menyusun Renstra Penelitian, melaksanakan penjaminan mutu bidang penelitian,
memfasilitasi pelaksanaan penelitian, melaksanakan monev penelitian,
mendiseminasikan hasil penelitian, mengembangkan kompetensi peneliti dan
memberikan reward kepada peneliti.</t>
  </si>
  <si>
    <t>S.015/002</t>
  </si>
  <si>
    <t>Tersedia rencana strategis penelitian tingkat universitas dan UPPS yang merupakan
bagian dari rencana strategis Perguruan Tinggi dan UPPS.</t>
  </si>
  <si>
    <t>S.015/003</t>
  </si>
  <si>
    <t>Tersedia kriteria dan prosedur penilaian Penelitian di tingkat universitas dan
UPPS yang sah.</t>
  </si>
  <si>
    <t>S.015/004</t>
  </si>
  <si>
    <t>Terlaksana monitoring dan evaluasi kinerja unit pengelola penelitian di tingkat
universitas dan UPPS.</t>
  </si>
  <si>
    <t>S.015/005</t>
  </si>
  <si>
    <t>Tersedia kriteria peneliti di tingkat universitas dan UPPS yang mengacu kepada standar isi, standar hasil dan proses penelitian.</t>
  </si>
  <si>
    <t>S.015/006</t>
  </si>
  <si>
    <t>Terlaksana analisis kebutuhan jumlah, jenis, dan spesifikasi sarana dan prasarana
Penelitian, dan adanya penggunaan sarana dan prasarana Penelitian pada lembaga lain melalui program kerja sama Penelitian.</t>
  </si>
  <si>
    <t>S.015/007</t>
  </si>
  <si>
    <t>Terlaksana pelaporan kinerja bidang penelitian melalui PDDIKTI, SIMLIBTABMAS dan BIMA.</t>
  </si>
  <si>
    <t>S.015/008</t>
  </si>
  <si>
    <t>Tersusun laporan kegiatan penelitian yang dilaporkan kepada pimpinan perguruan
tinggi dan mitra/pemberi dana, yang memenuhi aspek komprehensif, rinci, relevan,
mutakhir, dan disampaikan tepat waktu.</t>
  </si>
  <si>
    <t>S.015/009</t>
  </si>
  <si>
    <t>Terlaksana dan terdokumentasi koordinasi rutin antar unit pengelola penelitian
minimal satu kali setiap semester.</t>
  </si>
  <si>
    <t>S.015/010</t>
  </si>
  <si>
    <t>Terimplementasinya sistem informasi penelitian (RISAT) dalam proses pengelolaan
penelitian dosen.</t>
  </si>
  <si>
    <t>S.015/011</t>
  </si>
  <si>
    <t>Standar Pendanaan dan Pembiayaan Penelitian</t>
  </si>
  <si>
    <t>Tercapainya persentase penggunaan dana penelitian terhadap total dana
perguruan tinggi minimal 6%.</t>
  </si>
  <si>
    <t>S.016/001</t>
  </si>
  <si>
    <t>Tersedia pendapatan yang berasal dari luaran penelitian dosen dan mahasiswa
minimal 10% dari keseluruhan biaya penelitian per tahun.</t>
  </si>
  <si>
    <t>S.016/007</t>
  </si>
  <si>
    <t>Standar Hasil PkM</t>
  </si>
  <si>
    <t>Terpublikasikan hasil PkM dosen pada jurnal internasional bereputasi, jurnal internasional, jurnal nasional terakreditasi atau jurnal tidak terakreditasi dengan capaian 1 publikasi per dosen per semester.</t>
  </si>
  <si>
    <t>S.017/001</t>
  </si>
  <si>
    <t>Terpublikasikan hasil PkM dosen pada seminar skala lokal/ nasional/ internasional dan/atau media massa nasional/ internasional dengan capaian 1 publikasi per dosen per tahun.</t>
  </si>
  <si>
    <t>S.017/002</t>
  </si>
  <si>
    <t>Terdapat hasil PkM dosen yang mendapat pengakuan dalam bentuk HKI (Paten, Paten Sederhana, Hak Cipta, Desain Produk Industri, Perlindungan Varietas, dll), Teknologi Tepat Guna, Produk Terstandarisasi, Produk Tersertifikasi, Karya Seni, Rekayasa Sosial, dan dalam bentuk Buku ber-ISBN, Book Chapter dengan capaian 1 publikasi per dosen per tahun.</t>
  </si>
  <si>
    <t>S.017/003</t>
  </si>
  <si>
    <t>Tersedia dan terlaksana kebijakan pemberian insentif publikasi hasil PkM bagi dosen dan mahasiswa.</t>
  </si>
  <si>
    <t>S.017/006</t>
  </si>
  <si>
    <t>Tersedia fasilitas pembentukan jurnal Pengabdian kepada Masyarakat untuk publikasi ilmiah hasil-hasil Pengabdian kepada Masyarakat yang memenuhi standar akreditasi Sinta.</t>
  </si>
  <si>
    <t>S.017/007</t>
  </si>
  <si>
    <t>Standar Isi PkM</t>
  </si>
  <si>
    <t>Tersedia dokumen formal Rencana Strategis Pengabdian kepada Masyarakat yang sah dan memuat landasan pengembangan, peta jalan Pengabdian kepada Masyarakat, sumber daya, sasaran program strategis dan indikator kinerja berorientasi internasional.</t>
  </si>
  <si>
    <t>S.018/001</t>
  </si>
  <si>
    <t>Terlaksananya proyek sosial/bantuan bencana sebagai bentuk tanggungjawab sosial kepada masyarakat.</t>
  </si>
  <si>
    <t>S.018/005</t>
  </si>
  <si>
    <t>Standar Proses PkM</t>
  </si>
  <si>
    <t>Tersedianya pedoman pengabdian kepada masyarakat yang disosialisasikan, mudah diakses, sesuai dengan rencana strategis pengabdian kepada masyarakat, serta dipahami oleh stakeholder.</t>
  </si>
  <si>
    <t>S.019/001</t>
  </si>
  <si>
    <t>Terlaksananya kegiatan pengabdian kepada masyarakat di UKSW secara terarah, terukur dan terprogram.</t>
  </si>
  <si>
    <t>S.019/003</t>
  </si>
  <si>
    <t>Terlaksananya pengajuan proposal pengabdian kepada masyarakat dosen melalui Sistem Informasi Riset Satya Wacana (RISAT)</t>
  </si>
  <si>
    <t>S.019/004</t>
  </si>
  <si>
    <t>Tersusunnya laporan progress Pengabdian kepada Masyarakat oleh dosen yang memenuhi persyaratan minimal reviewer Pengabdian kepada Masyarakat internal UKSW.</t>
  </si>
  <si>
    <t>S.019/005</t>
  </si>
  <si>
    <t>Standar Penilaian PkM</t>
  </si>
  <si>
    <t>Tersedia bukti yang sahih tentang pelaksanaan penilaian pengabdian kepada masyarakat yang mencakup 6 aspek penilaian pengabdian kepada masyarakat 1) tersedia tatacara penilaian dan review, 2) tersedia legalitas pengangkatan reviewer, 3) tersedia hasil penilaian usul pengabdian kepada masyarakat, 4) tersedia legalitas penugasan peneliti/kerjasama peneliti, 5) terdokumentasi berita acara hasil monitoring dan evaluasi, 6) terdokumentasi seluruh output pengabdian kepada masyarakat, dan dilakukan review serta tindak lanjut hasil penilaian pengabdian kepada masyarakat.</t>
  </si>
  <si>
    <t>S.020/001</t>
  </si>
  <si>
    <t>Standar Pelaksana PkM</t>
  </si>
  <si>
    <t>Tersedia dan terfasilitasi minimal 14 kelompok pelaksana pengabdian kepada masyarakat yang fungsional, ditunjukkan dengan adanya SK pembentukan pelaksana pengabdian kepada masyarakat; terlibatnya pelaksana pengabdian kepada masyarakat dalam jejaring tingkat nasional/ internasional, adanya produk yang dihasilkan yang berdaya saing internasional.</t>
  </si>
  <si>
    <t>S.021/002</t>
  </si>
  <si>
    <t>Standar Sarana dan Prasarana PkM</t>
  </si>
  <si>
    <t>Tersedianya sistem informasi untuk layanan proses pengabdian kepada masyarakat yang terbukti efektif memenuhi aspek-aspek berikut: 1) ketersediaan layanan, 2) e-learning, perpustakaan (e-journal, e-book, e-repository, dll.), 3) mudah diakses oleh sivitas akademika, dan 4) seluruh jenis layanan dievaluasi secara berkala yang hasilnya ditindak lanjuti untuk penyempurnaan sistem informasi.</t>
  </si>
  <si>
    <t>S.022/002</t>
  </si>
  <si>
    <t>Terlaksana perancangan dan realisasi 4 sarana/prasarana untuk kegiatan pengembangan dan pelayanan teaching factory atau teaching industry.</t>
  </si>
  <si>
    <t>S.022/004</t>
  </si>
  <si>
    <t>Standar Pengelolaan PkM</t>
  </si>
  <si>
    <t>Tersedia unit pengelola Pengabdian kepada Masyarakat di tingkat universitas dan di 14 fakultas.</t>
  </si>
  <si>
    <t>S.023/001</t>
  </si>
  <si>
    <t>Terlaksana tugas-tugas Unit pengelola Pengabdian kepada Masyarakat universitas dan UPPS untuk menyusun Renstra Pengabdian kepada Masyarakat, melaksanakan penjaminan mutu bidang Pengabdian kepada Masyarakat, memfasilitasi pelaksanaan Pengabdian kepada Masyarakat, melaksanakan monev Pengabdian kepada Masyarakat, mendiseminasikan hasil Pengabdian kepada Masyarakat, mengembangkan kompetensi pelaksana Pengabdian kepada Masyarakat dan memberikan reward kepada pelaksana Pengabdian kepada Masyarakat.</t>
  </si>
  <si>
    <t>S.023/002</t>
  </si>
  <si>
    <t>Tersedia rencana strategis Pengabdian kepada Masyarakat tingkat universitas dan UPPS yang merupakan bagian dari rencana strategis Perguruan Tinggi dan UPPS.</t>
  </si>
  <si>
    <t>S.023/003</t>
  </si>
  <si>
    <t>Tersedia kriteria dan prosedur penilaian Pengabdian kepada Masyarakat di tingkat universitas dan UPPS yang sah.</t>
  </si>
  <si>
    <t>S.023/004</t>
  </si>
  <si>
    <t>Terlaksana monitoring dan evaluasi kinerja unit pengelola Pengabdian kepada Masyarakat di tingkat universitas dan UPPS.</t>
  </si>
  <si>
    <t>S.023/005</t>
  </si>
  <si>
    <t>Tersedia kriteria pelaksana pengabdian kepada masyarakat di tingkat universitas dan UPPS yang mengacu kepada standar isi, standar hasil dan proses Pengabdian kepada Masyarakat.</t>
  </si>
  <si>
    <t>S.023/006</t>
  </si>
  <si>
    <t>Terlaksana analisis kebutuhan jumlah, jenis, dan spesifikasi sarana dan prasarana Pengabdian kepada Masyarakat, dan adanya penggunaan sarana dan prasarana pengabdian kepada masyarakat pada lembaga lain melalui program kerjasama Pengabdian kepada Masyarakat.</t>
  </si>
  <si>
    <t>S.023/007</t>
  </si>
  <si>
    <t>Terlaksana pelaporan kinerja bidang Pengabdian kepada Masyarakat melalui PDDIKTI, SIMLIBTABMAS dan BIMA.</t>
  </si>
  <si>
    <t>S.023/008</t>
  </si>
  <si>
    <t>Tersusun laporan kegiatan Pengabdian kepada Masyarakat yang dilaporkan kepada pimpinan perguruan tinggi dan mitra/pemberi dana, yang memenuhi aspek komprehensif, rinci, relevan, mutakhir, dan disampaikan tepat waktu.</t>
  </si>
  <si>
    <t>S.023/009</t>
  </si>
  <si>
    <t>Terlaksana dan terdokumentasi koordinasi rutin antar unit pengelola pengabdian kepada masyarakat minimal satu kali setiap semester.</t>
  </si>
  <si>
    <t>S.023/010</t>
  </si>
  <si>
    <t>Terimplementasinya Sistem Informasi Riset Satya Wacana (RISAT) dalam proses pengelolaan pengabdian kepada masyarakat dosen.</t>
  </si>
  <si>
    <t>S.023/011</t>
  </si>
  <si>
    <t>Standar Pendanaan dan Pembiayaan PkM</t>
  </si>
  <si>
    <t>Tercapainya persentase penggunaan dana pengabdian kepada masyarakat terhadap total dana perguruan tinggi minimal 2%.</t>
  </si>
  <si>
    <t>S.024/001</t>
  </si>
  <si>
    <t>Terdapat pendapatan yang berasal dari dunia industri karena menggunakan luaran dosen dan mahasiswa.</t>
  </si>
  <si>
    <t>S.024/007</t>
  </si>
  <si>
    <t>Standar VMTS Fakultas dan Prodi</t>
  </si>
  <si>
    <t>Tersusun rencana strategis jangka panjang, jangka menengah, dan jangka pendek yang memuat indikator kinerja, target berorientasi internasional serta melaksanakan program kerja berdasarkan rencana strategis dan rencana operasional secara konsisten dan terdokumentasi.</t>
  </si>
  <si>
    <t>S.025/001</t>
  </si>
  <si>
    <t xml:space="preserve">Standar Tata Kelola dan Tata Pamong </t>
  </si>
  <si>
    <t>Tersedianya dokumen formal sistem tata pamong yang dijabarkan ke dalam berbagai kebijakan dan peraturan yang digunakan secara konsisten, efektif, dan efisien sesuai konteks institusi serta menjamin akuntabilitas, keberlanjutan, transparansi, dan mitigasi potensi risiko.</t>
  </si>
  <si>
    <t>S.026/001</t>
  </si>
  <si>
    <t>Tersedianya dokumen formal kebijakan dan peraturan guna menjamin integritas dan kualitas institusi yang dilaksanakan secara konsisten, efektif dan efisien.</t>
  </si>
  <si>
    <t>S.026/002</t>
  </si>
  <si>
    <t>Tersedianya lembaga yang sepenuhnya melaksanakan atau fungsi yang berjalan dalam penegakan kode etik untuk menjamin tata nilai dan integritas secara konsisten, efektif, dan efisien.</t>
  </si>
  <si>
    <t>S.026/005</t>
  </si>
  <si>
    <t>Terealisasikan seluruh rencana strategis dan operasional yang dilakukan secara terprogram dan intensif melalui komunikasi yang baik dengan stakeholders internal serta mampu mengambil keputusan strategis dan inovatif dengan risiko terukur dalam melaksanakan kebijakan operasional.</t>
  </si>
  <si>
    <t>S.026/006</t>
  </si>
  <si>
    <t>Terpilih pimpinan UPPS dan PS dengan kemampuan untuk menjalin kerjasama tridharma yang saling menguntungkan, dan menjadikan perguruan tinggi sebagai rujukan publik di tingkat nasional/internasional.</t>
  </si>
  <si>
    <t>S.026/008</t>
  </si>
  <si>
    <t>Tersedianya bukti yang sahih tentang implementasi kebijakan dan pedoman pengelolaan dengan penerapan yang konsisten, efektif, dan efisien mencakup 11 aspek, antara lain: pendidikan, pengembangan suasana akademik dan otonomi keilmuan, kemahasiswaan, penelitian, pengabdian masyarakat, SDM, keuangan, sarana prasarana, sistem informasi, sistem penjaminan mutu dan kerjasama.</t>
  </si>
  <si>
    <t>S.026/010</t>
  </si>
  <si>
    <t>Tersedianya dokumen formal dan bukti mekanisme persetujuan dan penetapan terhadap rencana strategis yang mencakup 5 aspek: 1) adanya keterlibatan pemangku kepentingan, 2) mengacu kepada capaian renstra periode sebelumnya, 3) mengacu kepada VMTS institusi, 4) dilakukannya analisis kondisi internal dan eksternal, dan 5) disahkan oleh organ yang memiliki kewenangan.</t>
  </si>
  <si>
    <t>S.026/011</t>
  </si>
  <si>
    <t>Terselenggaranya rapat tinjauan manajemen, yang mengagendakan pembahasan 7 unsur, antara lain: hasil audit internal, umpan balik, kinerja proses dan kesesuaian produk, status tindakan pencegahan dan perbaikan, tindak lanjut dari rapat tinjauan manajemen sebelumnya, perubahan yang dapat mempengaruhi sistem penjaminan mutu, dan rekomendasi untuk peningkatan.</t>
  </si>
  <si>
    <t>S.026/013</t>
  </si>
  <si>
    <t>Terlaksananya upaya pencapaian akreditasi internasional minimal 8 prodi.</t>
  </si>
  <si>
    <t>S.026/014</t>
  </si>
  <si>
    <t>Terlaksananya audit eksternal keuangan di perguruan tinggi yang dilakukan terhadap Badan Penyelenggara oleh kantor Akuntan Publik</t>
  </si>
  <si>
    <t>S.026/015</t>
  </si>
  <si>
    <t>Terlaksananya upaya pencapaian akreditasi nasional yang mencapai 50 prodi unggul dan sisanya baik sekali</t>
  </si>
  <si>
    <t>S.026/016</t>
  </si>
  <si>
    <t>Terlaksananya monitoring dan evaluasi kinerja pejabat struktural setiap 3 bulan sekali.</t>
  </si>
  <si>
    <t>S.026/024</t>
  </si>
  <si>
    <t>Terlaksananya audit Key Performance Indicator untuk semua unit penunjang akademik setiap tahun.</t>
  </si>
  <si>
    <t>S.026/025</t>
  </si>
  <si>
    <t>Tersedianya program studi yang menjadi unggulan di universitas dengan 50 prodi terakreditasi unggul.</t>
  </si>
  <si>
    <t>S.026/028</t>
  </si>
  <si>
    <t>Tercapai jumlah tautan dari website lain yang merujuk ke web institusi.</t>
  </si>
  <si>
    <t>S.026/029</t>
  </si>
  <si>
    <t>Admisi Kemahasiswaan</t>
  </si>
  <si>
    <t>Tercapainya persentase mahasiswa yang mendaftar ulang terhadap jumlah pendaftar yang lulus seleksi pada program utama sebesar ≥ 95%</t>
  </si>
  <si>
    <t>S.027/002</t>
  </si>
  <si>
    <t>Terlaksananya monitoring dan evaluasi admisi mahasiswa setiap tahun.</t>
  </si>
  <si>
    <t>S.027/009</t>
  </si>
  <si>
    <t>Terlaksana survei kepuasan mahasiswa baru terhadap layanan admisi dengan tingkat kepuasan mencapai 75%</t>
  </si>
  <si>
    <t>S.027/010</t>
  </si>
  <si>
    <t>Terdapatnya mahasiswa asing yang datang dari program pertukaran mahasiswa minimal sebanyak 1% dari keseluruhan jumlah mahasiswa.</t>
  </si>
  <si>
    <t>S.027/012</t>
  </si>
  <si>
    <t xml:space="preserve">Standar Layanan Kemahasiswaan </t>
  </si>
  <si>
    <t>Terlaksananya monitoring dan evaluasi layanan kemahasiswaan.</t>
  </si>
  <si>
    <t>S.028/004</t>
  </si>
  <si>
    <t>Tersedia dan terlaksananya kebijakan bantuan bagi mahasiswa kurang mampu secara ekonomi</t>
  </si>
  <si>
    <t>S.028/008</t>
  </si>
  <si>
    <t xml:space="preserve">Standar Kerjasama Kelembagaan </t>
  </si>
  <si>
    <t>Tersedia dokumen formal kebijakan, standar dan prosedur pengembangan jejaring dan kemitraan (dalam dan luar negeri), serta monitoring dan evaluasi kepuasan mitra kerjasama.</t>
  </si>
  <si>
    <t>S.029/001</t>
  </si>
  <si>
    <t>Tersedia dokumen perencanaan pengembangan jejaring dan kemitraan yang ditetapkan untuk mencapai visi, misi dan tujuan strategis UKSW.</t>
  </si>
  <si>
    <t>S.029/002</t>
  </si>
  <si>
    <t>Tersedia bukti monitoring dan evaluasi pelaksanaan program kemitraan, tingkat kepuasan mitra kerjasama yang diukur dengan instrumen yang sahih, serta upaya perbaikan mutu jejaring dan kemitraan untuk menjamin ketercapaian visi, misi dan tujuan strategis UKSW.</t>
  </si>
  <si>
    <t>S.029/003</t>
  </si>
  <si>
    <t>FORMULIR MONITORING DAN EVALUASI KINERJA LEVEL UNIT PENGELOLA PROGRAM STUDI (BAN-PT)</t>
  </si>
  <si>
    <t xml:space="preserve">No. </t>
  </si>
  <si>
    <t>Terlaksana pengembangan sarana pembelajaran di semua fakultas setiap tahun.</t>
  </si>
  <si>
    <t>S.006/006</t>
  </si>
  <si>
    <t>Tersedia laboratorium microteaching, lengkap dengan perlengkapan dan peralatan yang mutakhir dan terawat.</t>
  </si>
  <si>
    <t>S.006/007</t>
  </si>
  <si>
    <t>Tersedia Rencana Strategis dan Rencana Operasional yang memuat rencana pelaksanaan program pembelajaran</t>
  </si>
  <si>
    <t>S.007/001</t>
  </si>
  <si>
    <t>Terlaksana program pembelajaran sesuai dengan Rencana Strategis dan Rencana Operasional.</t>
  </si>
  <si>
    <t>S.007/002</t>
  </si>
  <si>
    <t>Terlaksana penjaminan mutu pengelolaan Program Studi dalam melaksanakan program Pembelajaran secara berkelanjutan dengan sasaran yang sesuai dengan visi dan misi.</t>
  </si>
  <si>
    <t>S.007/003</t>
  </si>
  <si>
    <t>Terlaksana pemantauan dan evaluasi terhadap kegiatan Program Studi dalam melaksanakan kegiatan Pembelajaran.</t>
  </si>
  <si>
    <t>S.007/004</t>
  </si>
  <si>
    <t>Tersedia panduan perencanaan, pelaksanaan, evaluasi, pengawasan, penjaminan mutu, dan pengembangan kegiatan Pembelajaran dan Dosen</t>
  </si>
  <si>
    <t>S.007/005</t>
  </si>
  <si>
    <t>Terlaksana pelaporan kinerja Program Studi dalam menyelenggarakan program Pembelajaran melalui pangkalan data Pendidikan Tinggi.</t>
  </si>
  <si>
    <t>S.007/006</t>
  </si>
  <si>
    <t>Terdokumentasi seluruh proses pembelajaran, mulai dari perencanaan, pelaksanaan, pengendalian, pemantauan dan evaluasi, serta pelaporan kegiatan pembelajaran pada SIIMUT.</t>
  </si>
  <si>
    <t>S.007/007</t>
  </si>
  <si>
    <t>Tersedia dan terselenggara sistem aduan akademik untuk mahasiswa untuk menyelesaikan masalah-masalah akademik dengan tingkat persentase penyelesaian masalah mencapai 100%</t>
  </si>
  <si>
    <t>S.007/008</t>
  </si>
  <si>
    <t>Tercapainya jumlah pendapatan institusi pada bidang pendidikan minimal sebesar Rp20 juta per mahasiswa per tahun</t>
  </si>
  <si>
    <t>S.008/013</t>
  </si>
  <si>
    <t>Tersedia reviewer penelitian tingkat nasional yang tersertifikasi minimal 1 orang
per fakultas.</t>
  </si>
  <si>
    <t>S.012/004</t>
  </si>
  <si>
    <t>Terlaksana survei kepuasan mitra penelitian terhadap pengelolaan penelitian dengan tingkat kepuasan mencapai 75%</t>
  </si>
  <si>
    <t>S.012/005</t>
  </si>
  <si>
    <t>Terlaksananya survei terhadap reputasi penelitian dengan hasil mencapai 80%.</t>
  </si>
  <si>
    <t>S.012/008</t>
  </si>
  <si>
    <t>Tersedianya sarana dan prasarana yang relevan dan mutakhir untuk mendukung
kegiatan penelitian dan memfasilitasi mahasiswa berkebutuhan khusus.</t>
  </si>
  <si>
    <t>S.014/001</t>
  </si>
  <si>
    <t>Tersedia reviewer pengabdian kepada masyarakat tingkat nasional yang tersertifikasi minimal 1 orang per fakultas.</t>
  </si>
  <si>
    <t>S.020/004</t>
  </si>
  <si>
    <t>Terlaksana survei kepuasan mitra pengabdian kepada masyarakat terhadap pengelolaan pengabdian kepada masyarakat dengan tingkat kepuasan mencapai 75%</t>
  </si>
  <si>
    <t>S.020/005</t>
  </si>
  <si>
    <t>Tersedianya sarana dan prasarana yang relevan dan mutakhir untuk mendukung kegiatan pengabdian kepada masyarakat dan memfasilitasi mahasiswa berkebutuhan khusus.</t>
  </si>
  <si>
    <t>S.022/001</t>
  </si>
  <si>
    <t>Terlaksana sosialisasi VMTS melalui website official masing-masing unit.</t>
  </si>
  <si>
    <t>S.025/006</t>
  </si>
  <si>
    <t>Tersusun singkatan/slogan berdasarkan visi masing-masing UPPS untuk mempermudah sivitas akademika mengingat dan memahami visi UPPS.</t>
  </si>
  <si>
    <t>S.025/007</t>
  </si>
  <si>
    <t>Terlaksananya berbagai kegiatan nonkurikuler dalam rangka pemenuhan kredit keaktifan mahasiswa (KKM) minimal 1000 poin per mahasiswa sampai dengan lulus program sarjana/diploma.</t>
  </si>
  <si>
    <t>S.028/003</t>
  </si>
  <si>
    <t>Terlaksana evaluasi terhadap mitra kerjasama yang diukur berdasarkan asas kebermanfaatan.</t>
  </si>
  <si>
    <t>S.029/006</t>
  </si>
  <si>
    <t>Tersedia mitra kerjasama baru minimal 5 mitra setiap tahun.</t>
  </si>
  <si>
    <t>S.029/007</t>
  </si>
  <si>
    <t>FORMULIR MONITORING DAN EVALUASI KINERJA LEVEL UNIT PENGELOLA PROGRAM STUDI (LAM INFOKOM)</t>
  </si>
  <si>
    <t>Tersedia dan terimplementasi kebijakan, pedoman dan instrumen survei kepuasan dosen dan tenaga kependidikan terhadap pengelolaan SDM yang dilaksanakan secara rutin setiap tahun, berkesinambungan, hasilnya dilaporkan dan ditindaklanjuti.</t>
  </si>
  <si>
    <t>S.005/022</t>
  </si>
  <si>
    <t>S.005/023</t>
  </si>
  <si>
    <t>Tersedia dan terimplementasi kebijakan dan pedoman pengembangan karir dosen dan tenaga kependidikan yang terlaksana secara konsisten dan terdokumentasi dengan baik.</t>
  </si>
  <si>
    <t>S.005/024</t>
  </si>
  <si>
    <t>S.005/025</t>
  </si>
  <si>
    <t>Terlaksana survei kepuasan dosen, tenaga kependidikan dan mahasiswa terhadap pengelolaan keuangan dengan tingkat kepuasan mencapai 75%</t>
  </si>
  <si>
    <t>S.008/011</t>
  </si>
  <si>
    <t>Terlaksana survei kepuasan dosen terhadap pengelolaan penelitian dengan tingkat
kepuasan mencapai 75%.</t>
  </si>
  <si>
    <t>S.012/006</t>
  </si>
  <si>
    <t>Terlaksananya pengelolaan sarana dan prasarana penelitian yang meliputi
laboratorium, perangkat keras, perangkat lunak, bandwidth, dan bahan pustaka.</t>
  </si>
  <si>
    <t>S.014/006</t>
  </si>
  <si>
    <t>Terlaksananya pengelolaan sarana dan prasarana pengabdian kepada masyarakat yang meliputi laboratorium, perangkat keras, perangkat lunak, bandwidth, dan bahan pustaka.</t>
  </si>
  <si>
    <t>Tersedia dokumen pengelolaan penelitian berupa prosedur, pedoman dan/atau
panduan yang sah, lengkap dan terdokumentasi dengan baik.</t>
  </si>
  <si>
    <t>S.015/012</t>
  </si>
  <si>
    <t>Terlaksana survei kepuasan dosen terhadap pengelolaan pengabdian kepada masyarakat dengan tingkat kepuasan mencapai 75%.</t>
  </si>
  <si>
    <t>S.020/006</t>
  </si>
  <si>
    <t>Tersedia dokumen pengelolaan pengabdian kepada masyarakat berupa prosedur, pedoman dan/atau panduan yang sah, lengkap dan terdokumentasi dengan baik.</t>
  </si>
  <si>
    <t>S.023/012</t>
  </si>
  <si>
    <t>Terlaksana survei pemahaman mahasiswa, dosen dan tenaga kependidikan terhadap VMTS PT, UPPS dan PS dengan tingkat pemahaman mencapai 75%.</t>
  </si>
  <si>
    <t>S.025/011</t>
  </si>
  <si>
    <t>FORMULIR MONITORING DAN EVALUASI KINERJA LEVEL UNIT PENGELOLA PROGRAM STUDI (LAM PT-KES NERS)</t>
  </si>
  <si>
    <t>Terlaksana audit internal terhadap pengelolaan keuangan di UPPS.</t>
  </si>
  <si>
    <t>S.008/012</t>
  </si>
  <si>
    <t>LAM PT-KES NERS</t>
  </si>
  <si>
    <t>Terlaksana Rapat Tinjauan Manajemen yang membahas hasil monitoring dan evaluasi penelitian yang dilakukan oleh dosen dan mahasiswa.</t>
  </si>
  <si>
    <t>S.012/007</t>
  </si>
  <si>
    <t>Terlaksana Rapat Tinjauan Manajemen yang membahas hasil monitoring dan evaluasi pengabdian kepada masyarakat yang dilakukan oleh dosen dan mahasiswa.</t>
  </si>
  <si>
    <t>S.020/007</t>
  </si>
  <si>
    <t>Terlaksana audit internal terhadap sistem seleksi mahasiswa dan layanan mahasiswa pada UPPS</t>
  </si>
  <si>
    <t>S.027/011</t>
  </si>
  <si>
    <t>Terlaksana audit internal terhadap layanan mahasiswa pada UPPS dengan kriteria penilaian: adanya panduan; adanya bukti pelaksanaan audit internal layanan mahasiswa; dan adanya bukti tindak lanjut untuk perbaikan layanan mahasiswa.</t>
  </si>
  <si>
    <t>S.028/005</t>
  </si>
  <si>
    <t>FORMULIR MONITORING DAN EVALUASI KINERJA LEVEL UNIT PENGELOLA PROGRAM STUDI (LAM PT-KES GIZI)</t>
  </si>
  <si>
    <t>LAM PT-KES GIZI</t>
  </si>
  <si>
    <t>FORMULIR MONITORING DAN EVALUASI KINERJA LEVEL UNIT PENGELOLA PROGRAM STUDI (LAMDIK)</t>
  </si>
  <si>
    <t>Tersedia SK Rektor/ SK Dekan tentang keluaran dan capaian tridharma PT, dan telah disosialisasikan, dilaksanakan, dievaluasi dan ditindaklanjuti.</t>
  </si>
  <si>
    <t>S.001/015</t>
  </si>
  <si>
    <t>LAMDIK</t>
  </si>
  <si>
    <t>Tersedia dan terimplementasi kebijakan rekrutmen dan seleksi dosen yang mencakup tes kompetensi pedagogik (tes kemampuan bidang studi, peer teaching, dan wawancara); penghargaan, sanksi dan pemutusan hubungan kerja bagi dosen, dilaksanakan secara konsisten dan didokumentasikan secara baik.</t>
  </si>
  <si>
    <t>S.005/016</t>
  </si>
  <si>
    <t>Tersedia dana dan fasilitas bagi dosen tetap pada program studi kependidikan untuk mengikuti kegiatan keprofesian berkelanjutan seperti studi lanjut, postdoc, academic recharging program (ARP), kursus singkat, magang, pelatihan, sertifikasi, konferensi, seminar, dan lokakarya dalam 3 tahun terakhir.</t>
  </si>
  <si>
    <t>S.005/019</t>
  </si>
  <si>
    <t>Tersedia dan terimplementasi kebijakan rekrutmen dan tes seleksi tenaga kependidikan secara lengkap, penghargaan, sanksi dan pemutusan hubungan kerja bagi tenaga kependidikan, dilaksanakan secara konsisten dan didokumentasikan dengan baik.</t>
  </si>
  <si>
    <t>S.005/020</t>
  </si>
  <si>
    <t>Tersedia dana dan fasilitas bagi tenaga kependidikan pada program studi kependidikan untuk mengikuti program pengembangan seperti studi lanjut, diklat, workshop, sertifikasi, magang, atau peningkatan pelayanan umum lainnya (excellent service) yang relevan dengan tugas pokok dan fungsinya.</t>
  </si>
  <si>
    <t>S.005/021</t>
  </si>
  <si>
    <t>FORMULIR MONITORING DAN EVALUASI KINERJA LEVEL UNIT PENGELOLA PROGRAM STUDI (LAMEMBA)</t>
  </si>
  <si>
    <t>LAMEMBA</t>
  </si>
  <si>
    <t>Tersedia dan terealisasi rencana pengembangan sarana prasarana pembelajaran.</t>
  </si>
  <si>
    <t>S.006/008</t>
  </si>
  <si>
    <t>Terdapat muatan upaya memajukan perekonomian dan bisnis nasional serta profesi EMBA melalui pelaksanaan Tridharma Perguruan Tinggi dalam visi dan misi UPPS.</t>
  </si>
  <si>
    <t>S.025/012</t>
  </si>
  <si>
    <t>Tersedia dan terlaksana kebijakan yang ditujukan untuk memberikan peringatan dini terkait masalah retensi dan perkembangan studi mahasiswa secara terdokumentasi.</t>
  </si>
  <si>
    <t>S.028/006</t>
  </si>
  <si>
    <t>Tersedia dan terlaksana kebijakan fasilitasi kegiatan Unit Kegiatan Mahasiswa (UKM) dalam bentuk pendanaan, sarana dan prasarana.</t>
  </si>
  <si>
    <t>S.028/007</t>
  </si>
  <si>
    <t>FORMULIR MONITORING DAN EVALUASI KINERJA LEVEL UNIT PENGELOLA PROGRAM STUDI (LAMSAMA)</t>
  </si>
  <si>
    <t>Tersedia laboratorium untuk pelaksanaan pembelajaran dan pengembangan suasana akademik.</t>
  </si>
  <si>
    <t>S.006/012</t>
  </si>
  <si>
    <t>LAMSAMA</t>
  </si>
  <si>
    <t>FORMULIR MONITORING DAN EVALUASI KINERJA LEVEL UNIT PENGELOLA PROGRAM STUDI (LAMTEK)</t>
  </si>
  <si>
    <t>LAMTEK</t>
  </si>
  <si>
    <t xml:space="preserve">FORMULIR MONITORING DAN EVALUASI KINERJA LEVEL PROGRAM STUDI (BAN-PT) </t>
  </si>
  <si>
    <t>Tercapai target 100% mahasiswa yang lulus telah memenuhi KKM minimal 1.000 poin.</t>
  </si>
  <si>
    <t>S.001/013</t>
  </si>
  <si>
    <t>Tersedianya matakuliah program studi yang memungkinkan diambil oleh mahasiswa dari luar program studi di dalam UKSW, mahasiswa dari luar program studi di luar UKSW, dan mahasiswa asing.</t>
  </si>
  <si>
    <t>S.002/008</t>
  </si>
  <si>
    <t>Terlaksana Doa Pembukaan pada perkuliahan jam semua perkuliahan yang dilaksanakan pada jam pertama dan Doa Penutupan pada semua perkuliahan yang dilaksanakan pada jam terakhir setiap hari.</t>
  </si>
  <si>
    <t>S.003/017</t>
  </si>
  <si>
    <t>Terlaksananya kegiatan belajar mahasiswa yang dilakukan di luar kelas.</t>
  </si>
  <si>
    <t>S.003/026</t>
  </si>
  <si>
    <t xml:space="preserve">Terlaksana kegiatan pembelajaran daring dengan baik dan lancar. </t>
  </si>
  <si>
    <t>S.003/028</t>
  </si>
  <si>
    <t>Standar Penilaian Pembelajaran</t>
  </si>
  <si>
    <t>Terlaksana penilaian dengan model PAN (Penilaian Acuan Norma) dan PAP (Penilaian Acuan Patokan)</t>
  </si>
  <si>
    <t>S.004/007</t>
  </si>
  <si>
    <t>Terlaksananya survei kepuasan mahasiswa terhadap layanan mengajar dosen yang lengkap, antara lain: 1) Menggunakan instrumen yang valid dan mudah digunakan; 2) Dilaksanakan setiap semester dan terekam secara lengkap; 3) Dianalisis dengan metode ilmiah yang tepat untuk pengambilan keputusan; 4) Dilakukan review terhadap proses dan hasil survei; 5) Ditindaklanjuti hasilnya; dan 6) Dipublikasikan hasilnya agar mudah diakses para pemangku kepentingan.</t>
  </si>
  <si>
    <t>S.004/009</t>
  </si>
  <si>
    <t>Tercapainya kecukupan jumlah dosen Doktor untuk memenuhi rasio jumlah dosen Doktor terhadap mahasiswa Sarjana minimal 1:40</t>
  </si>
  <si>
    <t>S.005/031</t>
  </si>
  <si>
    <t>Tersedia koleksi perpustakaan yang sesuai dengan bidang kompetensi program studi.</t>
  </si>
  <si>
    <t>S.006/005</t>
  </si>
  <si>
    <t>Tersedia pusat pembelajaran akademik yang dapat dimanfaatkan oleh mahasiswa</t>
  </si>
  <si>
    <t>S.007/009</t>
  </si>
  <si>
    <t>Tersedia kesempatan bagi mahasiswa untuk menjadi asisten pengajar.</t>
  </si>
  <si>
    <t>S.007/010</t>
  </si>
  <si>
    <t>Terlaksana layanan pemberian dispensasi waktu pembayaran kuliah oleh mahasiswa.</t>
  </si>
  <si>
    <t>S.008/007</t>
  </si>
  <si>
    <t>100% hasil penelitian dosen dan mahasiswa pada program studi kependidikan dalam 3 tahun terakhir telah terpublikasi dan telah disitasi minimal sebanyak 50 artikel.</t>
  </si>
  <si>
    <t>S.009/007</t>
  </si>
  <si>
    <t>Terdapat minimal 10 luaran penelitian dosen dan mahasiswa program studi
kependidikan yang diadopsi oleh masyarakat.</t>
  </si>
  <si>
    <t>S.009/008</t>
  </si>
  <si>
    <t>Tersedia peta jalan penelitian program studi yang sah dan memayungi tema penelitian dosen dan mahasiswa untuk 80% program studi di UKSW</t>
  </si>
  <si>
    <t>S.010/003</t>
  </si>
  <si>
    <t>80% dosen program studi memiliki roadmap dan tema pokok penelitian yang relevan dengan bidang keilmuan program studi.</t>
  </si>
  <si>
    <t>S.013/007</t>
  </si>
  <si>
    <t>Terfasilitasi 80% dosen dalam kegiatan peningkatan kompetensi pada bidang
penelitian setiap tahun.</t>
  </si>
  <si>
    <t>S.013/008</t>
  </si>
  <si>
    <t>100% mahasiswa telah melaksanakan minimal 1 penelitian sebelum lulus.</t>
  </si>
  <si>
    <t>S.013/009</t>
  </si>
  <si>
    <t>Tersedia dan terealisasi dana untuk insentif publikasi ilmiah bagi dosen dan
mahasiswa.</t>
  </si>
  <si>
    <t>S.016/004</t>
  </si>
  <si>
    <t>Terdapat minimal 10 luaran Pengabdian kepada Masyarakat dosen dan mahasiswa program studi kependidikan yang diadopsi oleh masyarakat.</t>
  </si>
  <si>
    <t>S.017/009</t>
  </si>
  <si>
    <t>Tersedia peta jalan Pengabdian kepada Masyarakat program studi yang sah dan memayungi tema Pengabdian kepada Masyarakat dosen dan mahasiswa untuk 80% program studi di UKSW</t>
  </si>
  <si>
    <t>S.018/003</t>
  </si>
  <si>
    <t>80% dosen program studi memiliki roadmap dan tema pokok pengabdian kepada masyarakat yang relevan dengan bidang keilmuan program studi.</t>
  </si>
  <si>
    <t>S.021/007</t>
  </si>
  <si>
    <t>Terfasilitasi 80% dosen dalam kegiatan peningkatan kompetensi pada bidang pengabdian kepada masyarakat setiap tahun.</t>
  </si>
  <si>
    <t>S.021/008</t>
  </si>
  <si>
    <t>Tersedia dan terealisasi dana untuk insentif publikasi ilmiah bagi dosen dan mahasiswa.</t>
  </si>
  <si>
    <t>S.024/004</t>
  </si>
  <si>
    <t>Terlaksananya implementasi Sistem Informasi Penjaminan Mutu Internal di semua program studi dan unit penunjang akademik dalam proses implementasi siklus PPEPP.</t>
  </si>
  <si>
    <t>S.026/023</t>
  </si>
  <si>
    <t>Terlaksananya pembatasan penerimaan mahasiswa transfer maksimal sebanyak 5% dari keseluruhan jumlah mahasiswa program studi, untuk semua program studi.</t>
  </si>
  <si>
    <t>S.027/008</t>
  </si>
  <si>
    <t>FORMULIR MONITORING DAN EVALUASI KINERJA LEVEL PROGRAM STUDI (LAM INFOKOM)</t>
  </si>
  <si>
    <t>Tersedia karya dosen dan/atau mahasiswa yang dihasilkan melalui proses pembelajaran yang mendapat HKI.</t>
  </si>
  <si>
    <t>S.001/014</t>
  </si>
  <si>
    <t>Tersedia dan terimplementasi mekanisme proses penyelesaian tugas akhir/ tesis/ disertasi.</t>
  </si>
  <si>
    <t>S.003/018</t>
  </si>
  <si>
    <t>Tersusun dan/atau termutakhirkan visi keilmuan program studi yang sesuai dengan KKNI level 6.</t>
  </si>
  <si>
    <t>S.025/010</t>
  </si>
  <si>
    <t>Terlaksananya survei kepuasan dosen, tenaga kependidikan dan mahasiswa terhadap Tata Kelola Organisasi UPPS dan PS dengan tingkat kepuasan minimal mencapai 75%.</t>
  </si>
  <si>
    <t>S.026/027</t>
  </si>
  <si>
    <t>FORMULIR MONITORING DAN EVALUASI KINERJA LEVEL PROGRAM STUDI (LAM PT-KES NERS)</t>
  </si>
  <si>
    <t>Tercapainya target 80% lulusan Ners mampu lulus Uji Kompetensi Ners Indonesia (UKNI) dalam tiga tahun terakhir.</t>
  </si>
  <si>
    <t>S.001/018</t>
  </si>
  <si>
    <t>Tercapainya target 80% lulusan Ners mampu lulus Uji Kompetensi Ners Indonesia Objective Structured Clinical Examination (UKNIOSCE) dalam tiga tahun terakhir.</t>
  </si>
  <si>
    <t>S.001/019</t>
  </si>
  <si>
    <t>Tersedia mata kuliah praktikum yang memiliki modul praktikum dan pelaksanaannya sesuai dengan jumlah beban studi dan tempat praktikum pada tahap akademik minimal 80% dari keseluruhan matakuliah.</t>
  </si>
  <si>
    <t>S.002/011</t>
  </si>
  <si>
    <t>Tersedia mata kuliah praktikum yang memiliki modul praktikum dan pelaksanaannya sesuai dengan jumlah beban studi dan tempat praktikum pada tahap profesi masing-masing minimal 80% dari keseluruhan matakuliah.</t>
  </si>
  <si>
    <t>S.002/012</t>
  </si>
  <si>
    <t>Terlaksananya Audit Mutu Internal terhadap pencapaian sasaran sesuai dengan rencana operasional setiap tahun pada UPPS yang disertai dengan kebijakan audit, bukti pelaksanaan audit dan bukti tindak lanjut perbaikan pencapaian sasaran.</t>
  </si>
  <si>
    <t>S.025/008</t>
  </si>
  <si>
    <t>FORMULIR MONITORING DAN EVALUASI KINERJA LEVEL PROGRAM STUDI (LAM PT-KES GIZI)</t>
  </si>
  <si>
    <t>FORMULIR MONITORING DAN EVALUASI KINERJA LEVEL PROGRAM STUDI (LAMDIK)</t>
  </si>
  <si>
    <t>Terlaksananya sosialisasi, implementasi, evaluasi dan tindak lanjut dari hasil evaluasi terhadap pedoman pengembangan kurikulum secara konsisten.</t>
  </si>
  <si>
    <t>S.002/009</t>
  </si>
  <si>
    <t>Terlaksananya fasilitasi dalam bentuk pemberian dana, pemberian pendampingan, dan penyediaan pakar yang relevan untuk memfasilitasi pemutakhiran dan pengembangan kurikulum program studi</t>
  </si>
  <si>
    <t>S.002/010</t>
  </si>
  <si>
    <t>Terlaksananya pembelajaran mikro di ruang laboratorium pembelajaran mikro dengan peralatan yang lengkap.</t>
  </si>
  <si>
    <t>S.003/020</t>
  </si>
  <si>
    <t>Terlaksananya pembimbingan akademik minimal 3 kali dalam satu semester secara rutin.</t>
  </si>
  <si>
    <t>S.003/021</t>
  </si>
  <si>
    <t>Terlaksananya pembimbingan magang minimal 3 kali dalam satu periode magang.</t>
  </si>
  <si>
    <t>S.003/022</t>
  </si>
  <si>
    <t>Terlaksananya pembimbingan tugas akhir minimal 12 kali untuk mahasiswa dalam menyelesaikan tugas akhirnya.</t>
  </si>
  <si>
    <t>S.003/023</t>
  </si>
  <si>
    <t>Terlaksananya Ujian Tengah Semester dan Ujian Akhir Semester yang disiapkan secara lengkap, yang terdiri dari kisi-kisi, alat tes, rubrik penilaian dan kunci jawaban.</t>
  </si>
  <si>
    <t>S.004/008</t>
  </si>
  <si>
    <t>Terlaksananya survei kepuasan mahasiswa terhadap layanan administrasi akademik yang lengkap, antara lain: 1) Menggunakan instrumen yang valid dan mudah digunakan; 2) Dilaksanakan setiap semester dan terekam secara lengkap; 3) Dianalisis dengan metode ilmiah yang tepat untuk pengambilan keputusan; 4) Dilakukan review terhadap proses dan hasil survei; 5) Ditindaklanjuti hasilnya; dan Dipublikasikan hasilnya agar mudah diakses para pemangku kepentingan.</t>
  </si>
  <si>
    <t>S.004/010</t>
  </si>
  <si>
    <t>Terlaksananya survei kepuasan mahasiswa terhadap sarana prasarana pembelajaran yang lengkap, antara lain: 1) Menggunakan instrumen yang valid dan mudah digunakan; 2) Dilaksanakan setiap semester dan terekam secara lengkap; 3) Dianalisis dengan metode ilmiah yang tepat untuk pengambilan keputusan; 4) Dilakukan review terhadap proses dan hasil survei; 5) Ditindaklanjuti hasilnya; dan Dipublikasikan hasilnya agar mudah diakses para pemangku kepentingan.</t>
  </si>
  <si>
    <t>S.004/011</t>
  </si>
  <si>
    <t>Terlaksana penggunaan minimal 2 dosen dengan kualifikasi akademik S3 dan 5 dosen dengan kualifikasi akademik S2 setiap satu tahun akademik.</t>
  </si>
  <si>
    <t>S.005/017</t>
  </si>
  <si>
    <t>Terlaksana penggunaan minimal 5 dosen dengan kualifikasi jabatan fungsional guru besar dan lektor kepala setiap satu tahun akademik.</t>
  </si>
  <si>
    <t>S.005/018</t>
  </si>
  <si>
    <t>Tersedianya kebijakan terkait penelitian yang telah tersosialisasikan, terlaksana
dievaluasi dan ditindaklanjuti.</t>
  </si>
  <si>
    <t>S.010/004</t>
  </si>
  <si>
    <t>Tersedia dana publikasi untuk dosen program studi kependidikan minimal 3 juta
per dosen per tahun.</t>
  </si>
  <si>
    <t>S.016/005</t>
  </si>
  <si>
    <t>100% hasil PkM dosen dan mahasiswa pada program studi kependidikan dalam 3 tahun terakhir telah terpublikasi dan telah disitasi minimal sebanyak 50 artikel.</t>
  </si>
  <si>
    <t>S.017/008</t>
  </si>
  <si>
    <t>Tersedianya kebijakan terkait Pengabdian kepada Masyarakat yang telah tersosialisasikan, terlaksana, dievaluasi dan ditindaklanjuti.</t>
  </si>
  <si>
    <t>S.018/004</t>
  </si>
  <si>
    <t>Tersedia dana publikasi untuk dosen program studi kependidikan minimal 3 juta per dosen per tahun.</t>
  </si>
  <si>
    <t>S.024/005</t>
  </si>
  <si>
    <t>Tersusun dan/atau termutakhirkan visi keilmuan prodi dengan jelas, kredibel dan realistis dilihat dari daya dukung yang dimiliki program studi dan disahkan dengan SK Rektor.</t>
  </si>
  <si>
    <t>S.025/009</t>
  </si>
  <si>
    <t>Tersedianya unit/gugus penjaminan mutu yang melaksanakan siklus PPEPP secara konsisten dan memiliki dokumen pendukung yang lengkap di semua program studi kependidikan.</t>
  </si>
  <si>
    <t>S.026/026</t>
  </si>
  <si>
    <t>FORMULIR MONITORING DAN EVALUASI KINERJA LEVEL PROGRAM STUDI (LAMEMBA)</t>
  </si>
  <si>
    <t>Terlaksana dan terdokumentasi monev proses pembelajaran sebagai bagian dari evaluasi kinerja dosen</t>
  </si>
  <si>
    <t>S.001/020</t>
  </si>
  <si>
    <t>Terlaksana dan terdokumentasi monev proses pembelajaran sebagai bagian dari evaluasi kinerja tenaga kependidikan</t>
  </si>
  <si>
    <t>S.001/021</t>
  </si>
  <si>
    <t>Terlaksananya evaluasi kinerja dosen berdasarkan luaran penelitian yang dihasilkan
oleh dosen program studi EMBA.</t>
  </si>
  <si>
    <t>S.009/009</t>
  </si>
  <si>
    <t>Tersedia dan terimplementasi pedoman yang mengatur kontribusi hasil luaran
penelitian untuk pengembangan ilmu pengetahuan, praktek dan profesional.</t>
  </si>
  <si>
    <t>S.009/010</t>
  </si>
  <si>
    <t>Tersedia dan terealisasinya rencana pengembangan sarana prasarana penelitian.</t>
  </si>
  <si>
    <t>S.014/005</t>
  </si>
  <si>
    <t>Tersedia dan terlaksana perencanaan penggalian dana penelitian dari luar institusi
untuk membiayai penelitian dosen dan mahasiswa.</t>
  </si>
  <si>
    <t>S.016/006</t>
  </si>
  <si>
    <t>Terlaksananya evaluasi kinerja dosen berdasarkan luaran Pengabdian kepada Masyarakat yang dihasilkan oleh dosen program studi EMBA.</t>
  </si>
  <si>
    <t>S.017/010</t>
  </si>
  <si>
    <t>Tersedia dan terimplementasi pedoman yang mengatur kontribusi hasil luaran Pengabdian kepada Masyarakat untuk pengembangan ilmu pengetahuan, praktek dan profesional.</t>
  </si>
  <si>
    <t>S.017/011</t>
  </si>
  <si>
    <t>Tersedia dan terealisasinya rencana pengembangan sarana prasarana pengabdian kepada masyarakat.</t>
  </si>
  <si>
    <t>S.022/005</t>
  </si>
  <si>
    <t>Tersedia dan terlaksana perencanaan penggalian dana pengabdian kepada masyarakat dari luar institusi untuk membiayai Pengabdian kepada Masyarakat dosen dan mahasiswa.</t>
  </si>
  <si>
    <t>S.024/006</t>
  </si>
  <si>
    <t>FORMULIR MONITORING DAN EVALUASI KINERJA LEVEL PROGRAM STUDI (LAMSAMA)</t>
  </si>
  <si>
    <t>Tercapainya target 55% lulusan yang lulus pada TS-2, TS-3 dan TS-4 memiliki pendapatan di atas UMK/UMR.</t>
  </si>
  <si>
    <t>S.001/016</t>
  </si>
  <si>
    <t>Tersedia matakuliah basic sains dan matematika minimal sebanyak 25 SKS</t>
  </si>
  <si>
    <t>S.002/013</t>
  </si>
  <si>
    <t>Terlaksana pembelajaran yang menggunakan pendekatan PBL (Project Based Learning) dan CBL (Case Based Learning) serta berpusat pada mahasiswa.</t>
  </si>
  <si>
    <t>S.003/019</t>
  </si>
  <si>
    <t>Terlaksana dan terdokumentasi proyek rekayasa penciri program studi (capstone design) yang memiliki: Panduan pelaksanaan; Rumusan capaian pembelajaran mata kuliah; Menggunakan standar-standar keteknikan dan batasan-batasan realistis berdasarkan pada pengetahuan dan ketrampilan yang telah diperoleh di perkuliahan sebelumnya.</t>
  </si>
  <si>
    <t>S.003/024</t>
  </si>
  <si>
    <t>Terdapat minimal 25% mahasiswa dari keseluruhan mahasiswa aktif yang mengikuti program MBKM.</t>
  </si>
  <si>
    <t>S.003/025</t>
  </si>
  <si>
    <t>Tercapainya minimal 80% dosen memiliki h-index scopus atau wos dan sinta score.</t>
  </si>
  <si>
    <t>S.005/026</t>
  </si>
  <si>
    <t>Terlibatnya dosen praktisi minimal sebanyak 5% dari keseluruhan jumlah dosen.</t>
  </si>
  <si>
    <t>S.005/027</t>
  </si>
  <si>
    <t>FORMULIR MONITORING DAN EVALUASI KINERJA LEVEL PROGRAM STUDI (LAMTEK)</t>
  </si>
  <si>
    <t>Tercapainya target mahasiswa DO/ mengundurkan diri maksimal 6% per Angkatan selama 3 tahun terakhir.</t>
  </si>
  <si>
    <t>S.001/017</t>
  </si>
  <si>
    <r>
      <t xml:space="preserve">Persentase Capaian 
</t>
    </r>
    <r>
      <rPr>
        <i/>
        <sz val="11"/>
        <color theme="1"/>
        <rFont val="Calibri"/>
        <family val="2"/>
        <scheme val="minor"/>
      </rPr>
      <t>(tuliskan seberapa besar persentase pencapaian UPPS terhadap setiap indikator, persentase dituliskan berdasarkan penilaian pimpinan PT/evaluasi diri)</t>
    </r>
  </si>
  <si>
    <r>
      <t xml:space="preserve">Persentase Capaian 
</t>
    </r>
    <r>
      <rPr>
        <i/>
        <sz val="11"/>
        <color theme="1"/>
        <rFont val="Calibri"/>
        <family val="2"/>
        <scheme val="minor"/>
      </rPr>
      <t>(tuliskan seberapa besar persentase pencapaian prodi terhadap setiap indikator, persentase dituliskan berdasarkan penilaian pimpinan PT/evaluasi diri)</t>
    </r>
  </si>
  <si>
    <t>NAMA SHEET</t>
  </si>
  <si>
    <t>KETERANGAN</t>
  </si>
  <si>
    <t xml:space="preserve">Isian Prodi </t>
  </si>
  <si>
    <t>Wajib diisi oleh semua PS</t>
  </si>
  <si>
    <t xml:space="preserve">Kertas Kerja </t>
  </si>
  <si>
    <t>Form Monev PT</t>
  </si>
  <si>
    <t>Diisi oleh Rektorat bersama Direktorat</t>
  </si>
  <si>
    <t>Form Monev UPPS BAN-PT</t>
  </si>
  <si>
    <t>Diisi oleh UPPS yang mengelola PS yang diakreditasi oleh BANPT</t>
  </si>
  <si>
    <t>Form Monev UPPS LAM INFOKOM</t>
  </si>
  <si>
    <t>Diisi oleh UPPS yang mengelola PS yang diakreditasi oleh LAM INFOKOM</t>
  </si>
  <si>
    <t>Form Monev UPPS LAM PTKES NERS</t>
  </si>
  <si>
    <t>Diisi oleh UPPS yang mengelola PS yang diakreditasi oleh LAM PTKES NERS</t>
  </si>
  <si>
    <t>Form Monev UPPS LAM PTKES GIZI</t>
  </si>
  <si>
    <t>Diisi oleh UPPS yang mengelola PS yang diakreditasi oleh LAM PTKES GIZI</t>
  </si>
  <si>
    <t>Form Monev UPPS LAMDIK</t>
  </si>
  <si>
    <t>Diisi oleh UPPS yang mengelola PS yang diakreditasi oleh LAMDIK</t>
  </si>
  <si>
    <t xml:space="preserve">Form Monev UPPS LAMEMBA </t>
  </si>
  <si>
    <t>Diisi oleh UPPS yang mengelola PS yang diakreditasi oleh LAMEMBA</t>
  </si>
  <si>
    <t>Form Monev UPPS LAMSAMA</t>
  </si>
  <si>
    <t>Diisi oleh UPPS yang mengelola PS yang diakreditasi oleh LAMSAMA</t>
  </si>
  <si>
    <t>Form Monev UPSS LAMTEK</t>
  </si>
  <si>
    <t>Diisi oleh UPPS yang mengelola PS yang diakreditasi oleh LAMTEK</t>
  </si>
  <si>
    <t>Form Monev PS BAN-PT</t>
  </si>
  <si>
    <t>Diisi oleh PS yang mengelola PS yang diakreditasi oleh BANPT</t>
  </si>
  <si>
    <t>Form Monev PS LAM INFOKOM</t>
  </si>
  <si>
    <t>Diisi oleh PS yang mengelola PS yang diakreditasi oleh LAM INFOKOM</t>
  </si>
  <si>
    <t>Form Monev PS LAM PTKES NERS</t>
  </si>
  <si>
    <t>Diisi oleh PS yang mengelola PS yang diakreditasi oleh LAM PTKES NERS</t>
  </si>
  <si>
    <t>Form Monev PS LAM PTKES GIZI</t>
  </si>
  <si>
    <t>Diisi oleh PS yang mengelola PS yang diakreditasi oleh LAM PTKES GIZI</t>
  </si>
  <si>
    <t>Form Monev PS LAMDIK</t>
  </si>
  <si>
    <t>Diisi oleh PS yang mengelola PS yang diakreditasi oleh LAMDIK</t>
  </si>
  <si>
    <t xml:space="preserve">Form Monev PS LAMEMBA </t>
  </si>
  <si>
    <t>Diisi oleh PS yang mengelola PS yang diakreditasi oleh LAMEMBA</t>
  </si>
  <si>
    <t>Form Monev PS LAMSAMA</t>
  </si>
  <si>
    <t>Diisi oleh PS yang mengelola PS yang diakreditasi oleh LAMSAMA</t>
  </si>
  <si>
    <t>Form Monev PS LAMTEK</t>
  </si>
  <si>
    <t>Diisi oleh PS yang mengelola PS yang diakreditasi oleh LAMTEK</t>
  </si>
  <si>
    <t>Lap AK</t>
  </si>
  <si>
    <t>Lap ED</t>
  </si>
  <si>
    <t xml:space="preserve">Peta Risiko </t>
  </si>
  <si>
    <t>Lap ISK</t>
  </si>
  <si>
    <t>IPEPA 1</t>
  </si>
  <si>
    <t>Analisis SWOT</t>
  </si>
  <si>
    <t>Secara otomatis terisi berdasarkan isian PS dan UPPS di Kertas Kerja</t>
  </si>
  <si>
    <t>Dapat Digunakan PS dan UPPS untuk menyusun Analisis SWOT</t>
  </si>
  <si>
    <t>(1) Laporan hasil analisis SWOT yang dilakukan maksimal dalam 2 tahun terakhir.
(2) Rencana strategis fakultas yang telah disahkan dengan SK Rektor.</t>
  </si>
  <si>
    <t>(1) Profil fakultas yang memuat visi misi, gambaran umum tata pamong, sistem admisi, layanan kemahasiswaan yang tersedia, kualitas dan kuantitas dosen serta tenaga kependidikan, biaya pendidikan, sarana prasarana yang tersedia, kurikulum, karya penelitian dan PkM dosen, produk unggulan fakultas dan program studi, serta informasi lain yang relevan.</t>
  </si>
  <si>
    <t>(1) VMTS fakultas yang telah disahkan dengan SK Rektor
(2) Visi keilmuan program studi yang telah disahkan dengan SK Rektor</t>
  </si>
  <si>
    <t>(1) Prosedur/Panduan Penyusunan Pemutakhiran VMTS Fakultas dan Prodi
(2) Laporan penyusunan VMTS yang memuat pelibatan pemangku kepentingan internal dan eksternal, berita acara/ dokumentasi/ notulen keterlibatan pihak internal dan eksternal.</t>
  </si>
  <si>
    <t>(1) Rencana strategis fakultas yang telah disahkan dengan SK Rektor.</t>
  </si>
  <si>
    <t>(1) Struktur organisasi fakultas yang lengkap dengan tugas pokok dan fungsi, dan telah disahkan dengan SK Rektor.
(2) Laporan akhir tahun fakultas.</t>
  </si>
  <si>
    <t>(1) Bukti karakter kepemimpinan operasional
(2) Bukti karakter kepemimpinan organisasional
(3) Bukti karakter kepemimpinan publik</t>
  </si>
  <si>
    <t>(1) Rencana strategis dan rencana operasional fakultas yang telah disahkan dengan SK Rektor
(2) Struktur organisasi fakultas yang lengkap dengan tugas pokok dan fungsi, dan telah disahkan dengan SK Rektor
(3) SK penempatan dosen
(4) SK penempatan tendik
(5) Laporan AMI program studi
(6) Laporan RTM tingkat fakultas
(7) Laporan pelaksanaan tindak lanjut hasil AMI
(8) Laporan akhir tahun fakultas</t>
  </si>
  <si>
    <t>(1) Rekap kerjasama fakultas bidang pendidikan, penelitian dan PkM.
(2) Bukti kerjasama fakultas dalam bentuk MoU, MoA, IA, PKS
(3) Laporan survei kepuasan mitra kerjasama</t>
  </si>
  <si>
    <t>(1) Rekap kerjasama fakultas bidang pendidikan, penelitian dan PkM.</t>
  </si>
  <si>
    <t>(1) SPMI UKSW 2023-2027
(2) Indikator Kinerja Tambahan (IKT) atau Standar Tambahan yang ditetapkan secara khusus di tingkat fakultas atau program studi.</t>
  </si>
  <si>
    <t>(1) Laporan AMI seluruh program studi yang dikelola fakultas
(2) Laporan akhir tahun fakultas.</t>
  </si>
  <si>
    <t>(1) SK UPMF dan GPM
(2) Dokumen SPMI Universitas
(3) Laporan AMI
(4) Laporan RTM Fakultas
(5) Laporan kegiatan bencmarking bidang penjaminan mutu, pendidikan, penelitian dan PkM</t>
  </si>
  <si>
    <t>(1) Laporan survei kepuasan stakehoder untuk semua bidang
(2) Laporan tindak lanjut hasil survei kepuasan stakehoder untuk semua bidang
(3) Bukti publikasi hasil survei kepuasan stakehoder</t>
  </si>
  <si>
    <t>(1) Data pendaftar 3 tahun terakhir
(2) Data pendaftar yang diterima 3 tahun terakhir
(3) Data mahasiswa baru 3 tahun terakhir</t>
  </si>
  <si>
    <t>(1) Data pendaftar 3 tahun terakhir</t>
  </si>
  <si>
    <t>(1) Bukti keterlaksanaan layanan kemahasiswaan pada bidang penalaran, minat dan bakat,
(2) Bukti keterlaksanaan layanan kemahasiswaan pada bidang kesejahteraan (bimbingan dan konseling, layanan beasiswa, dan layanan kesehatan), dan
(3) Bukti keterlaksanaan layanan kemahasiswaan pada bidang bimbingan karir dan kewirausahaan.</t>
  </si>
  <si>
    <t>(1) Rekap Nama, Riwayat Pendidikan, dan Jabatan Fungsional DTPS (Semua dosen YPTKSW yang mengajar mata kuliah inti/ kompetensi program studi)</t>
  </si>
  <si>
    <t>(1) SK JAFA terakhir DTPS (Semua dosen YPTKSW yang mengajar mata kuliah inti/ kompetensi program studi)</t>
  </si>
  <si>
    <t>(1) SK pembimbing Tugas Akhir Mahasiswa</t>
  </si>
  <si>
    <t>(1) Laporan Kinerja Dosen (LKD)</t>
  </si>
  <si>
    <t>(1) Rekap Nama, Riwayat Pendidikan, dan Jabatan Fungsional Dosen Tidak tetap (DTT)</t>
  </si>
  <si>
    <t>(1) Rekap rekognisi/prestasi dosen
(2) Bukti rekognisi/prestasi dosen</t>
  </si>
  <si>
    <t>(1) Rekap kegiatan pengabdian masyarakat DTPS yang memuat nama dosen, judul penelitian, jumlah dana, dan sumber dana.</t>
  </si>
  <si>
    <t>(1) Rekap publikasi DTPS yang memuat nama dosen, judul publikasi dan link publikasi.</t>
  </si>
  <si>
    <t>(1) Rencana pengembangan dosen fakultas
(2) Rekap kegiatan pengembangan dosen
(3) Bukti kegiatan pengembangan dosen</t>
  </si>
  <si>
    <t>(1) Rekap tenaga kependidikan yang memuat nama, bidang kerja, pendidikan terakhir, dan sertifikat kompetensi yang dimiliki
(2) Ijazah tenaga kependidikan
(3) Laporan evaluasi kinerja pegawai (DP3)</t>
  </si>
  <si>
    <t>(1) Laporan perhitungan Biaya Operasional Pendidikan (BOP)</t>
  </si>
  <si>
    <t>(1) Laporan perhitungan dana penelitian DTPS</t>
  </si>
  <si>
    <t>(1) Laporan perhitungan dana PkM DTPS</t>
  </si>
  <si>
    <t>(1) Rekap realisasi penggunaan dana untuk investasi sarana prasarana
(2) Rekap realisasi penggunaan dana untuk investasi dosen dan tenaga kependidikan</t>
  </si>
  <si>
    <t>(1) Data pemasukan dana fakultas dan program studi selama 3 tahun terakhir
(2) Realisasi anggaran fakultas dan program studi selama 3 tahun terakhir</t>
  </si>
  <si>
    <t>(1) Daftar sarana dan prasarana yang digunakan program studi
(2) SOP penggunaan sarana dan prasarana yang digunakan program studi
(3) Data penggunaan/Logbook sarana prasarana yang digunakan program studi</t>
  </si>
  <si>
    <t>(1) Laporan pemutakhiran kurikulum yang memuat tim pelaksana, pihak internal dan eksternal yang terlibat, dokumentasi, dasar pemutakhiran, dan hasil pemutakhiran kurikulum.
(2) Bukti pelaksanaan review kurikulum oleh pakar.</t>
  </si>
  <si>
    <t>(1) Rencana Pembelajaran Semester (RPS) semua mata mata kuliah yang telah disahkan Kaprodi
(2) Laporan pelaksanaan pembelajaran yang disusun dosen bersama kaprodi</t>
  </si>
  <si>
    <t>(1) Rencana Pembelajaran Semester (RPS) semua mata mata kuliah yang telah disahkan Kaprodi
(2) Laporan pemutakhiran RPS
(3) Bukti publikasi RPS ke mahasiswa</t>
  </si>
  <si>
    <t>(1) Laporan monev pembelajaran yang disusun kaprodi bersama GPM</t>
  </si>
  <si>
    <t>(1) Pedoman penilaian pembelajaran
(2) Bukti pengolahan data hasil pembelajaran
(3) Bukti transparansi penilaian</t>
  </si>
  <si>
    <t>(1) Pedoman pelaksanaan integrasi penelitian dan PkM ke dalam Pembelajaran
(2) Rekap integrasi penelitian dan PkM ke dalam Pembelajaran yang dilaksanakan dalam 3 tahun terakhir
(3) Bukti pelaksanaan integrasi penelitian dan PkM ke dalam Pembelajaran yang dilaksanakan dalam 3 tahun terakhir</t>
  </si>
  <si>
    <t>(1) Rekap kegiatan diluar kegiatan pembelajaran terstruktur untuk meningkatkan suasana akademik yang berisi nama kegiatan, tanggal pelaksanaan, serta jumlah dan sumber dana yang digunakan.
(2) Bukti pelaksanaan (dokumentasi laporan, foto, daftar hadir, dll) kegiatan diluar kegiatan pembelajaran terstruktur untuk meningkatkan suasana akademik.</t>
  </si>
  <si>
    <t>(1) Laporan Survey Kepuasan Mahasiswa terhadap Layanan Pembelajaran yang memuat indikator, instrumen, uji instrumen, data, hasil analisis dan simpulan hasil survey</t>
  </si>
  <si>
    <t>(1) Peta jalan penelitian fakultas
(2) Rekap penelitian DTPS yang berisi nama dosen, judul penelitian dan tahun pelaksanaan penelitian
(3) Rekap penelitian mahasiswa yang berisi nama dosen, judul penelitian dan tahun pelaksanaan penelitian
(4) Prosedur/mekanisme monev kesesuaian penelitian dosen dan mahasiswa dengan peta jalan penelitian fakultas
(5) Bukti pelaksanaan (laporan/berita acara monev kesesuaian penelitian dosen dan mahasiswa dengan peta jalan penelitian fakultas</t>
  </si>
  <si>
    <t>(1) Peta jalan PkM fakultas
(2) Rekap PkM DTPS yang berisi nama dosen, judul PkM dan tahun pelaksanaan PkM
(3) Rekap PkM mahasiswa yang berisi nama dosen, judul PkM dan tahun pelaksanaan PkM
(4) Prosedur/mekanisme monev kesesuaian PkM dosen dan mahasiswa dengan peta jalan PkM fakultas
(5) Bukti pelaksanaan (laporan/berita acara monev kesesuaian PkM dosen dan mahasiswa dengan peta jalan PkM fakultas</t>
  </si>
  <si>
    <t>(1) Pedoman pelaksanaan Analisis pemenuhan capaian pembelajaran lulusan (CPL)
(2) Laporan Hasil Analisis pemenuhan capaian pembelajaran lulusan (CPL)</t>
  </si>
  <si>
    <t>(1) Data IPK lulusan 3 tahun terakhir</t>
  </si>
  <si>
    <t>(1) Rekap prestasi akademik mahasiswa
(2) Bukti prestasi akademik mahasiswa</t>
  </si>
  <si>
    <t>(1) Data masa studi lulusan 5 tahun terakhir</t>
  </si>
  <si>
    <t>(1) Data mahasiswa yang diterima pada TS-4
(2) Data Lulusan 5 tahun terakhir
(3) Data mahasiswa mengundurkan diri atau DO</t>
  </si>
  <si>
    <t>(1) Kebijakan dan mekanisme tracer study alumni UKSW
(2) Laporan tracer study yang memuat instrumen, hasil uji instrumen, serta hasil survei dan analisisnya
(3) Laporan pemutakhiran kurikulum</t>
  </si>
  <si>
    <t>(1) Data jumlah lulusan 5 tahun terakhir
(2) Laporan tracer study yang memuat instrumen, hasil uji instrumen, serta hasil survei dan analisisnya</t>
  </si>
  <si>
    <t>(1) Laporan hasil analisis SWOT yang dilakukan maksimal dalam 2 tahun terakhir.
(2) Rencana strategis fakultas yang telah disahkan dengan SK Rektor.
(3) Profil fakultas yang memuat visi misi, gambaran umum tata pamong, sistem admisi, layanan kemahasiswaan yang tersedia, kualitas dan kuantitas dosen serta tenaga kependidikan, biaya pendidikan, sarana prasarana yang tersedia, kurikulum, karya penelitian dan PkM dosen, produk unggulan fakultas dan program studi, serta informasi lain yang relevan.</t>
  </si>
  <si>
    <t>(1) Kebijakan dan mekanisme survei kepuasan pengguna alumni UKSW
(2) Laporan survei kepuasan pengguna alumni yang memuat instrumen, hasil uji instrumen, serta hasil survei dan analisisnya</t>
  </si>
  <si>
    <t>(1) Laporan akhir tahun fakultas
(2) Laporan akhir tahun progam studi
(3) Bukti publikasi laporan akhir tahun fakultas dan program studi
(4) Berita acara pengesahan hasil rapat evaluasi tahunan fakultas dan program studi yang dilakukan dalam forum rapat kerja tahunan</t>
  </si>
  <si>
    <t>(1) Rekap Jumlah judul artikel yang disitasi.</t>
  </si>
  <si>
    <t>(1) Rekap Judul Penelitian DTPS yang dalam pelaksanaannya melibatkan mahasiswa program studi dalam 3 tahun terakhir.
(2) Rekap judul semua penelitian DTPS dalam 3 tahun terakhir</t>
  </si>
  <si>
    <t>(1) Rekap Judul Penelitian tugas akhir mahasiswa S2/S3 dalam 3 tahun terakhir.
(2) Rekap judul semua penelitian DTPS dalam 3 tahun terakhir</t>
  </si>
  <si>
    <t>(1) Artikel mahasiswa yang disitasi dalam 3 tahun terakhir.</t>
  </si>
  <si>
    <t xml:space="preserve">(1) Rekap publikasi di jurnal nasional tidak terakreditasi.
(2) Rekap publikasi di jurnal nasional terakreditasi.
(3) Rekap publikasi di jurnal internasional.
(4) Rekap publikasi di jurnal internasional bereputasi.
(5) Rekap publikasi di seminar wilayah/lokal/PT.
(6) Rekap publikasi di seminar nasional.
(7) Rekap publikasi di seminar internasional.
(8) Rekap tulisan di media massa wilayah.
(9) Rekap tulisan di media massa nasional.
(10) Rekap Jumlah tulisan di media massa internasional.
</t>
  </si>
  <si>
    <t xml:space="preserve">(1) Rekap luaran penelitian/PkM yang mendapat pengakuan HKI (Paten, Paten Sederhana) 
(2) Rekap luaran penelitian/PkM yang mendapat pengakuan HKI (Hak Cipta, Desain Produk Industri, Perlindungan Varietas Tanaman, Desain Tata Letak Sirkuit Terpadu, dll.) 
(3) Rekap luaran penelitian/PkM dalam bentuk Teknologi Tepat Guna, Produk (Produk Terstandarisasi, Produk Tersertifikasi), Karya Seni, Rekayasa Sosial. 
(4) Rekap luaran penelitian/PkM yang diterbitkan dalam bentuk Buku ber-ISBN, Book Chapter. </t>
  </si>
  <si>
    <t>(3) Bukti penerapan pilar kredibel pada pengelolaan fakultas
(4) Bukti penerapan pilar transparan pada pengelolaan fakultas
(5)Bukti penerapan pilar akuntabel pada pengelolaan fakultas
(6)Bukti penerapan pilar bertanggung jawab pada pengelolaan fakultas
(7)Bukti penerapan pilar adil pada pengelolaan fakultas</t>
  </si>
  <si>
    <t>(4) Prosedur layanan kemahasiswaan pada bidang penalaran, minat dan bakat,
(5) Prosedur layanan kemahasiswaan pada bidang kesejahteraan (bimbingan dan konseling, layanan beasiswa, dan layanan kesehatan), dan
(6) Prosedur layanan kemahasiswaan pada bidang bimbingan karir dan kewirausahaan.</t>
  </si>
  <si>
    <t>(4) Rekap laboran yang memuat nama, bidang kerja, pendidikan terakhir, dan sertifikat kompetensi yang dimiliki
(5) Ijazah terakhir laboran
(6) Laporan evaluasi kinerja pegawai (DP3)</t>
  </si>
  <si>
    <t>(3) Kurikulum prodi yang disahkan melalui SK Rektor</t>
  </si>
  <si>
    <t>(4) Kurikulum prodi yang disahkan melalui SK Rektor</t>
  </si>
  <si>
    <t>(4) Rencana Pembelajaran Semester (RPS) semua mata mata kuliah yang telah disahkan Kaprodi</t>
  </si>
  <si>
    <t>(3) Prosedur atau panduan monitoring kesesuaian pelaksanaan pembelajaran dengan RPS.
(4) Laporan monitoring kesesuaian pelaksanaan pembelajaran dengan RPS yang dilakukan Kaprodi bersama GPM dan UPMF.</t>
  </si>
  <si>
    <t>(5) Rekap matakuliah yang diintegrasikan dengan penelitian
(6) RPS matakuliah yang diintegrasikan dengan penelitian</t>
  </si>
  <si>
    <t>(7) Rekap matakuliah yang diintegrasikan dengan PkM
(8) RPS matakuliah yang diintegrasikan dengan PkM</t>
  </si>
  <si>
    <t>(9) Rencana Pembelajaran Semester (RPS) semua mata mata kuliah yang telah disahkan Kaprodi
(10) Laporan monev pembelajaran yang disusun kaprodi bersama GPM</t>
  </si>
  <si>
    <t>(4) Rencana Pembelajaran Semester (RPS) semua mata mata kuliah yang telah disahkan Kaprodi
(5) Bukti pengolahan data hasil pembelajaran</t>
  </si>
  <si>
    <t>(6) Pedoman penilaian pembelajaran
(7) Bukti pengolahan data hasil pembelajaran
(8) Bukti transparansi penilaian
(9) Rencana Pembelajaran Semester (RPS) semua mata mata kuliah yang telah disahkan Kaprodi
(10) Formulir perubahan nilai
(11) Bukti transparansi nilai</t>
  </si>
  <si>
    <t>(2) Berita acara dan notulen rapat penetapan tindak lanjut hasil Survey Kepuasan Mahasiswa terhadap Layanan Pembelajaran
(3) Berita acara hasil pelaksanaan tindak lanjut asil Survey Kepuasan Mahasiswa terhadap Layanan Pembelajaran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</si>
</sst>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43" formatCode="_(* #,##0.00_);_(* \(#,##0.00\);_(* &quot;-&quot;??_);_(@_)"/>
    <numFmt numFmtId="164" formatCode="_-* #,##0.00_-;\-* #,##0.00_-;_-* &quot;-&quot;??_-;_-@_-"/>
    <numFmt numFmtId="165" formatCode="[$-409]d\-mmm\-yyyy;@"/>
    <numFmt numFmtId="166" formatCode="0.0"/>
    <numFmt numFmtId="167" formatCode="_(* #,##0.00_);_(* \(#,##0.00\);_(* &quot;-&quot;_);_(@_)"/>
  </numFmts>
  <fonts count="58" x14ac:knownFonts="1">
    <font>
      <sz val="11"/>
      <color theme="1"/>
      <name val="Calibri"/>
      <family val="2"/>
      <scheme val="minor"/>
    </font>
    <font>
      <b/>
      <sz val="11"/>
      <color theme="0"/>
      <name val="Calibri"/>
      <family val="2"/>
      <scheme val="minor"/>
    </font>
    <font>
      <b/>
      <sz val="11"/>
      <color theme="1"/>
      <name val="Calibri"/>
      <family val="2"/>
      <scheme val="minor"/>
    </font>
    <font>
      <b/>
      <sz val="12"/>
      <color theme="1"/>
      <name val="Calibri"/>
      <family val="2"/>
      <scheme val="minor"/>
    </font>
    <font>
      <b/>
      <sz val="12"/>
      <color theme="0"/>
      <name val="Calibri"/>
      <family val="2"/>
      <scheme val="minor"/>
    </font>
    <font>
      <b/>
      <sz val="12"/>
      <color rgb="FFFFFF00"/>
      <name val="Calibri"/>
      <family val="2"/>
      <scheme val="minor"/>
    </font>
    <font>
      <b/>
      <sz val="11"/>
      <name val="Calibri"/>
      <family val="2"/>
      <scheme val="minor"/>
    </font>
    <font>
      <sz val="11"/>
      <color theme="1"/>
      <name val="Calibri"/>
      <family val="2"/>
      <scheme val="minor"/>
    </font>
    <font>
      <b/>
      <sz val="11"/>
      <color indexed="8"/>
      <name val="Calibri"/>
      <family val="2"/>
      <scheme val="minor"/>
    </font>
    <font>
      <b/>
      <u/>
      <sz val="11"/>
      <color indexed="8"/>
      <name val="Calibri"/>
      <family val="2"/>
      <scheme val="minor"/>
    </font>
    <font>
      <sz val="11"/>
      <color indexed="8"/>
      <name val="Calibri"/>
      <family val="2"/>
      <scheme val="minor"/>
    </font>
    <font>
      <b/>
      <sz val="10"/>
      <color indexed="8"/>
      <name val="Calibri"/>
      <family val="2"/>
      <scheme val="minor"/>
    </font>
    <font>
      <sz val="10"/>
      <color theme="1"/>
      <name val="Calibri"/>
      <family val="2"/>
      <scheme val="minor"/>
    </font>
    <font>
      <sz val="9"/>
      <name val="Calibri"/>
      <family val="2"/>
      <scheme val="minor"/>
    </font>
    <font>
      <b/>
      <sz val="9"/>
      <name val="Calibri"/>
      <family val="2"/>
      <scheme val="minor"/>
    </font>
    <font>
      <sz val="9"/>
      <color indexed="8"/>
      <name val="Calibri"/>
      <family val="2"/>
      <scheme val="minor"/>
    </font>
    <font>
      <sz val="9"/>
      <color theme="1"/>
      <name val="Calibri"/>
      <family val="2"/>
      <scheme val="minor"/>
    </font>
    <font>
      <b/>
      <sz val="9"/>
      <color theme="1"/>
      <name val="Calibri"/>
      <family val="2"/>
      <scheme val="minor"/>
    </font>
    <font>
      <b/>
      <sz val="9"/>
      <color rgb="FF000000"/>
      <name val="Calibri"/>
      <family val="2"/>
      <scheme val="minor"/>
    </font>
    <font>
      <sz val="9"/>
      <color rgb="FF000000"/>
      <name val="Calibri"/>
      <family val="2"/>
      <scheme val="minor"/>
    </font>
    <font>
      <sz val="12"/>
      <color theme="1"/>
      <name val="Calibri"/>
      <family val="2"/>
      <scheme val="minor"/>
    </font>
    <font>
      <u/>
      <sz val="11"/>
      <color theme="10"/>
      <name val="Calibri"/>
      <family val="2"/>
    </font>
    <font>
      <vertAlign val="subscript"/>
      <sz val="11"/>
      <color theme="1"/>
      <name val="Calibri"/>
      <family val="2"/>
      <scheme val="minor"/>
    </font>
    <font>
      <sz val="11"/>
      <color theme="0"/>
      <name val="Calibri"/>
      <family val="2"/>
      <scheme val="minor"/>
    </font>
    <font>
      <sz val="11"/>
      <color theme="0"/>
      <name val="Calibri"/>
      <family val="2"/>
    </font>
    <font>
      <b/>
      <vertAlign val="superscript"/>
      <sz val="11"/>
      <color theme="1"/>
      <name val="Calibri"/>
      <family val="2"/>
      <scheme val="minor"/>
    </font>
    <font>
      <b/>
      <sz val="16"/>
      <color theme="1"/>
      <name val="Calibri"/>
      <family val="2"/>
      <scheme val="minor"/>
    </font>
    <font>
      <vertAlign val="subscript"/>
      <sz val="11"/>
      <color rgb="FF000000"/>
      <name val="Calibri"/>
      <family val="2"/>
      <scheme val="minor"/>
    </font>
    <font>
      <sz val="11"/>
      <name val="Calibri"/>
      <family val="2"/>
      <scheme val="minor"/>
    </font>
    <font>
      <vertAlign val="subscript"/>
      <sz val="11"/>
      <name val="Calibri"/>
      <family val="2"/>
      <scheme val="minor"/>
    </font>
    <font>
      <b/>
      <u/>
      <sz val="11"/>
      <color theme="1"/>
      <name val="Calibri"/>
      <family val="2"/>
      <scheme val="minor"/>
    </font>
    <font>
      <u/>
      <sz val="11"/>
      <color theme="1"/>
      <name val="Calibri"/>
      <family val="2"/>
      <scheme val="minor"/>
    </font>
    <font>
      <i/>
      <sz val="11"/>
      <color rgb="FF000000"/>
      <name val="Calibri"/>
      <family val="2"/>
      <scheme val="minor"/>
    </font>
    <font>
      <sz val="11"/>
      <color rgb="FF000000"/>
      <name val="Calibri"/>
      <family val="2"/>
      <scheme val="minor"/>
    </font>
    <font>
      <u/>
      <sz val="11"/>
      <color indexed="8"/>
      <name val="Calibri"/>
      <family val="2"/>
      <scheme val="minor"/>
    </font>
    <font>
      <sz val="9"/>
      <color rgb="FF000000"/>
      <name val="Calibri"/>
      <family val="2"/>
    </font>
    <font>
      <b/>
      <sz val="11"/>
      <color rgb="FF000000"/>
      <name val="Calibri"/>
      <family val="2"/>
    </font>
    <font>
      <sz val="11"/>
      <color rgb="FF000000"/>
      <name val="Calibri"/>
      <family val="2"/>
    </font>
    <font>
      <b/>
      <sz val="12"/>
      <color rgb="FF00B0F0"/>
      <name val="Calibri"/>
      <family val="2"/>
      <scheme val="minor"/>
    </font>
    <font>
      <sz val="10"/>
      <color rgb="FF000000"/>
      <name val="Times New Roman"/>
      <family val="1"/>
    </font>
    <font>
      <b/>
      <sz val="9.5"/>
      <name val="Calibri"/>
      <family val="2"/>
    </font>
    <font>
      <b/>
      <sz val="9.5"/>
      <name val="Calibri"/>
      <family val="1"/>
    </font>
    <font>
      <b/>
      <sz val="8.5"/>
      <name val="Calibri"/>
      <family val="2"/>
    </font>
    <font>
      <b/>
      <sz val="8.5"/>
      <name val="Calibri"/>
      <family val="1"/>
    </font>
    <font>
      <sz val="8.5"/>
      <color rgb="FF000000"/>
      <name val="Calibri"/>
      <family val="2"/>
    </font>
    <font>
      <sz val="8.5"/>
      <name val="Calibri"/>
      <family val="2"/>
    </font>
    <font>
      <sz val="8.5"/>
      <name val="Calibri"/>
      <family val="1"/>
    </font>
    <font>
      <sz val="11"/>
      <color rgb="FF000000"/>
      <name val="Calibri"/>
      <family val="2"/>
    </font>
    <font>
      <b/>
      <sz val="12"/>
      <color rgb="FF000000"/>
      <name val="Calibri"/>
      <family val="2"/>
    </font>
    <font>
      <b/>
      <sz val="11"/>
      <color rgb="FF000000"/>
      <name val="Calibri"/>
      <family val="2"/>
    </font>
    <font>
      <b/>
      <sz val="10"/>
      <color rgb="FF000000"/>
      <name val="Calibri"/>
      <family val="2"/>
    </font>
    <font>
      <sz val="10"/>
      <color rgb="FF000000"/>
      <name val="Calibri"/>
      <family val="2"/>
    </font>
    <font>
      <sz val="20"/>
      <color rgb="FF000000"/>
      <name val="Calibri"/>
      <family val="2"/>
    </font>
    <font>
      <sz val="12"/>
      <color rgb="FF000000"/>
      <name val="Calibri"/>
      <family val="2"/>
    </font>
    <font>
      <sz val="22"/>
      <color theme="1"/>
      <name val="Calibri"/>
      <family val="2"/>
      <scheme val="minor"/>
    </font>
    <font>
      <b/>
      <sz val="22"/>
      <color theme="1"/>
      <name val="Calibri"/>
      <family val="2"/>
      <scheme val="minor"/>
    </font>
    <font>
      <i/>
      <sz val="11"/>
      <color theme="1"/>
      <name val="Calibri"/>
      <family val="2"/>
      <scheme val="minor"/>
    </font>
    <font>
      <u/>
      <sz val="11"/>
      <color theme="10"/>
      <name val="Calibri"/>
      <family val="2"/>
      <scheme val="minor"/>
    </font>
  </fonts>
  <fills count="26">
    <fill>
      <patternFill patternType="none"/>
    </fill>
    <fill>
      <patternFill patternType="gray125"/>
    </fill>
    <fill>
      <patternFill patternType="solid">
        <fgColor theme="9"/>
        <bgColor indexed="64"/>
      </patternFill>
    </fill>
    <fill>
      <patternFill patternType="solid">
        <fgColor rgb="FF00B050"/>
        <bgColor indexed="64"/>
      </patternFill>
    </fill>
    <fill>
      <patternFill patternType="solid">
        <fgColor rgb="FFFFFF00"/>
        <bgColor indexed="64"/>
      </patternFill>
    </fill>
    <fill>
      <patternFill patternType="solid">
        <fgColor theme="0" tint="-0.14999847407452621"/>
        <bgColor indexed="64"/>
      </patternFill>
    </fill>
    <fill>
      <patternFill patternType="solid">
        <fgColor theme="0" tint="-0.499984740745262"/>
        <bgColor indexed="64"/>
      </patternFill>
    </fill>
    <fill>
      <patternFill patternType="solid">
        <fgColor rgb="FF00B0F0"/>
        <bgColor indexed="64"/>
      </patternFill>
    </fill>
    <fill>
      <patternFill patternType="solid">
        <fgColor rgb="FF0070C0"/>
        <bgColor indexed="64"/>
      </patternFill>
    </fill>
    <fill>
      <patternFill patternType="solid">
        <fgColor theme="0" tint="-0.249977111117893"/>
        <bgColor indexed="64"/>
      </patternFill>
    </fill>
    <fill>
      <patternFill patternType="solid">
        <fgColor rgb="FFFFFFFF"/>
        <bgColor indexed="64"/>
      </patternFill>
    </fill>
    <fill>
      <patternFill patternType="solid">
        <fgColor theme="1"/>
        <bgColor indexed="64"/>
      </patternFill>
    </fill>
    <fill>
      <patternFill patternType="solid">
        <fgColor theme="3" tint="0.59999389629810485"/>
        <bgColor indexed="64"/>
      </patternFill>
    </fill>
    <fill>
      <patternFill patternType="solid">
        <fgColor rgb="FFD9D9D9"/>
        <bgColor indexed="64"/>
      </patternFill>
    </fill>
    <fill>
      <patternFill patternType="solid">
        <fgColor rgb="FFBFBFBF"/>
        <bgColor rgb="FFFFFFFF"/>
      </patternFill>
    </fill>
    <fill>
      <patternFill patternType="solid">
        <fgColor theme="1"/>
        <bgColor rgb="FFFFFFFF"/>
      </patternFill>
    </fill>
    <fill>
      <patternFill patternType="solid">
        <fgColor theme="0"/>
        <bgColor indexed="64"/>
      </patternFill>
    </fill>
    <fill>
      <patternFill patternType="solid">
        <fgColor theme="0" tint="-0.249977111117893"/>
        <bgColor rgb="FFFFFFFF"/>
      </patternFill>
    </fill>
    <fill>
      <patternFill patternType="solid">
        <fgColor rgb="FFFF0000"/>
        <bgColor indexed="64"/>
      </patternFill>
    </fill>
    <fill>
      <patternFill patternType="solid">
        <fgColor rgb="FFCCFFFF"/>
        <bgColor indexed="64"/>
      </patternFill>
    </fill>
    <fill>
      <patternFill patternType="solid">
        <fgColor rgb="FF66FF66"/>
        <bgColor indexed="64"/>
      </patternFill>
    </fill>
    <fill>
      <patternFill patternType="solid">
        <fgColor rgb="FFFFFFFF"/>
        <bgColor rgb="FFFFFFFF"/>
      </patternFill>
    </fill>
    <fill>
      <patternFill patternType="solid">
        <fgColor rgb="FF00FF00"/>
        <bgColor rgb="FFFFFFFF"/>
      </patternFill>
    </fill>
    <fill>
      <patternFill patternType="solid">
        <fgColor rgb="FFD8D8D8"/>
        <bgColor rgb="FFFFFFFF"/>
      </patternFill>
    </fill>
    <fill>
      <patternFill patternType="solid">
        <fgColor rgb="FFFFC000"/>
        <bgColor indexed="64"/>
      </patternFill>
    </fill>
    <fill>
      <patternFill patternType="solid">
        <fgColor theme="2" tint="-9.9978637043366805E-2"/>
        <bgColor indexed="64"/>
      </patternFill>
    </fill>
  </fills>
  <borders count="4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medium">
        <color indexed="64"/>
      </bottom>
      <diagonal/>
    </border>
    <border>
      <left/>
      <right/>
      <top style="thin">
        <color indexed="64"/>
      </top>
      <bottom/>
      <diagonal/>
    </border>
    <border>
      <left style="medium">
        <color auto="1"/>
      </left>
      <right style="hair">
        <color auto="1"/>
      </right>
      <top style="medium">
        <color auto="1"/>
      </top>
      <bottom style="hair">
        <color auto="1"/>
      </bottom>
      <diagonal/>
    </border>
    <border>
      <left style="hair">
        <color auto="1"/>
      </left>
      <right style="hair">
        <color auto="1"/>
      </right>
      <top style="medium">
        <color auto="1"/>
      </top>
      <bottom style="hair">
        <color auto="1"/>
      </bottom>
      <diagonal/>
    </border>
    <border>
      <left style="hair">
        <color auto="1"/>
      </left>
      <right style="medium">
        <color auto="1"/>
      </right>
      <top style="medium">
        <color auto="1"/>
      </top>
      <bottom style="hair">
        <color auto="1"/>
      </bottom>
      <diagonal/>
    </border>
    <border>
      <left style="medium">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medium">
        <color auto="1"/>
      </right>
      <top style="hair">
        <color auto="1"/>
      </top>
      <bottom style="hair">
        <color auto="1"/>
      </bottom>
      <diagonal/>
    </border>
    <border>
      <left style="medium">
        <color auto="1"/>
      </left>
      <right style="hair">
        <color auto="1"/>
      </right>
      <top style="hair">
        <color auto="1"/>
      </top>
      <bottom style="medium">
        <color auto="1"/>
      </bottom>
      <diagonal/>
    </border>
    <border>
      <left style="hair">
        <color auto="1"/>
      </left>
      <right style="hair">
        <color auto="1"/>
      </right>
      <top style="hair">
        <color auto="1"/>
      </top>
      <bottom style="medium">
        <color auto="1"/>
      </bottom>
      <diagonal/>
    </border>
    <border>
      <left style="hair">
        <color auto="1"/>
      </left>
      <right style="medium">
        <color auto="1"/>
      </right>
      <top style="hair">
        <color auto="1"/>
      </top>
      <bottom style="medium">
        <color auto="1"/>
      </bottom>
      <diagonal/>
    </border>
    <border>
      <left style="thin">
        <color rgb="FF000000"/>
      </left>
      <right style="thin">
        <color rgb="FF000000"/>
      </right>
      <top style="thin">
        <color rgb="FF000000"/>
      </top>
      <bottom style="thin">
        <color rgb="FF000000"/>
      </bottom>
      <diagonal/>
    </border>
    <border>
      <left style="thin">
        <color rgb="FF000000"/>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thin">
        <color rgb="FF000000"/>
      </right>
      <top style="medium">
        <color rgb="FF000000"/>
      </top>
      <bottom/>
      <diagonal/>
    </border>
    <border>
      <left style="thin">
        <color rgb="FF000000"/>
      </left>
      <right style="thin">
        <color rgb="FF000000"/>
      </right>
      <top/>
      <bottom/>
      <diagonal/>
    </border>
    <border>
      <left style="thin">
        <color rgb="FF000000"/>
      </left>
      <right style="thin">
        <color rgb="FF000000"/>
      </right>
      <top/>
      <bottom style="medium">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rgb="FF000000"/>
      </bottom>
      <diagonal/>
    </border>
    <border>
      <left style="thin">
        <color indexed="64"/>
      </left>
      <right style="thin">
        <color indexed="64"/>
      </right>
      <top/>
      <bottom style="thin">
        <color rgb="FF000000"/>
      </bottom>
      <diagonal/>
    </border>
    <border>
      <left style="thin">
        <color indexed="64"/>
      </left>
      <right style="thin">
        <color indexed="64"/>
      </right>
      <top style="thin">
        <color indexed="64"/>
      </top>
      <bottom style="medium">
        <color indexed="64"/>
      </bottom>
      <diagonal/>
    </border>
  </borders>
  <cellStyleXfs count="10">
    <xf numFmtId="0" fontId="0" fillId="0" borderId="0"/>
    <xf numFmtId="41" fontId="7" fillId="0" borderId="0" applyFont="0" applyFill="0" applyBorder="0" applyAlignment="0" applyProtection="0"/>
    <xf numFmtId="9" fontId="7" fillId="0" borderId="0" applyFont="0" applyFill="0" applyBorder="0" applyAlignment="0" applyProtection="0"/>
    <xf numFmtId="164" fontId="7" fillId="0" borderId="0" applyFont="0" applyFill="0" applyBorder="0" applyAlignment="0" applyProtection="0"/>
    <xf numFmtId="0" fontId="21" fillId="0" borderId="0" applyNumberFormat="0" applyFill="0" applyBorder="0" applyAlignment="0" applyProtection="0">
      <alignment vertical="top"/>
      <protection locked="0"/>
    </xf>
    <xf numFmtId="9" fontId="7" fillId="0" borderId="0" applyFont="0" applyFill="0" applyBorder="0" applyAlignment="0" applyProtection="0"/>
    <xf numFmtId="43" fontId="7" fillId="0" borderId="0" applyFont="0" applyFill="0" applyBorder="0" applyAlignment="0" applyProtection="0"/>
    <xf numFmtId="0" fontId="39" fillId="0" borderId="0"/>
    <xf numFmtId="0" fontId="47" fillId="0" borderId="0"/>
    <xf numFmtId="0" fontId="57" fillId="0" borderId="0" applyNumberFormat="0" applyFill="0" applyBorder="0" applyAlignment="0" applyProtection="0"/>
  </cellStyleXfs>
  <cellXfs count="563">
    <xf numFmtId="0" fontId="0" fillId="0" borderId="0" xfId="0"/>
    <xf numFmtId="0" fontId="0" fillId="0" borderId="0" xfId="0" applyAlignment="1" applyProtection="1">
      <alignment wrapText="1"/>
      <protection locked="0"/>
    </xf>
    <xf numFmtId="0" fontId="0" fillId="0" borderId="0" xfId="0" applyAlignment="1" applyProtection="1">
      <alignment horizontal="center" vertical="center"/>
      <protection locked="0"/>
    </xf>
    <xf numFmtId="0" fontId="10" fillId="0" borderId="0" xfId="0" applyFont="1" applyAlignment="1" applyProtection="1">
      <alignment vertical="top"/>
      <protection locked="0"/>
    </xf>
    <xf numFmtId="0" fontId="10" fillId="0" borderId="0" xfId="0" applyFont="1" applyAlignment="1" applyProtection="1">
      <alignment horizontal="left" vertical="top" wrapText="1"/>
      <protection locked="0"/>
    </xf>
    <xf numFmtId="165" fontId="10" fillId="0" borderId="0" xfId="0" applyNumberFormat="1" applyFont="1" applyAlignment="1" applyProtection="1">
      <alignment horizontal="left" vertical="top" wrapText="1"/>
      <protection locked="0"/>
    </xf>
    <xf numFmtId="0" fontId="0" fillId="0" borderId="0" xfId="0" applyAlignment="1" applyProtection="1">
      <alignment horizontal="center"/>
      <protection locked="0"/>
    </xf>
    <xf numFmtId="2" fontId="16" fillId="0" borderId="1" xfId="0" applyNumberFormat="1" applyFont="1" applyBorder="1" applyAlignment="1" applyProtection="1">
      <alignment horizontal="center" vertical="top"/>
      <protection locked="0"/>
    </xf>
    <xf numFmtId="0" fontId="0" fillId="0" borderId="0" xfId="0" applyAlignment="1" applyProtection="1">
      <alignment horizontal="left" vertical="top" wrapText="1"/>
      <protection locked="0"/>
    </xf>
    <xf numFmtId="0" fontId="0" fillId="0" borderId="0" xfId="0" applyAlignment="1" applyProtection="1">
      <alignment horizontal="center" vertical="top" wrapText="1"/>
      <protection locked="0"/>
    </xf>
    <xf numFmtId="2" fontId="0" fillId="14" borderId="1" xfId="0" applyNumberFormat="1" applyFill="1" applyBorder="1" applyAlignment="1" applyProtection="1">
      <alignment horizontal="center" vertical="center"/>
      <protection locked="0"/>
    </xf>
    <xf numFmtId="10" fontId="0" fillId="14" borderId="1" xfId="2" applyNumberFormat="1" applyFont="1" applyFill="1" applyBorder="1" applyAlignment="1" applyProtection="1">
      <alignment horizontal="center" vertical="center"/>
      <protection locked="0"/>
    </xf>
    <xf numFmtId="2" fontId="0" fillId="9" borderId="1" xfId="0" applyNumberFormat="1" applyFill="1" applyBorder="1" applyAlignment="1" applyProtection="1">
      <alignment horizontal="center" vertical="center"/>
      <protection locked="0"/>
    </xf>
    <xf numFmtId="0" fontId="16" fillId="0" borderId="1" xfId="0" applyFont="1" applyBorder="1" applyAlignment="1" applyProtection="1">
      <alignment horizontal="center" vertical="top"/>
      <protection locked="0"/>
    </xf>
    <xf numFmtId="0" fontId="16" fillId="0" borderId="1" xfId="0" applyFont="1" applyBorder="1" applyAlignment="1" applyProtection="1">
      <alignment horizontal="left" vertical="top" wrapText="1"/>
      <protection locked="0"/>
    </xf>
    <xf numFmtId="49" fontId="15" fillId="0" borderId="1" xfId="0" applyNumberFormat="1" applyFont="1" applyBorder="1" applyAlignment="1" applyProtection="1">
      <alignment horizontal="left" vertical="top" wrapText="1"/>
      <protection locked="0"/>
    </xf>
    <xf numFmtId="2" fontId="16" fillId="0" borderId="1" xfId="0" applyNumberFormat="1" applyFont="1" applyBorder="1" applyAlignment="1" applyProtection="1">
      <alignment horizontal="left" vertical="top" wrapText="1"/>
      <protection locked="0"/>
    </xf>
    <xf numFmtId="0" fontId="10" fillId="7" borderId="0" xfId="0" applyFont="1" applyFill="1" applyAlignment="1" applyProtection="1">
      <alignment vertical="top"/>
      <protection locked="0"/>
    </xf>
    <xf numFmtId="0" fontId="10" fillId="7" borderId="0" xfId="0" applyFont="1" applyFill="1" applyAlignment="1" applyProtection="1">
      <alignment horizontal="left" vertical="top" wrapText="1"/>
      <protection locked="0"/>
    </xf>
    <xf numFmtId="165" fontId="10" fillId="7" borderId="0" xfId="0" applyNumberFormat="1" applyFont="1" applyFill="1" applyAlignment="1" applyProtection="1">
      <alignment horizontal="left" vertical="top" wrapText="1"/>
      <protection locked="0"/>
    </xf>
    <xf numFmtId="0" fontId="47" fillId="0" borderId="0" xfId="8" applyAlignment="1" applyProtection="1">
      <alignment vertical="top"/>
      <protection locked="0"/>
    </xf>
    <xf numFmtId="0" fontId="47" fillId="0" borderId="0" xfId="8" applyAlignment="1" applyProtection="1">
      <alignment horizontal="center"/>
      <protection locked="0"/>
    </xf>
    <xf numFmtId="0" fontId="47" fillId="0" borderId="0" xfId="8" applyAlignment="1" applyProtection="1">
      <alignment wrapText="1"/>
      <protection locked="0"/>
    </xf>
    <xf numFmtId="0" fontId="47" fillId="0" borderId="0" xfId="8" applyAlignment="1" applyProtection="1">
      <alignment horizontal="center" vertical="center"/>
      <protection locked="0"/>
    </xf>
    <xf numFmtId="0" fontId="47" fillId="0" borderId="0" xfId="8" applyAlignment="1" applyProtection="1">
      <alignment horizontal="left" vertical="top" wrapText="1"/>
      <protection locked="0"/>
    </xf>
    <xf numFmtId="0" fontId="47" fillId="0" borderId="0" xfId="8" applyAlignment="1" applyProtection="1">
      <alignment horizontal="center" vertical="top" wrapText="1"/>
      <protection locked="0"/>
    </xf>
    <xf numFmtId="0" fontId="10" fillId="0" borderId="0" xfId="0" applyFont="1" applyAlignment="1" applyProtection="1">
      <alignment horizontal="center" vertical="top" wrapText="1"/>
      <protection locked="0"/>
    </xf>
    <xf numFmtId="0" fontId="0" fillId="0" borderId="0" xfId="0" applyProtection="1">
      <protection locked="0"/>
    </xf>
    <xf numFmtId="0" fontId="3" fillId="0" borderId="0" xfId="0" applyFont="1" applyAlignment="1" applyProtection="1">
      <alignment horizontal="center" vertical="center"/>
      <protection locked="0"/>
    </xf>
    <xf numFmtId="0" fontId="0" fillId="0" borderId="0" xfId="0" applyAlignment="1" applyProtection="1">
      <alignment horizontal="left" vertical="center"/>
      <protection locked="0"/>
    </xf>
    <xf numFmtId="0" fontId="2" fillId="0" borderId="0" xfId="0" applyFont="1" applyAlignment="1" applyProtection="1">
      <alignment horizontal="center" vertical="center"/>
      <protection locked="0"/>
    </xf>
    <xf numFmtId="0" fontId="6" fillId="0" borderId="0" xfId="0" applyFont="1" applyAlignment="1" applyProtection="1">
      <alignment horizontal="center" vertical="center"/>
      <protection locked="0"/>
    </xf>
    <xf numFmtId="0" fontId="1" fillId="3" borderId="1" xfId="0" applyFont="1" applyFill="1" applyBorder="1" applyAlignment="1" applyProtection="1">
      <alignment horizontal="center" vertical="center" wrapText="1"/>
      <protection locked="0"/>
    </xf>
    <xf numFmtId="0" fontId="1" fillId="0" borderId="0" xfId="0" applyFont="1" applyAlignment="1" applyProtection="1">
      <alignment horizontal="center" vertical="center"/>
      <protection locked="0"/>
    </xf>
    <xf numFmtId="0" fontId="0" fillId="4" borderId="2" xfId="0" applyFill="1" applyBorder="1" applyAlignment="1" applyProtection="1">
      <alignment horizontal="center" vertical="center" wrapText="1"/>
      <protection locked="0"/>
    </xf>
    <xf numFmtId="0" fontId="0" fillId="5" borderId="2" xfId="0" applyFill="1" applyBorder="1" applyAlignment="1" applyProtection="1">
      <alignment horizontal="center" vertical="center" wrapText="1"/>
      <protection locked="0"/>
    </xf>
    <xf numFmtId="2" fontId="0" fillId="7" borderId="1" xfId="0" applyNumberFormat="1" applyFill="1" applyBorder="1" applyAlignment="1" applyProtection="1">
      <alignment horizontal="center" vertical="center"/>
      <protection locked="0"/>
    </xf>
    <xf numFmtId="0" fontId="0" fillId="0" borderId="1" xfId="0" applyBorder="1" applyAlignment="1" applyProtection="1">
      <alignment horizontal="center" vertical="center"/>
      <protection locked="0"/>
    </xf>
    <xf numFmtId="0" fontId="0" fillId="0" borderId="1" xfId="0" applyBorder="1" applyAlignment="1" applyProtection="1">
      <alignment vertical="top" wrapText="1"/>
      <protection locked="0"/>
    </xf>
    <xf numFmtId="0" fontId="0" fillId="0" borderId="8" xfId="0" applyBorder="1" applyAlignment="1" applyProtection="1">
      <alignment horizontal="left" vertical="top"/>
      <protection locked="0"/>
    </xf>
    <xf numFmtId="2" fontId="0" fillId="5" borderId="1" xfId="1" applyNumberFormat="1" applyFont="1" applyFill="1" applyBorder="1" applyAlignment="1" applyProtection="1">
      <alignment horizontal="center"/>
      <protection locked="0"/>
    </xf>
    <xf numFmtId="0" fontId="0" fillId="0" borderId="1" xfId="0" applyBorder="1" applyAlignment="1" applyProtection="1">
      <alignment horizontal="left" vertical="top" wrapText="1"/>
      <protection locked="0"/>
    </xf>
    <xf numFmtId="0" fontId="0" fillId="0" borderId="8" xfId="0" applyBorder="1" applyAlignment="1" applyProtection="1">
      <alignment horizontal="left" vertical="center"/>
      <protection locked="0"/>
    </xf>
    <xf numFmtId="0" fontId="0" fillId="0" borderId="0" xfId="0" applyAlignment="1" applyProtection="1">
      <alignment horizontal="left" vertical="top"/>
      <protection locked="0"/>
    </xf>
    <xf numFmtId="0" fontId="0" fillId="0" borderId="1" xfId="0" applyBorder="1" applyAlignment="1" applyProtection="1">
      <alignment horizontal="left" vertical="center"/>
      <protection locked="0"/>
    </xf>
    <xf numFmtId="0" fontId="0" fillId="6" borderId="2" xfId="0" applyFill="1" applyBorder="1" applyProtection="1">
      <protection locked="0"/>
    </xf>
    <xf numFmtId="0" fontId="0" fillId="6" borderId="3" xfId="0" applyFill="1" applyBorder="1" applyProtection="1">
      <protection locked="0"/>
    </xf>
    <xf numFmtId="0" fontId="0" fillId="0" borderId="1" xfId="0" applyBorder="1" applyAlignment="1" applyProtection="1">
      <alignment wrapText="1"/>
      <protection locked="0"/>
    </xf>
    <xf numFmtId="0" fontId="0" fillId="0" borderId="1" xfId="0" applyBorder="1" applyAlignment="1" applyProtection="1">
      <alignment vertical="center" wrapText="1"/>
      <protection locked="0"/>
    </xf>
    <xf numFmtId="0" fontId="0" fillId="6" borderId="4" xfId="0" applyFill="1" applyBorder="1" applyProtection="1">
      <protection locked="0"/>
    </xf>
    <xf numFmtId="0" fontId="0" fillId="6" borderId="1" xfId="0" applyFill="1" applyBorder="1" applyProtection="1">
      <protection locked="0"/>
    </xf>
    <xf numFmtId="2" fontId="0" fillId="9" borderId="1" xfId="2" applyNumberFormat="1" applyFont="1" applyFill="1" applyBorder="1" applyAlignment="1" applyProtection="1">
      <alignment horizontal="center" vertical="center"/>
      <protection locked="0"/>
    </xf>
    <xf numFmtId="0" fontId="23" fillId="11" borderId="1" xfId="0" applyFont="1" applyFill="1" applyBorder="1" applyAlignment="1" applyProtection="1">
      <alignment horizontal="left" vertical="center" wrapText="1"/>
      <protection locked="0"/>
    </xf>
    <xf numFmtId="2" fontId="23" fillId="11" borderId="1" xfId="2" applyNumberFormat="1" applyFont="1" applyFill="1" applyBorder="1" applyAlignment="1" applyProtection="1">
      <alignment horizontal="center" vertical="center"/>
      <protection locked="0"/>
    </xf>
    <xf numFmtId="1" fontId="23" fillId="11" borderId="1" xfId="0" applyNumberFormat="1" applyFont="1" applyFill="1" applyBorder="1" applyAlignment="1" applyProtection="1">
      <alignment horizontal="left" vertical="center"/>
      <protection locked="0"/>
    </xf>
    <xf numFmtId="0" fontId="0" fillId="0" borderId="1" xfId="0" applyBorder="1" applyProtection="1">
      <protection locked="0"/>
    </xf>
    <xf numFmtId="0" fontId="10" fillId="0" borderId="8" xfId="0" applyFont="1" applyBorder="1" applyAlignment="1" applyProtection="1">
      <alignment horizontal="left" vertical="center" wrapText="1"/>
      <protection locked="0"/>
    </xf>
    <xf numFmtId="0" fontId="28" fillId="10" borderId="1" xfId="0" applyFont="1" applyFill="1" applyBorder="1" applyAlignment="1" applyProtection="1">
      <alignment vertical="top" wrapText="1"/>
      <protection locked="0"/>
    </xf>
    <xf numFmtId="0" fontId="0" fillId="0" borderId="35" xfId="0" applyBorder="1" applyAlignment="1" applyProtection="1">
      <alignment horizontal="center" vertical="center" wrapText="1"/>
      <protection locked="0"/>
    </xf>
    <xf numFmtId="0" fontId="0" fillId="21" borderId="29" xfId="0" applyFill="1" applyBorder="1" applyAlignment="1" applyProtection="1">
      <alignment vertical="top" wrapText="1"/>
      <protection locked="0"/>
    </xf>
    <xf numFmtId="0" fontId="0" fillId="0" borderId="37" xfId="0" applyBorder="1" applyAlignment="1" applyProtection="1">
      <alignment horizontal="center" vertical="center" wrapText="1"/>
      <protection locked="0"/>
    </xf>
    <xf numFmtId="0" fontId="0" fillId="21" borderId="38" xfId="0" applyFill="1" applyBorder="1" applyAlignment="1" applyProtection="1">
      <alignment vertical="top" wrapText="1"/>
      <protection locked="0"/>
    </xf>
    <xf numFmtId="0" fontId="0" fillId="0" borderId="4" xfId="0" applyBorder="1" applyAlignment="1" applyProtection="1">
      <alignment horizontal="left" vertical="top" wrapText="1"/>
      <protection locked="0"/>
    </xf>
    <xf numFmtId="0" fontId="0" fillId="0" borderId="1" xfId="0" applyBorder="1" applyAlignment="1" applyProtection="1">
      <alignment horizontal="left"/>
      <protection locked="0"/>
    </xf>
    <xf numFmtId="0" fontId="0" fillId="0" borderId="1" xfId="0" applyBorder="1" applyAlignment="1" applyProtection="1">
      <alignment horizontal="left" vertical="top"/>
      <protection locked="0"/>
    </xf>
    <xf numFmtId="2" fontId="0" fillId="5" borderId="1" xfId="1" applyNumberFormat="1" applyFont="1" applyFill="1" applyBorder="1" applyAlignment="1" applyProtection="1">
      <alignment horizontal="center" vertical="top"/>
      <protection locked="0"/>
    </xf>
    <xf numFmtId="10" fontId="0" fillId="5" borderId="1" xfId="2" applyNumberFormat="1" applyFont="1" applyFill="1" applyBorder="1" applyAlignment="1" applyProtection="1">
      <alignment horizontal="center" vertical="top"/>
      <protection locked="0"/>
    </xf>
    <xf numFmtId="0" fontId="0" fillId="0" borderId="0" xfId="0" applyAlignment="1" applyProtection="1">
      <alignment horizontal="center" vertical="top"/>
      <protection locked="0"/>
    </xf>
    <xf numFmtId="0" fontId="2" fillId="0" borderId="0" xfId="0" applyFont="1" applyAlignment="1" applyProtection="1">
      <alignment horizontal="center" vertical="top"/>
      <protection locked="0"/>
    </xf>
    <xf numFmtId="2" fontId="0" fillId="5" borderId="0" xfId="1" applyNumberFormat="1" applyFont="1" applyFill="1" applyBorder="1" applyAlignment="1" applyProtection="1">
      <alignment horizontal="center" vertical="top"/>
      <protection locked="0"/>
    </xf>
    <xf numFmtId="0" fontId="0" fillId="7" borderId="0" xfId="0" applyFill="1" applyAlignment="1" applyProtection="1">
      <alignment horizontal="left" vertical="top" wrapText="1"/>
      <protection locked="0"/>
    </xf>
    <xf numFmtId="1" fontId="0" fillId="14" borderId="1" xfId="0" applyNumberFormat="1" applyFill="1" applyBorder="1" applyAlignment="1" applyProtection="1">
      <alignment horizontal="center" vertical="center"/>
      <protection locked="0"/>
    </xf>
    <xf numFmtId="2" fontId="23" fillId="11" borderId="1" xfId="0" applyNumberFormat="1" applyFont="1" applyFill="1" applyBorder="1" applyAlignment="1" applyProtection="1">
      <alignment horizontal="left" vertical="center"/>
      <protection locked="0"/>
    </xf>
    <xf numFmtId="0" fontId="0" fillId="4" borderId="1" xfId="0" applyFill="1" applyBorder="1" applyAlignment="1" applyProtection="1">
      <alignment horizontal="left" vertical="top"/>
      <protection locked="0"/>
    </xf>
    <xf numFmtId="0" fontId="23" fillId="11" borderId="1" xfId="0" applyFont="1" applyFill="1" applyBorder="1" applyAlignment="1" applyProtection="1">
      <alignment horizontal="center" vertical="center"/>
      <protection locked="0"/>
    </xf>
    <xf numFmtId="0" fontId="0" fillId="4" borderId="6" xfId="0" applyFill="1" applyBorder="1" applyAlignment="1" applyProtection="1">
      <alignment horizontal="left" vertical="top"/>
      <protection locked="0"/>
    </xf>
    <xf numFmtId="0" fontId="23" fillId="11" borderId="13" xfId="0" applyFont="1" applyFill="1" applyBorder="1" applyAlignment="1" applyProtection="1">
      <alignment horizontal="left" vertical="center" wrapText="1"/>
      <protection locked="0"/>
    </xf>
    <xf numFmtId="0" fontId="23" fillId="11" borderId="14" xfId="0" applyFont="1" applyFill="1" applyBorder="1" applyAlignment="1" applyProtection="1">
      <alignment horizontal="left" vertical="center" wrapText="1"/>
      <protection locked="0"/>
    </xf>
    <xf numFmtId="0" fontId="0" fillId="0" borderId="6" xfId="0" applyBorder="1" applyAlignment="1" applyProtection="1">
      <alignment horizontal="left" vertical="top"/>
      <protection locked="0"/>
    </xf>
    <xf numFmtId="2" fontId="28" fillId="0" borderId="0" xfId="0" applyNumberFormat="1" applyFont="1" applyAlignment="1" applyProtection="1">
      <alignment horizontal="center" vertical="center"/>
      <protection locked="0"/>
    </xf>
    <xf numFmtId="0" fontId="28" fillId="0" borderId="1" xfId="0" applyFont="1" applyBorder="1" applyAlignment="1" applyProtection="1">
      <alignment vertical="top" wrapText="1"/>
      <protection locked="0"/>
    </xf>
    <xf numFmtId="0" fontId="28" fillId="16" borderId="1" xfId="0" applyFont="1" applyFill="1" applyBorder="1" applyAlignment="1" applyProtection="1">
      <alignment vertical="top" wrapText="1"/>
      <protection locked="0"/>
    </xf>
    <xf numFmtId="0" fontId="28" fillId="0" borderId="1" xfId="0" applyFont="1" applyBorder="1" applyAlignment="1" applyProtection="1">
      <alignment vertical="center" wrapText="1"/>
      <protection locked="0"/>
    </xf>
    <xf numFmtId="0" fontId="0" fillId="0" borderId="0" xfId="0" applyAlignment="1" applyProtection="1">
      <alignment vertical="top" wrapText="1"/>
      <protection locked="0"/>
    </xf>
    <xf numFmtId="0" fontId="28" fillId="0" borderId="1" xfId="0" applyFont="1" applyBorder="1" applyAlignment="1" applyProtection="1">
      <alignment wrapText="1"/>
      <protection locked="0"/>
    </xf>
    <xf numFmtId="0" fontId="0" fillId="4" borderId="1" xfId="0" applyFill="1" applyBorder="1" applyAlignment="1" applyProtection="1">
      <alignment horizontal="left" vertical="top" wrapText="1"/>
      <protection locked="0"/>
    </xf>
    <xf numFmtId="0" fontId="23" fillId="11" borderId="1" xfId="0" applyFont="1" applyFill="1" applyBorder="1" applyAlignment="1" applyProtection="1">
      <alignment horizontal="left" vertical="top"/>
      <protection locked="0"/>
    </xf>
    <xf numFmtId="0" fontId="23" fillId="11" borderId="1" xfId="0" applyFont="1" applyFill="1" applyBorder="1" applyAlignment="1" applyProtection="1">
      <alignment horizontal="left" vertical="top" wrapText="1"/>
      <protection locked="0"/>
    </xf>
    <xf numFmtId="0" fontId="23" fillId="11" borderId="1" xfId="0" applyFont="1" applyFill="1" applyBorder="1" applyProtection="1">
      <protection locked="0"/>
    </xf>
    <xf numFmtId="10" fontId="23" fillId="11" borderId="1" xfId="2" applyNumberFormat="1" applyFont="1" applyFill="1" applyBorder="1" applyAlignment="1" applyProtection="1">
      <alignment horizontal="left" vertical="top"/>
      <protection locked="0"/>
    </xf>
    <xf numFmtId="0" fontId="0" fillId="11" borderId="1" xfId="0" applyFill="1" applyBorder="1" applyProtection="1">
      <protection locked="0"/>
    </xf>
    <xf numFmtId="0" fontId="0" fillId="14" borderId="1" xfId="0" applyFill="1" applyBorder="1" applyAlignment="1" applyProtection="1">
      <alignment horizontal="center" vertical="center"/>
      <protection locked="0"/>
    </xf>
    <xf numFmtId="1" fontId="0" fillId="9" borderId="1" xfId="2" applyNumberFormat="1" applyFont="1" applyFill="1" applyBorder="1" applyAlignment="1" applyProtection="1">
      <alignment horizontal="center" vertical="center"/>
      <protection locked="0"/>
    </xf>
    <xf numFmtId="10" fontId="0" fillId="9" borderId="1" xfId="2" applyNumberFormat="1" applyFont="1" applyFill="1" applyBorder="1" applyAlignment="1" applyProtection="1">
      <alignment horizontal="center" vertical="center"/>
      <protection locked="0"/>
    </xf>
    <xf numFmtId="10" fontId="28" fillId="9" borderId="1" xfId="2" applyNumberFormat="1" applyFont="1" applyFill="1" applyBorder="1" applyAlignment="1" applyProtection="1">
      <alignment horizontal="center" vertical="center"/>
      <protection locked="0"/>
    </xf>
    <xf numFmtId="0" fontId="23" fillId="11" borderId="1" xfId="0" applyFont="1" applyFill="1" applyBorder="1" applyAlignment="1" applyProtection="1">
      <alignment wrapText="1"/>
      <protection locked="0"/>
    </xf>
    <xf numFmtId="0" fontId="10" fillId="0" borderId="1" xfId="0" applyFont="1" applyBorder="1" applyAlignment="1" applyProtection="1">
      <alignment vertical="center" wrapText="1"/>
      <protection locked="0"/>
    </xf>
    <xf numFmtId="9" fontId="23" fillId="11" borderId="1" xfId="2" applyFont="1" applyFill="1" applyBorder="1" applyAlignment="1" applyProtection="1">
      <alignment horizontal="left" vertical="top"/>
      <protection locked="0"/>
    </xf>
    <xf numFmtId="166" fontId="0" fillId="14" borderId="1" xfId="0" applyNumberFormat="1" applyFill="1" applyBorder="1" applyAlignment="1" applyProtection="1">
      <alignment horizontal="center" vertical="center"/>
      <protection locked="0"/>
    </xf>
    <xf numFmtId="0" fontId="0" fillId="0" borderId="1" xfId="0" applyBorder="1" applyAlignment="1" applyProtection="1">
      <alignment vertical="top"/>
      <protection locked="0"/>
    </xf>
    <xf numFmtId="0" fontId="28" fillId="0" borderId="6" xfId="0" applyFont="1" applyBorder="1" applyAlignment="1" applyProtection="1">
      <alignment horizontal="left" vertical="center"/>
      <protection locked="0"/>
    </xf>
    <xf numFmtId="0" fontId="28" fillId="0" borderId="6" xfId="0" applyFont="1" applyBorder="1" applyAlignment="1" applyProtection="1">
      <alignment horizontal="right" vertical="center"/>
      <protection locked="0"/>
    </xf>
    <xf numFmtId="0" fontId="0" fillId="4" borderId="1" xfId="0" applyFill="1" applyBorder="1" applyAlignment="1" applyProtection="1">
      <alignment horizontal="center" vertical="top" wrapText="1"/>
      <protection locked="0"/>
    </xf>
    <xf numFmtId="0" fontId="10" fillId="0" borderId="1" xfId="0" applyFont="1" applyBorder="1" applyAlignment="1" applyProtection="1">
      <alignment horizontal="center" vertical="center" wrapText="1"/>
      <protection locked="0"/>
    </xf>
    <xf numFmtId="0" fontId="34" fillId="0" borderId="0" xfId="0" applyFont="1" applyAlignment="1" applyProtection="1">
      <alignment horizontal="center" vertical="center"/>
      <protection locked="0"/>
    </xf>
    <xf numFmtId="0" fontId="10" fillId="0" borderId="0" xfId="0" applyFont="1" applyAlignment="1" applyProtection="1">
      <alignment horizontal="left" vertical="center"/>
      <protection locked="0"/>
    </xf>
    <xf numFmtId="0" fontId="28" fillId="0" borderId="0" xfId="0" applyFont="1" applyAlignment="1" applyProtection="1">
      <alignment horizontal="left" vertical="center"/>
      <protection locked="0"/>
    </xf>
    <xf numFmtId="0" fontId="0" fillId="0" borderId="0" xfId="0" applyAlignment="1" applyProtection="1">
      <alignment vertical="center"/>
      <protection locked="0"/>
    </xf>
    <xf numFmtId="0" fontId="28" fillId="0" borderId="0" xfId="0" applyFont="1" applyAlignment="1" applyProtection="1">
      <alignment vertical="center"/>
      <protection locked="0"/>
    </xf>
    <xf numFmtId="0" fontId="0" fillId="5" borderId="2" xfId="0" applyFill="1" applyBorder="1" applyAlignment="1" applyProtection="1">
      <alignment horizontal="center" vertical="center" wrapText="1"/>
      <protection hidden="1"/>
    </xf>
    <xf numFmtId="2" fontId="0" fillId="5" borderId="1" xfId="1" applyNumberFormat="1" applyFont="1" applyFill="1" applyBorder="1" applyAlignment="1" applyProtection="1">
      <alignment horizontal="center"/>
      <protection hidden="1"/>
    </xf>
    <xf numFmtId="2" fontId="0" fillId="9" borderId="1" xfId="0" applyNumberFormat="1" applyFill="1" applyBorder="1" applyAlignment="1" applyProtection="1">
      <alignment horizontal="center" vertical="center"/>
      <protection hidden="1"/>
    </xf>
    <xf numFmtId="10" fontId="0" fillId="5" borderId="1" xfId="2" applyNumberFormat="1" applyFont="1" applyFill="1" applyBorder="1" applyAlignment="1" applyProtection="1">
      <alignment horizontal="center"/>
      <protection hidden="1"/>
    </xf>
    <xf numFmtId="9" fontId="0" fillId="5" borderId="1" xfId="2" applyFont="1" applyFill="1" applyBorder="1" applyAlignment="1" applyProtection="1">
      <alignment horizontal="center"/>
      <protection hidden="1"/>
    </xf>
    <xf numFmtId="2" fontId="0" fillId="5" borderId="1" xfId="1" applyNumberFormat="1" applyFont="1" applyFill="1" applyBorder="1" applyAlignment="1" applyProtection="1">
      <alignment horizontal="center" vertical="top"/>
      <protection hidden="1"/>
    </xf>
    <xf numFmtId="10" fontId="0" fillId="5" borderId="1" xfId="2" applyNumberFormat="1" applyFont="1" applyFill="1" applyBorder="1" applyAlignment="1" applyProtection="1">
      <alignment horizontal="center" vertical="top"/>
      <protection hidden="1"/>
    </xf>
    <xf numFmtId="1" fontId="0" fillId="14" borderId="41" xfId="0" applyNumberFormat="1" applyFill="1" applyBorder="1" applyAlignment="1" applyProtection="1">
      <alignment horizontal="center" vertical="center"/>
      <protection hidden="1"/>
    </xf>
    <xf numFmtId="1" fontId="0" fillId="14" borderId="42" xfId="0" applyNumberFormat="1" applyFill="1" applyBorder="1" applyAlignment="1" applyProtection="1">
      <alignment horizontal="center" vertical="center"/>
      <protection hidden="1"/>
    </xf>
    <xf numFmtId="2" fontId="0" fillId="9" borderId="4" xfId="2" applyNumberFormat="1" applyFont="1" applyFill="1" applyBorder="1" applyAlignment="1" applyProtection="1">
      <alignment horizontal="center" vertical="center"/>
      <protection hidden="1"/>
    </xf>
    <xf numFmtId="2" fontId="23" fillId="11" borderId="1" xfId="2" applyNumberFormat="1" applyFont="1" applyFill="1" applyBorder="1" applyAlignment="1" applyProtection="1">
      <alignment horizontal="center" vertical="center"/>
      <protection hidden="1"/>
    </xf>
    <xf numFmtId="0" fontId="23" fillId="11" borderId="1" xfId="0" applyFont="1" applyFill="1" applyBorder="1" applyAlignment="1" applyProtection="1">
      <alignment horizontal="center" vertical="center"/>
      <protection hidden="1"/>
    </xf>
    <xf numFmtId="1" fontId="0" fillId="14" borderId="1" xfId="0" applyNumberFormat="1" applyFill="1" applyBorder="1" applyAlignment="1" applyProtection="1">
      <alignment horizontal="center" vertical="center"/>
      <protection hidden="1"/>
    </xf>
    <xf numFmtId="2" fontId="0" fillId="9" borderId="1" xfId="2" applyNumberFormat="1" applyFont="1" applyFill="1" applyBorder="1" applyAlignment="1" applyProtection="1">
      <alignment horizontal="center" vertical="center"/>
      <protection hidden="1"/>
    </xf>
    <xf numFmtId="2" fontId="23" fillId="9" borderId="1" xfId="2" applyNumberFormat="1" applyFont="1" applyFill="1" applyBorder="1" applyAlignment="1" applyProtection="1">
      <alignment horizontal="center" vertical="center"/>
      <protection hidden="1"/>
    </xf>
    <xf numFmtId="0" fontId="23" fillId="9" borderId="1" xfId="0" applyFont="1" applyFill="1" applyBorder="1" applyAlignment="1" applyProtection="1">
      <alignment horizontal="center" vertical="center"/>
      <protection hidden="1"/>
    </xf>
    <xf numFmtId="2" fontId="28" fillId="9" borderId="1" xfId="2" applyNumberFormat="1" applyFont="1" applyFill="1" applyBorder="1" applyAlignment="1" applyProtection="1">
      <alignment horizontal="center" vertical="center"/>
      <protection hidden="1"/>
    </xf>
    <xf numFmtId="2" fontId="28" fillId="9" borderId="1" xfId="0" applyNumberFormat="1" applyFont="1" applyFill="1" applyBorder="1" applyAlignment="1" applyProtection="1">
      <alignment horizontal="center" vertical="center"/>
      <protection hidden="1"/>
    </xf>
    <xf numFmtId="2" fontId="0" fillId="14" borderId="1" xfId="0" applyNumberFormat="1" applyFill="1" applyBorder="1" applyAlignment="1" applyProtection="1">
      <alignment horizontal="center" vertical="center"/>
      <protection hidden="1"/>
    </xf>
    <xf numFmtId="2" fontId="23" fillId="15" borderId="1" xfId="0" applyNumberFormat="1" applyFont="1" applyFill="1" applyBorder="1" applyAlignment="1" applyProtection="1">
      <alignment horizontal="center" vertical="center"/>
      <protection hidden="1"/>
    </xf>
    <xf numFmtId="10" fontId="0" fillId="14" borderId="1" xfId="2" applyNumberFormat="1" applyFont="1" applyFill="1" applyBorder="1" applyAlignment="1" applyProtection="1">
      <alignment horizontal="center" vertical="center"/>
      <protection hidden="1"/>
    </xf>
    <xf numFmtId="0" fontId="0" fillId="11" borderId="1" xfId="0" applyFill="1" applyBorder="1" applyProtection="1">
      <protection hidden="1"/>
    </xf>
    <xf numFmtId="10" fontId="23" fillId="15" borderId="1" xfId="2" applyNumberFormat="1" applyFont="1" applyFill="1" applyBorder="1" applyAlignment="1" applyProtection="1">
      <alignment horizontal="center" vertical="center"/>
      <protection hidden="1"/>
    </xf>
    <xf numFmtId="10" fontId="0" fillId="9" borderId="1" xfId="2" applyNumberFormat="1" applyFont="1" applyFill="1" applyBorder="1" applyAlignment="1" applyProtection="1">
      <alignment horizontal="center" vertical="center"/>
      <protection hidden="1"/>
    </xf>
    <xf numFmtId="10" fontId="28" fillId="9" borderId="1" xfId="2" applyNumberFormat="1" applyFont="1" applyFill="1" applyBorder="1" applyAlignment="1" applyProtection="1">
      <alignment horizontal="center" vertical="center"/>
      <protection hidden="1"/>
    </xf>
    <xf numFmtId="1" fontId="0" fillId="9" borderId="1" xfId="2" applyNumberFormat="1" applyFont="1" applyFill="1" applyBorder="1" applyAlignment="1" applyProtection="1">
      <alignment horizontal="center" vertical="center"/>
      <protection hidden="1"/>
    </xf>
    <xf numFmtId="10" fontId="0" fillId="14" borderId="1" xfId="0" applyNumberFormat="1" applyFill="1" applyBorder="1" applyAlignment="1" applyProtection="1">
      <alignment horizontal="center" vertical="center"/>
      <protection hidden="1"/>
    </xf>
    <xf numFmtId="10" fontId="0" fillId="17" borderId="1" xfId="0" applyNumberFormat="1" applyFill="1" applyBorder="1" applyAlignment="1" applyProtection="1">
      <alignment horizontal="center" vertical="center"/>
      <protection hidden="1"/>
    </xf>
    <xf numFmtId="0" fontId="8" fillId="0" borderId="0" xfId="0" applyFont="1" applyAlignment="1" applyProtection="1">
      <alignment vertical="center"/>
      <protection locked="0"/>
    </xf>
    <xf numFmtId="0" fontId="8" fillId="0" borderId="0" xfId="0" applyFont="1" applyAlignment="1" applyProtection="1">
      <alignment horizontal="center" vertical="center"/>
      <protection locked="0"/>
    </xf>
    <xf numFmtId="0" fontId="10" fillId="0" borderId="0" xfId="0" applyFont="1" applyAlignment="1" applyProtection="1">
      <alignment horizontal="center"/>
      <protection locked="0"/>
    </xf>
    <xf numFmtId="0" fontId="11" fillId="5" borderId="1" xfId="0" applyFont="1" applyFill="1" applyBorder="1" applyAlignment="1" applyProtection="1">
      <alignment horizontal="center" vertical="center" wrapText="1"/>
      <protection locked="0"/>
    </xf>
    <xf numFmtId="0" fontId="12" fillId="0" borderId="0" xfId="0" applyFont="1" applyProtection="1">
      <protection locked="0"/>
    </xf>
    <xf numFmtId="0" fontId="13" fillId="0" borderId="1" xfId="0" applyFont="1" applyBorder="1" applyAlignment="1" applyProtection="1">
      <alignment horizontal="center" vertical="top"/>
      <protection locked="0"/>
    </xf>
    <xf numFmtId="0" fontId="14" fillId="0" borderId="1" xfId="0" applyFont="1" applyBorder="1" applyAlignment="1" applyProtection="1">
      <alignment horizontal="left" vertical="top" wrapText="1"/>
      <protection locked="0"/>
    </xf>
    <xf numFmtId="0" fontId="15" fillId="0" borderId="1" xfId="0" applyFont="1" applyBorder="1" applyAlignment="1" applyProtection="1">
      <alignment horizontal="left" vertical="top" wrapText="1"/>
      <protection locked="0"/>
    </xf>
    <xf numFmtId="2" fontId="16" fillId="0" borderId="0" xfId="0" applyNumberFormat="1" applyFont="1" applyProtection="1">
      <protection locked="0"/>
    </xf>
    <xf numFmtId="2" fontId="35" fillId="0" borderId="29" xfId="0" applyNumberFormat="1" applyFont="1" applyBorder="1" applyAlignment="1" applyProtection="1">
      <alignment horizontal="center" vertical="top"/>
      <protection locked="0"/>
    </xf>
    <xf numFmtId="0" fontId="35" fillId="0" borderId="29" xfId="0" applyFont="1" applyBorder="1" applyProtection="1">
      <protection locked="0"/>
    </xf>
    <xf numFmtId="0" fontId="16" fillId="0" borderId="0" xfId="0" applyFont="1" applyProtection="1">
      <protection locked="0"/>
    </xf>
    <xf numFmtId="0" fontId="13" fillId="0" borderId="1" xfId="0" applyFont="1" applyBorder="1" applyAlignment="1" applyProtection="1">
      <alignment horizontal="left" vertical="top" wrapText="1"/>
      <protection locked="0"/>
    </xf>
    <xf numFmtId="0" fontId="13" fillId="0" borderId="1" xfId="0" applyFont="1" applyBorder="1" applyAlignment="1" applyProtection="1">
      <alignment vertical="top" wrapText="1"/>
      <protection locked="0"/>
    </xf>
    <xf numFmtId="0" fontId="35" fillId="0" borderId="29" xfId="0" applyFont="1" applyBorder="1" applyAlignment="1" applyProtection="1">
      <alignment wrapText="1"/>
      <protection locked="0"/>
    </xf>
    <xf numFmtId="0" fontId="35" fillId="0" borderId="29" xfId="0" applyFont="1" applyBorder="1" applyAlignment="1" applyProtection="1">
      <alignment vertical="top" wrapText="1"/>
      <protection locked="0"/>
    </xf>
    <xf numFmtId="0" fontId="35" fillId="0" borderId="29" xfId="0" applyFont="1" applyBorder="1" applyAlignment="1" applyProtection="1">
      <alignment horizontal="left" vertical="top" wrapText="1"/>
      <protection locked="0"/>
    </xf>
    <xf numFmtId="0" fontId="16" fillId="0" borderId="1" xfId="0" applyFont="1" applyBorder="1" applyAlignment="1" applyProtection="1">
      <alignment vertical="top" wrapText="1"/>
      <protection locked="0"/>
    </xf>
    <xf numFmtId="0" fontId="17" fillId="0" borderId="1" xfId="0" applyFont="1" applyBorder="1" applyAlignment="1" applyProtection="1">
      <alignment horizontal="left" vertical="top" wrapText="1"/>
      <protection locked="0"/>
    </xf>
    <xf numFmtId="0" fontId="18" fillId="0" borderId="1" xfId="0" applyFont="1" applyBorder="1" applyAlignment="1" applyProtection="1">
      <alignment horizontal="left" vertical="top" wrapText="1"/>
      <protection locked="0"/>
    </xf>
    <xf numFmtId="0" fontId="20" fillId="0" borderId="0" xfId="0" applyFont="1" applyProtection="1">
      <protection locked="0"/>
    </xf>
    <xf numFmtId="0" fontId="20" fillId="0" borderId="0" xfId="0" applyFont="1" applyAlignment="1" applyProtection="1">
      <alignment horizontal="center"/>
      <protection locked="0"/>
    </xf>
    <xf numFmtId="0" fontId="20" fillId="0" borderId="0" xfId="0" applyFont="1" applyAlignment="1" applyProtection="1">
      <alignment wrapText="1"/>
      <protection locked="0"/>
    </xf>
    <xf numFmtId="0" fontId="20" fillId="0" borderId="0" xfId="0" applyFont="1" applyAlignment="1" applyProtection="1">
      <alignment horizontal="center" vertical="center"/>
      <protection locked="0"/>
    </xf>
    <xf numFmtId="2" fontId="15" fillId="0" borderId="1" xfId="0" applyNumberFormat="1" applyFont="1" applyBorder="1" applyAlignment="1" applyProtection="1">
      <alignment horizontal="center" vertical="top"/>
      <protection hidden="1"/>
    </xf>
    <xf numFmtId="2" fontId="13" fillId="0" borderId="1" xfId="0" applyNumberFormat="1" applyFont="1" applyBorder="1" applyAlignment="1" applyProtection="1">
      <alignment horizontal="center" vertical="top"/>
      <protection hidden="1"/>
    </xf>
    <xf numFmtId="2" fontId="16" fillId="0" borderId="1" xfId="0" applyNumberFormat="1" applyFont="1" applyBorder="1" applyAlignment="1" applyProtection="1">
      <alignment horizontal="center" vertical="top"/>
      <protection hidden="1"/>
    </xf>
    <xf numFmtId="0" fontId="11" fillId="5" borderId="1" xfId="0" applyFont="1" applyFill="1" applyBorder="1" applyAlignment="1" applyProtection="1">
      <alignment horizontal="center" vertical="center" wrapText="1"/>
      <protection hidden="1"/>
    </xf>
    <xf numFmtId="0" fontId="15" fillId="0" borderId="1" xfId="0" applyFont="1" applyBorder="1" applyAlignment="1" applyProtection="1">
      <alignment horizontal="left" vertical="top" wrapText="1"/>
      <protection hidden="1"/>
    </xf>
    <xf numFmtId="0" fontId="15" fillId="0" borderId="1" xfId="0" applyFont="1" applyBorder="1" applyAlignment="1" applyProtection="1">
      <alignment horizontal="center" vertical="top"/>
      <protection hidden="1"/>
    </xf>
    <xf numFmtId="0" fontId="13" fillId="0" borderId="1" xfId="0" applyFont="1" applyBorder="1" applyAlignment="1" applyProtection="1">
      <alignment horizontal="left" vertical="top" wrapText="1"/>
      <protection hidden="1"/>
    </xf>
    <xf numFmtId="0" fontId="13" fillId="0" borderId="1" xfId="0" applyFont="1" applyBorder="1" applyAlignment="1" applyProtection="1">
      <alignment horizontal="center" vertical="top"/>
      <protection hidden="1"/>
    </xf>
    <xf numFmtId="0" fontId="16" fillId="0" borderId="1" xfId="0" applyFont="1" applyBorder="1" applyAlignment="1" applyProtection="1">
      <alignment horizontal="left" vertical="top" wrapText="1"/>
      <protection hidden="1"/>
    </xf>
    <xf numFmtId="0" fontId="16" fillId="0" borderId="1" xfId="0" applyFont="1" applyBorder="1" applyAlignment="1" applyProtection="1">
      <alignment horizontal="center" vertical="top"/>
      <protection hidden="1"/>
    </xf>
    <xf numFmtId="43" fontId="0" fillId="0" borderId="6" xfId="6" applyFont="1" applyBorder="1" applyAlignment="1" applyProtection="1">
      <alignment vertical="center" wrapText="1"/>
      <protection locked="0"/>
    </xf>
    <xf numFmtId="0" fontId="3" fillId="0" borderId="17" xfId="0" applyFont="1" applyBorder="1" applyAlignment="1" applyProtection="1">
      <alignment horizontal="center" vertical="center" wrapText="1"/>
      <protection locked="0"/>
    </xf>
    <xf numFmtId="43" fontId="2" fillId="0" borderId="19" xfId="6" applyFont="1" applyBorder="1" applyAlignment="1" applyProtection="1">
      <alignment horizontal="center" vertical="center" wrapText="1"/>
      <protection locked="0"/>
    </xf>
    <xf numFmtId="0" fontId="2" fillId="0" borderId="14" xfId="0" applyFont="1" applyBorder="1" applyAlignment="1" applyProtection="1">
      <alignment horizontal="center" vertical="center" wrapText="1"/>
      <protection locked="0"/>
    </xf>
    <xf numFmtId="0" fontId="3" fillId="0" borderId="16" xfId="0" applyFont="1" applyBorder="1" applyAlignment="1" applyProtection="1">
      <alignment horizontal="center" vertical="center" wrapText="1"/>
      <protection locked="0"/>
    </xf>
    <xf numFmtId="43" fontId="0" fillId="0" borderId="0" xfId="6" applyFont="1" applyBorder="1" applyAlignment="1" applyProtection="1">
      <alignment vertical="center" wrapText="1"/>
      <protection locked="0"/>
    </xf>
    <xf numFmtId="0" fontId="2" fillId="0" borderId="10" xfId="0" applyFont="1" applyBorder="1" applyAlignment="1" applyProtection="1">
      <alignment horizontal="center" vertical="center" wrapText="1"/>
      <protection locked="0"/>
    </xf>
    <xf numFmtId="0" fontId="0" fillId="0" borderId="4" xfId="0" applyBorder="1" applyAlignment="1" applyProtection="1">
      <alignment horizontal="center" vertical="center" wrapText="1"/>
      <protection locked="0"/>
    </xf>
    <xf numFmtId="0" fontId="0" fillId="19" borderId="0" xfId="0" applyFill="1" applyProtection="1">
      <protection locked="0"/>
    </xf>
    <xf numFmtId="0" fontId="0" fillId="4" borderId="0" xfId="0" applyFill="1" applyProtection="1">
      <protection locked="0"/>
    </xf>
    <xf numFmtId="0" fontId="0" fillId="18" borderId="0" xfId="0" applyFill="1" applyProtection="1">
      <protection locked="0"/>
    </xf>
    <xf numFmtId="0" fontId="0" fillId="20" borderId="0" xfId="0" applyFill="1" applyProtection="1">
      <protection locked="0"/>
    </xf>
    <xf numFmtId="0" fontId="0" fillId="19" borderId="20" xfId="0" applyFill="1" applyBorder="1" applyAlignment="1" applyProtection="1">
      <alignment horizontal="center" vertical="center" wrapText="1"/>
      <protection hidden="1"/>
    </xf>
    <xf numFmtId="0" fontId="0" fillId="19" borderId="21" xfId="0" applyFill="1" applyBorder="1" applyAlignment="1" applyProtection="1">
      <alignment horizontal="center" vertical="center" wrapText="1"/>
      <protection hidden="1"/>
    </xf>
    <xf numFmtId="0" fontId="0" fillId="4" borderId="21" xfId="0" applyFill="1" applyBorder="1" applyAlignment="1" applyProtection="1">
      <alignment horizontal="center" vertical="center" wrapText="1"/>
      <protection hidden="1"/>
    </xf>
    <xf numFmtId="0" fontId="23" fillId="18" borderId="21" xfId="0" applyFont="1" applyFill="1" applyBorder="1" applyAlignment="1" applyProtection="1">
      <alignment horizontal="center" vertical="center" wrapText="1"/>
      <protection hidden="1"/>
    </xf>
    <xf numFmtId="0" fontId="23" fillId="18" borderId="22" xfId="0" applyFont="1" applyFill="1" applyBorder="1" applyAlignment="1" applyProtection="1">
      <alignment horizontal="center" vertical="center" wrapText="1"/>
      <protection hidden="1"/>
    </xf>
    <xf numFmtId="0" fontId="0" fillId="20" borderId="23" xfId="0" applyFill="1" applyBorder="1" applyAlignment="1" applyProtection="1">
      <alignment horizontal="center" vertical="center" wrapText="1"/>
      <protection hidden="1"/>
    </xf>
    <xf numFmtId="0" fontId="0" fillId="19" borderId="24" xfId="0" applyFill="1" applyBorder="1" applyAlignment="1" applyProtection="1">
      <alignment horizontal="center" vertical="center" wrapText="1"/>
      <protection hidden="1"/>
    </xf>
    <xf numFmtId="0" fontId="0" fillId="4" borderId="24" xfId="0" applyFill="1" applyBorder="1" applyAlignment="1" applyProtection="1">
      <alignment horizontal="center" vertical="center" wrapText="1"/>
      <protection hidden="1"/>
    </xf>
    <xf numFmtId="0" fontId="23" fillId="18" borderId="24" xfId="0" applyFont="1" applyFill="1" applyBorder="1" applyAlignment="1" applyProtection="1">
      <alignment horizontal="center" vertical="center" wrapText="1"/>
      <protection hidden="1"/>
    </xf>
    <xf numFmtId="0" fontId="23" fillId="18" borderId="25" xfId="0" applyFont="1" applyFill="1" applyBorder="1" applyAlignment="1" applyProtection="1">
      <alignment horizontal="center" vertical="center" wrapText="1"/>
      <protection hidden="1"/>
    </xf>
    <xf numFmtId="0" fontId="0" fillId="20" borderId="24" xfId="0" applyFill="1" applyBorder="1" applyAlignment="1" applyProtection="1">
      <alignment horizontal="center" vertical="center" wrapText="1"/>
      <protection hidden="1"/>
    </xf>
    <xf numFmtId="0" fontId="0" fillId="20" borderId="26" xfId="0" applyFill="1" applyBorder="1" applyAlignment="1" applyProtection="1">
      <alignment horizontal="center" vertical="center" wrapText="1"/>
      <protection hidden="1"/>
    </xf>
    <xf numFmtId="0" fontId="0" fillId="20" borderId="27" xfId="0" applyFill="1" applyBorder="1" applyAlignment="1" applyProtection="1">
      <alignment horizontal="center" vertical="center" wrapText="1"/>
      <protection hidden="1"/>
    </xf>
    <xf numFmtId="0" fontId="0" fillId="19" borderId="27" xfId="0" applyFill="1" applyBorder="1" applyAlignment="1" applyProtection="1">
      <alignment horizontal="center" vertical="center" wrapText="1"/>
      <protection hidden="1"/>
    </xf>
    <xf numFmtId="0" fontId="0" fillId="4" borderId="27" xfId="0" applyFill="1" applyBorder="1" applyAlignment="1" applyProtection="1">
      <alignment horizontal="center" vertical="center" wrapText="1"/>
      <protection hidden="1"/>
    </xf>
    <xf numFmtId="0" fontId="0" fillId="4" borderId="28" xfId="0" applyFill="1" applyBorder="1" applyAlignment="1" applyProtection="1">
      <alignment horizontal="center" vertical="center" wrapText="1"/>
      <protection hidden="1"/>
    </xf>
    <xf numFmtId="0" fontId="47" fillId="0" borderId="0" xfId="8" applyProtection="1">
      <protection locked="0"/>
    </xf>
    <xf numFmtId="0" fontId="49" fillId="0" borderId="0" xfId="8" applyFont="1" applyAlignment="1" applyProtection="1">
      <alignment vertical="center"/>
      <protection locked="0"/>
    </xf>
    <xf numFmtId="0" fontId="49" fillId="0" borderId="0" xfId="8" applyFont="1" applyAlignment="1" applyProtection="1">
      <alignment horizontal="center" vertical="center"/>
      <protection locked="0"/>
    </xf>
    <xf numFmtId="0" fontId="47" fillId="0" borderId="39" xfId="8" applyBorder="1" applyProtection="1">
      <protection locked="0"/>
    </xf>
    <xf numFmtId="0" fontId="47" fillId="0" borderId="39" xfId="8" applyBorder="1" applyAlignment="1" applyProtection="1">
      <alignment vertical="center"/>
      <protection locked="0"/>
    </xf>
    <xf numFmtId="0" fontId="36" fillId="0" borderId="39" xfId="8" applyFont="1" applyBorder="1" applyAlignment="1" applyProtection="1">
      <alignment horizontal="center"/>
      <protection locked="0"/>
    </xf>
    <xf numFmtId="0" fontId="36" fillId="0" borderId="0" xfId="8" applyFont="1" applyProtection="1">
      <protection locked="0"/>
    </xf>
    <xf numFmtId="0" fontId="50" fillId="23" borderId="29" xfId="8" applyFont="1" applyFill="1" applyBorder="1" applyAlignment="1" applyProtection="1">
      <alignment horizontal="center" vertical="center" wrapText="1"/>
      <protection locked="0"/>
    </xf>
    <xf numFmtId="0" fontId="51" fillId="0" borderId="0" xfId="8" applyFont="1" applyProtection="1">
      <protection locked="0"/>
    </xf>
    <xf numFmtId="0" fontId="50" fillId="23" borderId="38" xfId="8" applyFont="1" applyFill="1" applyBorder="1" applyAlignment="1" applyProtection="1">
      <alignment horizontal="center" vertical="center" wrapText="1"/>
      <protection locked="0"/>
    </xf>
    <xf numFmtId="0" fontId="51" fillId="0" borderId="29" xfId="8" applyFont="1" applyBorder="1" applyAlignment="1" applyProtection="1">
      <alignment horizontal="center" vertical="top"/>
      <protection locked="0"/>
    </xf>
    <xf numFmtId="0" fontId="51" fillId="0" borderId="29" xfId="8" applyFont="1" applyBorder="1" applyAlignment="1" applyProtection="1">
      <alignment horizontal="left" vertical="top" wrapText="1"/>
      <protection locked="0"/>
    </xf>
    <xf numFmtId="166" fontId="47" fillId="0" borderId="29" xfId="8" applyNumberFormat="1" applyBorder="1" applyAlignment="1" applyProtection="1">
      <alignment horizontal="center" vertical="center" wrapText="1"/>
      <protection locked="0"/>
    </xf>
    <xf numFmtId="0" fontId="51" fillId="18" borderId="29" xfId="8" applyFont="1" applyFill="1" applyBorder="1" applyAlignment="1" applyProtection="1">
      <alignment horizontal="center" vertical="top"/>
      <protection locked="0"/>
    </xf>
    <xf numFmtId="0" fontId="51" fillId="18" borderId="29" xfId="8" applyFont="1" applyFill="1" applyBorder="1" applyAlignment="1" applyProtection="1">
      <alignment horizontal="left" vertical="top" wrapText="1"/>
      <protection locked="0"/>
    </xf>
    <xf numFmtId="166" fontId="47" fillId="18" borderId="29" xfId="8" applyNumberFormat="1" applyFill="1" applyBorder="1" applyAlignment="1" applyProtection="1">
      <alignment horizontal="center" vertical="center" wrapText="1"/>
      <protection locked="0"/>
    </xf>
    <xf numFmtId="0" fontId="47" fillId="0" borderId="0" xfId="8" applyAlignment="1" applyProtection="1">
      <alignment horizontal="right"/>
      <protection locked="0"/>
    </xf>
    <xf numFmtId="0" fontId="47" fillId="0" borderId="0" xfId="8" applyAlignment="1" applyProtection="1">
      <alignment horizontal="center" wrapText="1"/>
      <protection locked="0"/>
    </xf>
    <xf numFmtId="0" fontId="53" fillId="0" borderId="0" xfId="8" applyFont="1" applyProtection="1">
      <protection locked="0"/>
    </xf>
    <xf numFmtId="0" fontId="53" fillId="0" borderId="0" xfId="8" applyFont="1" applyAlignment="1" applyProtection="1">
      <alignment horizontal="center"/>
      <protection locked="0"/>
    </xf>
    <xf numFmtId="0" fontId="53" fillId="0" borderId="0" xfId="8" applyFont="1" applyAlignment="1" applyProtection="1">
      <alignment wrapText="1"/>
      <protection locked="0"/>
    </xf>
    <xf numFmtId="0" fontId="53" fillId="0" borderId="0" xfId="8" applyFont="1" applyAlignment="1" applyProtection="1">
      <alignment horizontal="center" vertical="center"/>
      <protection locked="0"/>
    </xf>
    <xf numFmtId="2" fontId="51" fillId="0" borderId="35" xfId="8" applyNumberFormat="1" applyFont="1" applyBorder="1" applyAlignment="1" applyProtection="1">
      <alignment horizontal="center" vertical="center"/>
      <protection hidden="1"/>
    </xf>
    <xf numFmtId="2" fontId="51" fillId="18" borderId="35" xfId="8" applyNumberFormat="1" applyFont="1" applyFill="1" applyBorder="1" applyAlignment="1" applyProtection="1">
      <alignment horizontal="center" vertical="center"/>
      <protection hidden="1"/>
    </xf>
    <xf numFmtId="0" fontId="50" fillId="23" borderId="29" xfId="8" applyFont="1" applyFill="1" applyBorder="1" applyAlignment="1" applyProtection="1">
      <alignment horizontal="center" vertical="center" wrapText="1"/>
      <protection hidden="1"/>
    </xf>
    <xf numFmtId="0" fontId="52" fillId="0" borderId="36" xfId="8" applyFont="1" applyBorder="1" applyAlignment="1" applyProtection="1">
      <alignment horizontal="center" vertical="center"/>
      <protection hidden="1"/>
    </xf>
    <xf numFmtId="0" fontId="52" fillId="0" borderId="29" xfId="8" applyFont="1" applyBorder="1" applyAlignment="1" applyProtection="1">
      <alignment horizontal="center" vertical="center"/>
      <protection hidden="1"/>
    </xf>
    <xf numFmtId="0" fontId="47" fillId="0" borderId="29" xfId="8" applyBorder="1" applyAlignment="1" applyProtection="1">
      <alignment horizontal="center" vertical="center" wrapText="1"/>
      <protection hidden="1"/>
    </xf>
    <xf numFmtId="0" fontId="39" fillId="0" borderId="0" xfId="7" applyAlignment="1" applyProtection="1">
      <alignment horizontal="left" vertical="top"/>
      <protection locked="0"/>
    </xf>
    <xf numFmtId="1" fontId="44" fillId="0" borderId="29" xfId="7" applyNumberFormat="1" applyFont="1" applyBorder="1" applyAlignment="1" applyProtection="1">
      <alignment horizontal="left" vertical="top" indent="1" shrinkToFit="1"/>
      <protection locked="0"/>
    </xf>
    <xf numFmtId="0" fontId="45" fillId="0" borderId="29" xfId="7" applyFont="1" applyBorder="1" applyAlignment="1" applyProtection="1">
      <alignment horizontal="left" vertical="top" wrapText="1"/>
      <protection locked="0"/>
    </xf>
    <xf numFmtId="166" fontId="44" fillId="0" borderId="29" xfId="7" applyNumberFormat="1" applyFont="1" applyBorder="1" applyAlignment="1" applyProtection="1">
      <alignment horizontal="left" vertical="top" shrinkToFit="1"/>
      <protection locked="0"/>
    </xf>
    <xf numFmtId="0" fontId="42" fillId="0" borderId="29" xfId="7" applyFont="1" applyBorder="1" applyAlignment="1" applyProtection="1">
      <alignment horizontal="left" vertical="top" wrapText="1"/>
      <protection locked="0"/>
    </xf>
    <xf numFmtId="0" fontId="42" fillId="0" borderId="29" xfId="7" applyFont="1" applyBorder="1" applyAlignment="1" applyProtection="1">
      <alignment horizontal="center" vertical="top" wrapText="1"/>
      <protection locked="0"/>
    </xf>
    <xf numFmtId="0" fontId="39" fillId="0" borderId="38" xfId="7" applyBorder="1" applyAlignment="1" applyProtection="1">
      <alignment horizontal="left" vertical="top" wrapText="1"/>
      <protection locked="0"/>
    </xf>
    <xf numFmtId="0" fontId="45" fillId="0" borderId="33" xfId="7" applyFont="1" applyBorder="1" applyAlignment="1" applyProtection="1">
      <alignment horizontal="left" vertical="top" wrapText="1"/>
      <protection locked="0"/>
    </xf>
    <xf numFmtId="0" fontId="45" fillId="0" borderId="40" xfId="7" applyFont="1" applyBorder="1" applyAlignment="1" applyProtection="1">
      <alignment horizontal="left" vertical="top" wrapText="1"/>
      <protection locked="0"/>
    </xf>
    <xf numFmtId="0" fontId="45" fillId="0" borderId="29" xfId="7" applyFont="1" applyBorder="1" applyAlignment="1" applyProtection="1">
      <alignment horizontal="left" vertical="top" wrapText="1"/>
      <protection hidden="1"/>
    </xf>
    <xf numFmtId="0" fontId="42" fillId="0" borderId="29" xfId="7" applyFont="1" applyBorder="1" applyAlignment="1" applyProtection="1">
      <alignment horizontal="center" vertical="top" wrapText="1"/>
      <protection hidden="1"/>
    </xf>
    <xf numFmtId="1" fontId="44" fillId="0" borderId="29" xfId="7" applyNumberFormat="1" applyFont="1" applyBorder="1" applyAlignment="1" applyProtection="1">
      <alignment horizontal="center" vertical="top" shrinkToFit="1"/>
      <protection hidden="1"/>
    </xf>
    <xf numFmtId="10" fontId="44" fillId="0" borderId="29" xfId="7" applyNumberFormat="1" applyFont="1" applyBorder="1" applyAlignment="1" applyProtection="1">
      <alignment horizontal="center" vertical="top" shrinkToFit="1"/>
      <protection hidden="1"/>
    </xf>
    <xf numFmtId="0" fontId="42" fillId="0" borderId="29" xfId="7" applyFont="1" applyBorder="1" applyAlignment="1" applyProtection="1">
      <alignment horizontal="center" vertical="center" wrapText="1"/>
      <protection hidden="1"/>
    </xf>
    <xf numFmtId="0" fontId="39" fillId="0" borderId="29" xfId="7" applyBorder="1" applyAlignment="1" applyProtection="1">
      <alignment horizontal="left" vertical="center" wrapText="1"/>
      <protection hidden="1"/>
    </xf>
    <xf numFmtId="1" fontId="44" fillId="0" borderId="36" xfId="7" applyNumberFormat="1" applyFont="1" applyBorder="1" applyAlignment="1" applyProtection="1">
      <alignment horizontal="center" vertical="top" shrinkToFit="1"/>
      <protection hidden="1"/>
    </xf>
    <xf numFmtId="10" fontId="44" fillId="0" borderId="36" xfId="2" applyNumberFormat="1" applyFont="1" applyFill="1" applyBorder="1" applyAlignment="1" applyProtection="1">
      <alignment horizontal="center" vertical="top" shrinkToFit="1"/>
      <protection hidden="1"/>
    </xf>
    <xf numFmtId="10" fontId="44" fillId="0" borderId="36" xfId="7" applyNumberFormat="1" applyFont="1" applyBorder="1" applyAlignment="1" applyProtection="1">
      <alignment horizontal="center" vertical="top" shrinkToFit="1"/>
      <protection hidden="1"/>
    </xf>
    <xf numFmtId="0" fontId="2" fillId="0" borderId="10" xfId="0" applyFont="1" applyBorder="1" applyAlignment="1" applyProtection="1">
      <alignment horizontal="center" vertical="center"/>
      <protection locked="0"/>
    </xf>
    <xf numFmtId="0" fontId="2" fillId="0" borderId="3" xfId="0" applyFont="1" applyBorder="1" applyAlignment="1" applyProtection="1">
      <alignment horizontal="center" vertical="center"/>
      <protection locked="0"/>
    </xf>
    <xf numFmtId="0" fontId="2" fillId="0" borderId="4" xfId="0" applyFont="1" applyBorder="1" applyAlignment="1" applyProtection="1">
      <alignment horizontal="center" vertical="center"/>
      <protection locked="0"/>
    </xf>
    <xf numFmtId="0" fontId="2" fillId="0" borderId="12" xfId="0" applyFont="1" applyBorder="1" applyAlignment="1" applyProtection="1">
      <alignment horizontal="center" vertical="center" wrapText="1"/>
      <protection locked="0"/>
    </xf>
    <xf numFmtId="0" fontId="7" fillId="0" borderId="11" xfId="0" applyFont="1" applyBorder="1" applyAlignment="1" applyProtection="1">
      <alignment horizontal="center" vertical="center"/>
      <protection locked="0"/>
    </xf>
    <xf numFmtId="0" fontId="7" fillId="0" borderId="4" xfId="0" applyFont="1" applyBorder="1" applyAlignment="1" applyProtection="1">
      <alignment horizontal="center" vertical="center"/>
      <protection locked="0"/>
    </xf>
    <xf numFmtId="2" fontId="7" fillId="0" borderId="4" xfId="0" applyNumberFormat="1" applyFont="1" applyBorder="1" applyAlignment="1" applyProtection="1">
      <alignment horizontal="center" vertical="center"/>
      <protection locked="0"/>
    </xf>
    <xf numFmtId="0" fontId="7" fillId="0" borderId="8" xfId="0" applyFont="1" applyBorder="1" applyAlignment="1" applyProtection="1">
      <alignment horizontal="center" vertical="center"/>
      <protection locked="0"/>
    </xf>
    <xf numFmtId="0" fontId="7" fillId="0" borderId="1" xfId="0" applyFont="1" applyBorder="1" applyProtection="1">
      <protection locked="0"/>
    </xf>
    <xf numFmtId="0" fontId="7" fillId="0" borderId="14" xfId="0" applyFont="1" applyBorder="1" applyAlignment="1" applyProtection="1">
      <alignment horizontal="center" vertical="center"/>
      <protection locked="0"/>
    </xf>
    <xf numFmtId="0" fontId="7" fillId="0" borderId="2" xfId="0" applyFont="1" applyBorder="1" applyProtection="1">
      <protection locked="0"/>
    </xf>
    <xf numFmtId="0" fontId="2" fillId="0" borderId="0" xfId="0" applyFont="1" applyAlignment="1" applyProtection="1">
      <alignment horizontal="right"/>
      <protection locked="0"/>
    </xf>
    <xf numFmtId="2" fontId="2" fillId="0" borderId="0" xfId="0" applyNumberFormat="1" applyFont="1" applyAlignment="1" applyProtection="1">
      <alignment horizontal="left" vertical="center"/>
      <protection locked="0"/>
    </xf>
    <xf numFmtId="2" fontId="2" fillId="0" borderId="0" xfId="0" applyNumberFormat="1" applyFont="1" applyAlignment="1" applyProtection="1">
      <alignment horizontal="center" vertical="center"/>
      <protection locked="0"/>
    </xf>
    <xf numFmtId="0" fontId="7" fillId="0" borderId="1" xfId="0" applyFont="1" applyBorder="1" applyAlignment="1" applyProtection="1">
      <alignment horizontal="center" vertical="center"/>
      <protection locked="0"/>
    </xf>
    <xf numFmtId="2" fontId="7" fillId="0" borderId="1" xfId="0" applyNumberFormat="1" applyFont="1" applyBorder="1" applyAlignment="1" applyProtection="1">
      <alignment horizontal="center" vertical="center"/>
      <protection locked="0"/>
    </xf>
    <xf numFmtId="0" fontId="7" fillId="0" borderId="8" xfId="0" applyFont="1" applyBorder="1" applyAlignment="1" applyProtection="1">
      <alignment horizontal="center"/>
      <protection locked="0"/>
    </xf>
    <xf numFmtId="0" fontId="7" fillId="0" borderId="14" xfId="0" applyFont="1" applyBorder="1" applyAlignment="1" applyProtection="1">
      <alignment horizontal="center"/>
      <protection locked="0"/>
    </xf>
    <xf numFmtId="0" fontId="2" fillId="0" borderId="0" xfId="0" applyFont="1" applyAlignment="1" applyProtection="1">
      <alignment horizontal="right" vertical="center"/>
      <protection locked="0"/>
    </xf>
    <xf numFmtId="2" fontId="2" fillId="0" borderId="0" xfId="0" applyNumberFormat="1" applyFont="1" applyProtection="1">
      <protection locked="0"/>
    </xf>
    <xf numFmtId="1" fontId="7" fillId="0" borderId="1" xfId="0" applyNumberFormat="1" applyFont="1" applyBorder="1" applyAlignment="1" applyProtection="1">
      <alignment horizontal="center" vertical="center"/>
      <protection locked="0"/>
    </xf>
    <xf numFmtId="2" fontId="0" fillId="0" borderId="0" xfId="0" applyNumberFormat="1" applyAlignment="1" applyProtection="1">
      <alignment horizontal="center" vertical="center"/>
      <protection locked="0"/>
    </xf>
    <xf numFmtId="2" fontId="0" fillId="0" borderId="0" xfId="0" applyNumberFormat="1" applyAlignment="1" applyProtection="1">
      <alignment horizontal="center"/>
      <protection locked="0"/>
    </xf>
    <xf numFmtId="167" fontId="0" fillId="0" borderId="0" xfId="1" applyNumberFormat="1" applyFont="1" applyProtection="1">
      <protection locked="0"/>
    </xf>
    <xf numFmtId="167" fontId="0" fillId="0" borderId="0" xfId="1" applyNumberFormat="1" applyFont="1" applyAlignment="1" applyProtection="1">
      <alignment horizontal="center" vertical="center"/>
      <protection locked="0"/>
    </xf>
    <xf numFmtId="2" fontId="7" fillId="0" borderId="6" xfId="0" applyNumberFormat="1" applyFont="1" applyBorder="1" applyAlignment="1" applyProtection="1">
      <alignment horizontal="center" vertical="center"/>
      <protection hidden="1"/>
    </xf>
    <xf numFmtId="2" fontId="7" fillId="0" borderId="13" xfId="0" applyNumberFormat="1" applyFont="1" applyBorder="1" applyAlignment="1" applyProtection="1">
      <alignment horizontal="center" vertical="center"/>
      <protection hidden="1"/>
    </xf>
    <xf numFmtId="2" fontId="2" fillId="0" borderId="1" xfId="0" applyNumberFormat="1" applyFont="1" applyBorder="1" applyAlignment="1" applyProtection="1">
      <alignment horizontal="center" vertical="center"/>
      <protection hidden="1"/>
    </xf>
    <xf numFmtId="0" fontId="2" fillId="0" borderId="1" xfId="0" applyFont="1" applyBorder="1" applyAlignment="1" applyProtection="1">
      <alignment horizontal="center" vertical="center"/>
      <protection hidden="1"/>
    </xf>
    <xf numFmtId="2" fontId="2" fillId="0" borderId="0" xfId="0" applyNumberFormat="1" applyFont="1" applyProtection="1">
      <protection hidden="1"/>
    </xf>
    <xf numFmtId="0" fontId="2" fillId="0" borderId="1" xfId="0" applyFont="1" applyBorder="1" applyAlignment="1" applyProtection="1">
      <alignment horizontal="center" vertical="center"/>
      <protection locked="0"/>
    </xf>
    <xf numFmtId="0" fontId="0" fillId="0" borderId="0" xfId="0" applyProtection="1">
      <protection hidden="1"/>
    </xf>
    <xf numFmtId="0" fontId="1" fillId="18" borderId="0" xfId="0" applyFont="1" applyFill="1" applyAlignment="1" applyProtection="1">
      <alignment horizontal="center" vertical="center"/>
      <protection hidden="1"/>
    </xf>
    <xf numFmtId="43" fontId="1" fillId="18" borderId="0" xfId="6" applyFont="1" applyFill="1" applyAlignment="1" applyProtection="1">
      <alignment vertical="center"/>
      <protection hidden="1"/>
    </xf>
    <xf numFmtId="0" fontId="28" fillId="4" borderId="0" xfId="0" applyFont="1" applyFill="1" applyAlignment="1" applyProtection="1">
      <alignment horizontal="center" vertical="center"/>
      <protection hidden="1"/>
    </xf>
    <xf numFmtId="43" fontId="28" fillId="4" borderId="0" xfId="6" applyFont="1" applyFill="1" applyAlignment="1" applyProtection="1">
      <alignment vertical="center"/>
      <protection hidden="1"/>
    </xf>
    <xf numFmtId="0" fontId="28" fillId="19" borderId="0" xfId="0" applyFont="1" applyFill="1" applyAlignment="1" applyProtection="1">
      <alignment horizontal="center" vertical="center"/>
      <protection hidden="1"/>
    </xf>
    <xf numFmtId="43" fontId="28" fillId="19" borderId="0" xfId="6" applyFont="1" applyFill="1" applyAlignment="1" applyProtection="1">
      <alignment vertical="center"/>
      <protection hidden="1"/>
    </xf>
    <xf numFmtId="0" fontId="28" fillId="20" borderId="0" xfId="0" applyFont="1" applyFill="1" applyAlignment="1" applyProtection="1">
      <alignment horizontal="center" vertical="center"/>
      <protection hidden="1"/>
    </xf>
    <xf numFmtId="43" fontId="28" fillId="20" borderId="0" xfId="6" applyFont="1" applyFill="1" applyAlignment="1" applyProtection="1">
      <alignment vertical="center"/>
      <protection hidden="1"/>
    </xf>
    <xf numFmtId="0" fontId="2" fillId="4" borderId="1" xfId="0" applyFont="1" applyFill="1" applyBorder="1" applyProtection="1">
      <protection locked="0"/>
    </xf>
    <xf numFmtId="1" fontId="0" fillId="4" borderId="1" xfId="0" applyNumberFormat="1" applyFill="1" applyBorder="1" applyAlignment="1" applyProtection="1">
      <alignment horizontal="center" vertical="top"/>
      <protection locked="0"/>
    </xf>
    <xf numFmtId="0" fontId="2" fillId="0" borderId="0" xfId="0" applyFont="1" applyAlignment="1" applyProtection="1">
      <alignment vertical="center"/>
      <protection locked="0"/>
    </xf>
    <xf numFmtId="0" fontId="2" fillId="12" borderId="1" xfId="0" applyFont="1" applyFill="1" applyBorder="1" applyAlignment="1" applyProtection="1">
      <alignment horizontal="center" vertical="center" wrapText="1"/>
      <protection locked="0"/>
    </xf>
    <xf numFmtId="0" fontId="0" fillId="13" borderId="1" xfId="0" applyFill="1" applyBorder="1" applyAlignment="1" applyProtection="1">
      <alignment horizontal="center" vertical="center" wrapText="1"/>
      <protection locked="0"/>
    </xf>
    <xf numFmtId="0" fontId="0" fillId="0" borderId="1" xfId="0" applyBorder="1" applyAlignment="1" applyProtection="1">
      <alignment horizontal="center" vertical="center" wrapText="1"/>
      <protection locked="0"/>
    </xf>
    <xf numFmtId="0" fontId="0" fillId="4" borderId="1" xfId="0" applyFill="1" applyBorder="1" applyAlignment="1" applyProtection="1">
      <alignment horizontal="center" vertical="center" wrapText="1"/>
      <protection locked="0"/>
    </xf>
    <xf numFmtId="0" fontId="0" fillId="7" borderId="1" xfId="0" applyFill="1" applyBorder="1" applyAlignment="1" applyProtection="1">
      <alignment horizontal="center" vertical="center" wrapText="1"/>
      <protection locked="0"/>
    </xf>
    <xf numFmtId="0" fontId="2" fillId="9" borderId="1" xfId="0" applyFont="1" applyFill="1" applyBorder="1" applyAlignment="1" applyProtection="1">
      <alignment horizontal="center" vertical="center" wrapText="1"/>
      <protection locked="0"/>
    </xf>
    <xf numFmtId="0" fontId="2" fillId="12" borderId="6" xfId="0" applyFont="1" applyFill="1" applyBorder="1" applyAlignment="1" applyProtection="1">
      <alignment horizontal="center" vertical="center" wrapText="1"/>
      <protection locked="0"/>
    </xf>
    <xf numFmtId="0" fontId="0" fillId="13" borderId="6" xfId="0" applyFill="1" applyBorder="1" applyAlignment="1" applyProtection="1">
      <alignment horizontal="center" vertical="center" wrapText="1"/>
      <protection locked="0"/>
    </xf>
    <xf numFmtId="0" fontId="0" fillId="4" borderId="6" xfId="0" applyFill="1" applyBorder="1" applyAlignment="1" applyProtection="1">
      <alignment horizontal="center" vertical="center" wrapText="1"/>
      <protection locked="0"/>
    </xf>
    <xf numFmtId="0" fontId="0" fillId="7" borderId="6" xfId="0" applyFill="1" applyBorder="1" applyAlignment="1" applyProtection="1">
      <alignment horizontal="center" vertical="center" wrapText="1"/>
      <protection locked="0"/>
    </xf>
    <xf numFmtId="0" fontId="2" fillId="0" borderId="6" xfId="0" applyFont="1" applyBorder="1" applyAlignment="1" applyProtection="1">
      <alignment horizontal="center" vertical="center" wrapText="1"/>
      <protection locked="0"/>
    </xf>
    <xf numFmtId="0" fontId="0" fillId="9" borderId="1" xfId="0" applyFill="1" applyBorder="1" applyAlignment="1" applyProtection="1">
      <alignment horizontal="center" vertical="center" wrapText="1"/>
      <protection locked="0"/>
    </xf>
    <xf numFmtId="0" fontId="2" fillId="0" borderId="1" xfId="0" applyFont="1" applyBorder="1" applyAlignment="1" applyProtection="1">
      <alignment horizontal="center" vertical="center" wrapText="1"/>
      <protection locked="0"/>
    </xf>
    <xf numFmtId="0" fontId="0" fillId="0" borderId="6" xfId="0" applyBorder="1" applyAlignment="1" applyProtection="1">
      <alignment horizontal="center" vertical="center" wrapText="1"/>
      <protection locked="0"/>
    </xf>
    <xf numFmtId="0" fontId="0" fillId="4" borderId="1" xfId="0" applyFill="1" applyBorder="1" applyAlignment="1" applyProtection="1">
      <alignment horizontal="center" vertical="center"/>
      <protection locked="0"/>
    </xf>
    <xf numFmtId="0" fontId="2" fillId="0" borderId="6" xfId="0" applyFont="1" applyBorder="1" applyAlignment="1" applyProtection="1">
      <alignment vertical="center" wrapText="1"/>
      <protection locked="0"/>
    </xf>
    <xf numFmtId="0" fontId="2" fillId="9" borderId="1" xfId="0" applyFont="1" applyFill="1" applyBorder="1" applyAlignment="1" applyProtection="1">
      <alignment horizontal="center" vertical="center"/>
      <protection locked="0"/>
    </xf>
    <xf numFmtId="0" fontId="0" fillId="4" borderId="1" xfId="0" applyFill="1" applyBorder="1" applyAlignment="1" applyProtection="1">
      <alignment horizontal="center" vertical="top"/>
      <protection locked="0"/>
    </xf>
    <xf numFmtId="0" fontId="0" fillId="7" borderId="1" xfId="0" applyFill="1" applyBorder="1" applyAlignment="1" applyProtection="1">
      <alignment horizontal="center" vertical="top"/>
      <protection locked="0"/>
    </xf>
    <xf numFmtId="0" fontId="2" fillId="0" borderId="0" xfId="0" applyFont="1" applyProtection="1">
      <protection locked="0"/>
    </xf>
    <xf numFmtId="0" fontId="23" fillId="0" borderId="0" xfId="0" applyFont="1" applyProtection="1">
      <protection locked="0"/>
    </xf>
    <xf numFmtId="0" fontId="0" fillId="9" borderId="1" xfId="0" applyFill="1" applyBorder="1" applyAlignment="1" applyProtection="1">
      <alignment vertical="top" wrapText="1"/>
      <protection locked="0"/>
    </xf>
    <xf numFmtId="0" fontId="0" fillId="9" borderId="1" xfId="0" applyFill="1" applyBorder="1" applyAlignment="1" applyProtection="1">
      <alignment horizontal="center" vertical="top"/>
      <protection locked="0"/>
    </xf>
    <xf numFmtId="0" fontId="2" fillId="0" borderId="0" xfId="0" applyFont="1" applyAlignment="1" applyProtection="1">
      <alignment horizontal="left" vertical="center"/>
      <protection locked="0"/>
    </xf>
    <xf numFmtId="4" fontId="0" fillId="4" borderId="1" xfId="1" applyNumberFormat="1" applyFont="1" applyFill="1" applyBorder="1" applyAlignment="1" applyProtection="1">
      <alignment horizontal="center" vertical="top"/>
      <protection locked="0"/>
    </xf>
    <xf numFmtId="4" fontId="0" fillId="7" borderId="1" xfId="1" applyNumberFormat="1" applyFont="1" applyFill="1" applyBorder="1" applyAlignment="1" applyProtection="1">
      <alignment horizontal="center" vertical="top"/>
      <protection locked="0"/>
    </xf>
    <xf numFmtId="4" fontId="0" fillId="9" borderId="1" xfId="1" applyNumberFormat="1" applyFont="1" applyFill="1" applyBorder="1" applyAlignment="1" applyProtection="1">
      <alignment horizontal="center" vertical="top"/>
      <protection locked="0"/>
    </xf>
    <xf numFmtId="3" fontId="0" fillId="4" borderId="1" xfId="1" applyNumberFormat="1" applyFont="1" applyFill="1" applyBorder="1" applyAlignment="1" applyProtection="1">
      <alignment horizontal="center" vertical="top"/>
      <protection locked="0"/>
    </xf>
    <xf numFmtId="3" fontId="0" fillId="7" borderId="1" xfId="1" applyNumberFormat="1" applyFont="1" applyFill="1" applyBorder="1" applyAlignment="1" applyProtection="1">
      <alignment horizontal="center" vertical="top"/>
      <protection locked="0"/>
    </xf>
    <xf numFmtId="0" fontId="0" fillId="0" borderId="19" xfId="0" applyBorder="1" applyAlignment="1" applyProtection="1">
      <alignment wrapText="1"/>
      <protection locked="0"/>
    </xf>
    <xf numFmtId="4" fontId="0" fillId="0" borderId="19" xfId="1" applyNumberFormat="1" applyFont="1" applyFill="1" applyBorder="1" applyAlignment="1" applyProtection="1">
      <alignment horizontal="center" vertical="top"/>
      <protection locked="0"/>
    </xf>
    <xf numFmtId="0" fontId="2" fillId="0" borderId="1" xfId="0" applyFont="1" applyBorder="1" applyAlignment="1" applyProtection="1">
      <alignment horizontal="left" vertical="top"/>
      <protection locked="0"/>
    </xf>
    <xf numFmtId="0" fontId="28" fillId="0" borderId="1" xfId="0" applyFont="1" applyBorder="1" applyAlignment="1" applyProtection="1">
      <alignment horizontal="left" vertical="center"/>
      <protection locked="0"/>
    </xf>
    <xf numFmtId="10" fontId="0" fillId="4" borderId="1" xfId="2" applyNumberFormat="1" applyFont="1" applyFill="1" applyBorder="1" applyAlignment="1" applyProtection="1">
      <alignment horizontal="center" vertical="top"/>
      <protection locked="0"/>
    </xf>
    <xf numFmtId="10" fontId="0" fillId="7" borderId="1" xfId="2" applyNumberFormat="1" applyFont="1" applyFill="1" applyBorder="1" applyAlignment="1" applyProtection="1">
      <alignment horizontal="center" vertical="top"/>
      <protection locked="0"/>
    </xf>
    <xf numFmtId="0" fontId="28" fillId="0" borderId="1" xfId="0" applyFont="1" applyBorder="1" applyAlignment="1" applyProtection="1">
      <alignment horizontal="right" vertical="center"/>
      <protection locked="0"/>
    </xf>
    <xf numFmtId="2" fontId="0" fillId="4" borderId="1" xfId="0" applyNumberFormat="1" applyFill="1" applyBorder="1" applyAlignment="1" applyProtection="1">
      <alignment horizontal="center" vertical="center" wrapText="1"/>
      <protection locked="0"/>
    </xf>
    <xf numFmtId="2" fontId="0" fillId="7" borderId="1" xfId="0" applyNumberFormat="1" applyFill="1" applyBorder="1" applyAlignment="1" applyProtection="1">
      <alignment horizontal="center" vertical="center" wrapText="1"/>
      <protection locked="0"/>
    </xf>
    <xf numFmtId="2" fontId="2" fillId="9" borderId="1" xfId="0" applyNumberFormat="1" applyFont="1" applyFill="1" applyBorder="1" applyAlignment="1" applyProtection="1">
      <alignment horizontal="center" vertical="center" wrapText="1"/>
      <protection locked="0"/>
    </xf>
    <xf numFmtId="0" fontId="0" fillId="6" borderId="1" xfId="0" applyFill="1" applyBorder="1" applyAlignment="1" applyProtection="1">
      <alignment horizontal="center" vertical="center" wrapText="1"/>
      <protection locked="0"/>
    </xf>
    <xf numFmtId="0" fontId="0" fillId="16" borderId="1" xfId="0" applyFill="1" applyBorder="1" applyAlignment="1" applyProtection="1">
      <alignment horizontal="left" vertical="top" wrapText="1"/>
      <protection locked="0"/>
    </xf>
    <xf numFmtId="10" fontId="0" fillId="4" borderId="1" xfId="2" applyNumberFormat="1" applyFont="1" applyFill="1" applyBorder="1" applyAlignment="1" applyProtection="1">
      <alignment horizontal="center" vertical="center" wrapText="1"/>
      <protection locked="0"/>
    </xf>
    <xf numFmtId="0" fontId="0" fillId="16" borderId="1" xfId="0" applyFill="1" applyBorder="1" applyAlignment="1" applyProtection="1">
      <alignment horizontal="left" wrapText="1"/>
      <protection locked="0"/>
    </xf>
    <xf numFmtId="10" fontId="0" fillId="7" borderId="1" xfId="2" applyNumberFormat="1" applyFont="1" applyFill="1" applyBorder="1" applyAlignment="1" applyProtection="1">
      <alignment horizontal="center" vertical="center" wrapText="1"/>
      <protection locked="0"/>
    </xf>
    <xf numFmtId="0" fontId="0" fillId="11" borderId="1" xfId="0" applyFill="1" applyBorder="1" applyAlignment="1" applyProtection="1">
      <alignment horizontal="center"/>
      <protection locked="0"/>
    </xf>
    <xf numFmtId="0" fontId="0" fillId="0" borderId="0" xfId="0" applyAlignment="1" applyProtection="1">
      <alignment horizontal="center" vertical="center" wrapText="1"/>
      <protection locked="0"/>
    </xf>
    <xf numFmtId="0" fontId="23" fillId="0" borderId="0" xfId="0" applyFont="1" applyAlignment="1" applyProtection="1">
      <alignment horizontal="center" vertical="center" wrapText="1"/>
      <protection locked="0"/>
    </xf>
    <xf numFmtId="0" fontId="54" fillId="0" borderId="0" xfId="0" applyFont="1" applyAlignment="1">
      <alignment vertical="top"/>
    </xf>
    <xf numFmtId="0" fontId="54" fillId="0" borderId="0" xfId="0" applyFont="1"/>
    <xf numFmtId="0" fontId="2" fillId="25" borderId="43" xfId="0" applyFont="1" applyFill="1" applyBorder="1" applyAlignment="1">
      <alignment horizontal="center" vertical="top"/>
    </xf>
    <xf numFmtId="0" fontId="2" fillId="25" borderId="43" xfId="0" applyFont="1" applyFill="1" applyBorder="1" applyAlignment="1">
      <alignment horizontal="center" vertical="center" wrapText="1"/>
    </xf>
    <xf numFmtId="0" fontId="2" fillId="25" borderId="43" xfId="0" applyFont="1" applyFill="1" applyBorder="1" applyAlignment="1">
      <alignment horizontal="center" vertical="center"/>
    </xf>
    <xf numFmtId="0" fontId="0" fillId="0" borderId="0" xfId="0" applyAlignment="1">
      <alignment vertical="center"/>
    </xf>
    <xf numFmtId="0" fontId="0" fillId="0" borderId="4" xfId="0" applyBorder="1" applyAlignment="1">
      <alignment horizontal="center" vertical="top"/>
    </xf>
    <xf numFmtId="0" fontId="0" fillId="0" borderId="1" xfId="0" applyBorder="1" applyAlignment="1">
      <alignment vertical="top" wrapText="1"/>
    </xf>
    <xf numFmtId="0" fontId="0" fillId="0" borderId="1" xfId="0" applyBorder="1" applyAlignment="1">
      <alignment horizontal="center" vertical="top"/>
    </xf>
    <xf numFmtId="0" fontId="0" fillId="0" borderId="4" xfId="0" applyBorder="1" applyAlignment="1">
      <alignment horizontal="center" vertical="top" wrapText="1"/>
    </xf>
    <xf numFmtId="0" fontId="33" fillId="0" borderId="4" xfId="0" applyFont="1" applyBorder="1" applyAlignment="1">
      <alignment horizontal="center" vertical="top" wrapText="1"/>
    </xf>
    <xf numFmtId="0" fontId="0" fillId="0" borderId="4" xfId="0" applyBorder="1"/>
    <xf numFmtId="0" fontId="0" fillId="0" borderId="1" xfId="0" applyBorder="1" applyAlignment="1">
      <alignment horizontal="center" vertical="top" wrapText="1"/>
    </xf>
    <xf numFmtId="0" fontId="0" fillId="0" borderId="1" xfId="0" applyBorder="1"/>
    <xf numFmtId="0" fontId="33" fillId="0" borderId="1" xfId="0" applyFont="1" applyBorder="1" applyAlignment="1">
      <alignment horizontal="center" vertical="top" wrapText="1"/>
    </xf>
    <xf numFmtId="0" fontId="0" fillId="0" borderId="2" xfId="0" applyBorder="1" applyAlignment="1">
      <alignment vertical="top" wrapText="1"/>
    </xf>
    <xf numFmtId="0" fontId="0" fillId="0" borderId="2" xfId="0" applyBorder="1" applyAlignment="1">
      <alignment horizontal="center" vertical="top"/>
    </xf>
    <xf numFmtId="0" fontId="0" fillId="0" borderId="2" xfId="0" applyBorder="1" applyAlignment="1">
      <alignment horizontal="center" vertical="top" wrapText="1"/>
    </xf>
    <xf numFmtId="0" fontId="0" fillId="0" borderId="0" xfId="0" applyAlignment="1">
      <alignment vertical="top"/>
    </xf>
    <xf numFmtId="0" fontId="0" fillId="0" borderId="0" xfId="0" applyAlignment="1">
      <alignment vertical="top" wrapText="1"/>
    </xf>
    <xf numFmtId="0" fontId="0" fillId="0" borderId="0" xfId="0" applyAlignment="1">
      <alignment horizontal="center" vertical="top"/>
    </xf>
    <xf numFmtId="0" fontId="0" fillId="0" borderId="0" xfId="0" applyAlignment="1">
      <alignment horizontal="center" vertical="top" wrapText="1"/>
    </xf>
    <xf numFmtId="0" fontId="0" fillId="0" borderId="4" xfId="0" applyBorder="1" applyAlignment="1">
      <alignment vertical="top" wrapText="1"/>
    </xf>
    <xf numFmtId="0" fontId="2" fillId="25" borderId="1" xfId="0" applyFont="1" applyFill="1" applyBorder="1" applyAlignment="1">
      <alignment horizontal="center" vertical="center" wrapText="1"/>
    </xf>
    <xf numFmtId="0" fontId="2" fillId="25" borderId="1" xfId="0" applyFont="1" applyFill="1" applyBorder="1" applyAlignment="1">
      <alignment horizontal="center" vertical="center"/>
    </xf>
    <xf numFmtId="0" fontId="2" fillId="0" borderId="1" xfId="0" applyFont="1" applyBorder="1" applyAlignment="1">
      <alignment horizontal="center" vertical="center"/>
    </xf>
    <xf numFmtId="0" fontId="57" fillId="0" borderId="1" xfId="9" applyBorder="1" applyAlignment="1">
      <alignment vertical="center"/>
    </xf>
    <xf numFmtId="0" fontId="0" fillId="0" borderId="1" xfId="0" applyBorder="1" applyAlignment="1">
      <alignment vertical="center"/>
    </xf>
    <xf numFmtId="0" fontId="57" fillId="0" borderId="0" xfId="9" applyFill="1" applyAlignment="1">
      <alignment vertical="center"/>
    </xf>
    <xf numFmtId="0" fontId="0" fillId="0" borderId="1" xfId="0" applyBorder="1" applyAlignment="1">
      <alignment vertical="top"/>
    </xf>
    <xf numFmtId="0" fontId="2" fillId="12" borderId="2" xfId="0" applyFont="1" applyFill="1" applyBorder="1" applyAlignment="1" applyProtection="1">
      <alignment horizontal="center" vertical="center" wrapText="1"/>
      <protection locked="0"/>
    </xf>
    <xf numFmtId="0" fontId="2" fillId="12" borderId="4" xfId="0" applyFont="1" applyFill="1" applyBorder="1" applyAlignment="1" applyProtection="1">
      <alignment horizontal="center" vertical="center" wrapText="1"/>
      <protection locked="0"/>
    </xf>
    <xf numFmtId="0" fontId="2" fillId="0" borderId="9" xfId="0" applyFont="1" applyBorder="1" applyAlignment="1" applyProtection="1">
      <alignment horizontal="center"/>
      <protection locked="0"/>
    </xf>
    <xf numFmtId="0" fontId="2" fillId="12" borderId="6" xfId="0" applyFont="1" applyFill="1" applyBorder="1" applyAlignment="1" applyProtection="1">
      <alignment horizontal="center" vertical="center" wrapText="1"/>
      <protection locked="0"/>
    </xf>
    <xf numFmtId="0" fontId="2" fillId="12" borderId="7" xfId="0" applyFont="1" applyFill="1" applyBorder="1" applyAlignment="1" applyProtection="1">
      <alignment horizontal="center" vertical="center" wrapText="1"/>
      <protection locked="0"/>
    </xf>
    <xf numFmtId="0" fontId="2" fillId="12" borderId="8" xfId="0" applyFont="1" applyFill="1" applyBorder="1" applyAlignment="1" applyProtection="1">
      <alignment horizontal="center" vertical="center" wrapText="1"/>
      <protection locked="0"/>
    </xf>
    <xf numFmtId="0" fontId="2" fillId="12" borderId="1" xfId="0" applyFont="1" applyFill="1" applyBorder="1" applyAlignment="1" applyProtection="1">
      <alignment horizontal="center" vertical="center" wrapText="1"/>
      <protection locked="0"/>
    </xf>
    <xf numFmtId="0" fontId="2" fillId="0" borderId="9" xfId="0" applyFont="1" applyBorder="1" applyAlignment="1" applyProtection="1">
      <alignment horizontal="center" vertical="center" wrapText="1"/>
      <protection locked="0"/>
    </xf>
    <xf numFmtId="0" fontId="2" fillId="0" borderId="9" xfId="0" applyFont="1" applyBorder="1" applyAlignment="1" applyProtection="1">
      <alignment horizontal="center" wrapText="1"/>
      <protection locked="0"/>
    </xf>
    <xf numFmtId="0" fontId="2" fillId="0" borderId="2" xfId="0" applyFont="1" applyBorder="1" applyAlignment="1" applyProtection="1">
      <alignment horizontal="center" vertical="center"/>
      <protection locked="0"/>
    </xf>
    <xf numFmtId="0" fontId="2" fillId="0" borderId="4" xfId="0" applyFont="1" applyBorder="1" applyAlignment="1" applyProtection="1">
      <alignment horizontal="center" vertical="center"/>
      <protection locked="0"/>
    </xf>
    <xf numFmtId="0" fontId="2" fillId="0" borderId="6" xfId="0" applyFont="1" applyBorder="1" applyAlignment="1" applyProtection="1">
      <alignment horizontal="center" vertical="center"/>
      <protection locked="0"/>
    </xf>
    <xf numFmtId="0" fontId="2" fillId="0" borderId="7" xfId="0" applyFont="1" applyBorder="1" applyAlignment="1" applyProtection="1">
      <alignment horizontal="center" vertical="center"/>
      <protection locked="0"/>
    </xf>
    <xf numFmtId="0" fontId="2" fillId="0" borderId="8" xfId="0" applyFont="1" applyBorder="1" applyAlignment="1" applyProtection="1">
      <alignment horizontal="center" vertical="center"/>
      <protection locked="0"/>
    </xf>
    <xf numFmtId="0" fontId="2" fillId="0" borderId="9" xfId="0" applyFont="1" applyBorder="1" applyAlignment="1" applyProtection="1">
      <alignment horizontal="center" vertical="center"/>
      <protection locked="0"/>
    </xf>
    <xf numFmtId="0" fontId="0" fillId="0" borderId="6" xfId="0" applyBorder="1" applyAlignment="1" applyProtection="1">
      <alignment horizontal="left" vertical="top" wrapText="1"/>
      <protection locked="0"/>
    </xf>
    <xf numFmtId="0" fontId="0" fillId="0" borderId="8" xfId="0" applyBorder="1" applyAlignment="1" applyProtection="1">
      <alignment horizontal="left" vertical="top" wrapText="1"/>
      <protection locked="0"/>
    </xf>
    <xf numFmtId="0" fontId="0" fillId="0" borderId="1" xfId="0" applyBorder="1" applyAlignment="1" applyProtection="1">
      <alignment horizontal="left" vertical="top" wrapText="1"/>
      <protection locked="0"/>
    </xf>
    <xf numFmtId="0" fontId="2" fillId="9" borderId="6" xfId="0" applyFont="1" applyFill="1" applyBorder="1" applyAlignment="1" applyProtection="1">
      <alignment horizontal="center" vertical="center" wrapText="1"/>
      <protection locked="0"/>
    </xf>
    <xf numFmtId="0" fontId="2" fillId="9" borderId="8" xfId="0" applyFont="1" applyFill="1" applyBorder="1" applyAlignment="1" applyProtection="1">
      <alignment horizontal="center" vertical="center" wrapText="1"/>
      <protection locked="0"/>
    </xf>
    <xf numFmtId="0" fontId="2" fillId="0" borderId="6" xfId="0" applyFont="1" applyBorder="1" applyAlignment="1" applyProtection="1">
      <alignment horizontal="left" vertical="top" wrapText="1"/>
      <protection locked="0"/>
    </xf>
    <xf numFmtId="0" fontId="2" fillId="0" borderId="8" xfId="0" applyFont="1" applyBorder="1" applyAlignment="1" applyProtection="1">
      <alignment horizontal="left" vertical="top" wrapText="1"/>
      <protection locked="0"/>
    </xf>
    <xf numFmtId="0" fontId="0" fillId="0" borderId="2" xfId="0" applyBorder="1" applyAlignment="1" applyProtection="1">
      <alignment horizontal="center" vertical="center" wrapText="1"/>
      <protection locked="0"/>
    </xf>
    <xf numFmtId="0" fontId="0" fillId="0" borderId="3" xfId="0" applyBorder="1" applyAlignment="1" applyProtection="1">
      <alignment horizontal="center" vertical="center" wrapText="1"/>
      <protection locked="0"/>
    </xf>
    <xf numFmtId="0" fontId="0" fillId="0" borderId="4" xfId="0" applyBorder="1" applyAlignment="1" applyProtection="1">
      <alignment horizontal="center" vertical="center" wrapText="1"/>
      <protection locked="0"/>
    </xf>
    <xf numFmtId="0" fontId="2" fillId="0" borderId="6" xfId="0" applyFont="1" applyBorder="1" applyAlignment="1" applyProtection="1">
      <alignment horizontal="center" vertical="center" wrapText="1"/>
      <protection locked="0"/>
    </xf>
    <xf numFmtId="0" fontId="2" fillId="0" borderId="8" xfId="0" applyFont="1" applyBorder="1" applyAlignment="1" applyProtection="1">
      <alignment horizontal="center" vertical="center" wrapText="1"/>
      <protection locked="0"/>
    </xf>
    <xf numFmtId="0" fontId="26" fillId="0" borderId="0" xfId="0" applyFont="1" applyAlignment="1" applyProtection="1">
      <alignment horizontal="center"/>
      <protection locked="0"/>
    </xf>
    <xf numFmtId="0" fontId="3" fillId="11" borderId="0" xfId="0" applyFont="1" applyFill="1" applyAlignment="1" applyProtection="1">
      <alignment vertical="center"/>
      <protection locked="0"/>
    </xf>
    <xf numFmtId="0" fontId="2" fillId="0" borderId="1" xfId="0" applyFont="1" applyBorder="1" applyProtection="1">
      <protection locked="0"/>
    </xf>
    <xf numFmtId="0" fontId="2" fillId="0" borderId="1" xfId="0" applyFont="1" applyBorder="1" applyAlignment="1" applyProtection="1">
      <alignment horizontal="left" vertical="top" wrapText="1"/>
      <protection locked="0"/>
    </xf>
    <xf numFmtId="0" fontId="2" fillId="0" borderId="6" xfId="0" applyFont="1" applyBorder="1" applyProtection="1">
      <protection locked="0"/>
    </xf>
    <xf numFmtId="0" fontId="2" fillId="0" borderId="8" xfId="0" applyFont="1" applyBorder="1" applyProtection="1">
      <protection locked="0"/>
    </xf>
    <xf numFmtId="0" fontId="2" fillId="0" borderId="9" xfId="0" applyFont="1" applyBorder="1" applyAlignment="1" applyProtection="1">
      <alignment horizontal="center" vertical="top"/>
      <protection locked="0"/>
    </xf>
    <xf numFmtId="0" fontId="8" fillId="0" borderId="6" xfId="0" applyFont="1" applyBorder="1" applyAlignment="1" applyProtection="1">
      <alignment horizontal="left" vertical="center" wrapText="1"/>
      <protection locked="0"/>
    </xf>
    <xf numFmtId="0" fontId="8" fillId="0" borderId="8" xfId="0" applyFont="1" applyBorder="1" applyAlignment="1" applyProtection="1">
      <alignment horizontal="left" vertical="center" wrapText="1"/>
      <protection locked="0"/>
    </xf>
    <xf numFmtId="0" fontId="0" fillId="6" borderId="2" xfId="0" applyFill="1" applyBorder="1" applyAlignment="1" applyProtection="1">
      <alignment horizontal="center"/>
      <protection locked="0"/>
    </xf>
    <xf numFmtId="0" fontId="0" fillId="6" borderId="3" xfId="0" applyFill="1" applyBorder="1" applyAlignment="1" applyProtection="1">
      <alignment horizontal="center"/>
      <protection locked="0"/>
    </xf>
    <xf numFmtId="0" fontId="0" fillId="6" borderId="4" xfId="0" applyFill="1" applyBorder="1" applyAlignment="1" applyProtection="1">
      <alignment horizontal="center"/>
      <protection locked="0"/>
    </xf>
    <xf numFmtId="0" fontId="2" fillId="0" borderId="2" xfId="0" applyFont="1" applyBorder="1" applyAlignment="1" applyProtection="1">
      <alignment horizontal="center" vertical="top" wrapText="1"/>
      <protection locked="0"/>
    </xf>
    <xf numFmtId="0" fontId="2" fillId="0" borderId="3" xfId="0" applyFont="1" applyBorder="1" applyAlignment="1" applyProtection="1">
      <alignment horizontal="center" vertical="top"/>
      <protection locked="0"/>
    </xf>
    <xf numFmtId="0" fontId="2" fillId="0" borderId="4" xfId="0" applyFont="1" applyBorder="1" applyAlignment="1" applyProtection="1">
      <alignment horizontal="center" vertical="top"/>
      <protection locked="0"/>
    </xf>
    <xf numFmtId="0" fontId="2" fillId="0" borderId="3" xfId="0" applyFont="1" applyBorder="1" applyAlignment="1" applyProtection="1">
      <alignment horizontal="center" vertical="top" wrapText="1"/>
      <protection locked="0"/>
    </xf>
    <xf numFmtId="0" fontId="2" fillId="0" borderId="4" xfId="0" applyFont="1" applyBorder="1" applyAlignment="1" applyProtection="1">
      <alignment horizontal="center" vertical="top" wrapText="1"/>
      <protection locked="0"/>
    </xf>
    <xf numFmtId="0" fontId="0" fillId="0" borderId="6" xfId="0" applyBorder="1" applyAlignment="1" applyProtection="1">
      <alignment horizontal="left"/>
      <protection locked="0"/>
    </xf>
    <xf numFmtId="0" fontId="0" fillId="0" borderId="8" xfId="0" applyBorder="1" applyAlignment="1" applyProtection="1">
      <alignment horizontal="left"/>
      <protection locked="0"/>
    </xf>
    <xf numFmtId="0" fontId="0" fillId="0" borderId="1" xfId="0" applyBorder="1" applyProtection="1">
      <protection locked="0"/>
    </xf>
    <xf numFmtId="0" fontId="0" fillId="4" borderId="1" xfId="0" applyFill="1" applyBorder="1" applyAlignment="1" applyProtection="1">
      <alignment vertical="top" wrapText="1"/>
      <protection locked="0"/>
    </xf>
    <xf numFmtId="0" fontId="0" fillId="7" borderId="1" xfId="0" applyFill="1" applyBorder="1" applyAlignment="1" applyProtection="1">
      <alignment horizontal="left" vertical="top" wrapText="1"/>
      <protection locked="0"/>
    </xf>
    <xf numFmtId="0" fontId="0" fillId="4" borderId="2" xfId="0" applyFill="1" applyBorder="1" applyAlignment="1" applyProtection="1">
      <alignment horizontal="left" vertical="top" wrapText="1"/>
      <protection locked="0"/>
    </xf>
    <xf numFmtId="0" fontId="0" fillId="4" borderId="3" xfId="0" applyFill="1" applyBorder="1" applyAlignment="1" applyProtection="1">
      <alignment horizontal="left" vertical="top" wrapText="1"/>
      <protection locked="0"/>
    </xf>
    <xf numFmtId="0" fontId="0" fillId="4" borderId="4" xfId="0" applyFill="1" applyBorder="1" applyAlignment="1" applyProtection="1">
      <alignment horizontal="left" vertical="top" wrapText="1"/>
      <protection locked="0"/>
    </xf>
    <xf numFmtId="0" fontId="0" fillId="0" borderId="1" xfId="0" applyBorder="1" applyAlignment="1" applyProtection="1">
      <alignment horizontal="center" vertical="top"/>
      <protection locked="0"/>
    </xf>
    <xf numFmtId="0" fontId="2" fillId="0" borderId="1" xfId="0" applyFont="1" applyBorder="1" applyAlignment="1" applyProtection="1">
      <alignment horizontal="center" vertical="top"/>
      <protection locked="0"/>
    </xf>
    <xf numFmtId="0" fontId="0" fillId="0" borderId="1" xfId="0" applyBorder="1" applyAlignment="1" applyProtection="1">
      <alignment horizontal="left" vertical="top"/>
      <protection locked="0"/>
    </xf>
    <xf numFmtId="0" fontId="0" fillId="4" borderId="1" xfId="0" applyFill="1" applyBorder="1" applyAlignment="1" applyProtection="1">
      <alignment horizontal="left" vertical="top" wrapText="1"/>
      <protection locked="0"/>
    </xf>
    <xf numFmtId="0" fontId="0" fillId="0" borderId="1" xfId="0" applyBorder="1" applyAlignment="1" applyProtection="1">
      <alignment horizontal="center" vertical="top" wrapText="1"/>
      <protection locked="0"/>
    </xf>
    <xf numFmtId="0" fontId="10" fillId="0" borderId="1" xfId="0" applyFont="1" applyBorder="1" applyAlignment="1" applyProtection="1">
      <alignment horizontal="left" vertical="center" wrapText="1"/>
      <protection locked="0"/>
    </xf>
    <xf numFmtId="0" fontId="0" fillId="0" borderId="2" xfId="0" applyBorder="1" applyAlignment="1" applyProtection="1">
      <alignment horizontal="center" vertical="top" wrapText="1"/>
      <protection locked="0"/>
    </xf>
    <xf numFmtId="0" fontId="0" fillId="0" borderId="3" xfId="0" applyBorder="1" applyAlignment="1" applyProtection="1">
      <alignment horizontal="center" vertical="top" wrapText="1"/>
      <protection locked="0"/>
    </xf>
    <xf numFmtId="0" fontId="0" fillId="0" borderId="4" xfId="0" applyBorder="1" applyAlignment="1" applyProtection="1">
      <alignment horizontal="center" vertical="top" wrapText="1"/>
      <protection locked="0"/>
    </xf>
    <xf numFmtId="0" fontId="0" fillId="0" borderId="5" xfId="0" applyBorder="1" applyAlignment="1" applyProtection="1">
      <alignment horizontal="center" vertical="top" wrapText="1"/>
      <protection locked="0"/>
    </xf>
    <xf numFmtId="0" fontId="0" fillId="0" borderId="18" xfId="0" applyBorder="1" applyAlignment="1" applyProtection="1">
      <alignment horizontal="center" vertical="top" wrapText="1"/>
      <protection locked="0"/>
    </xf>
    <xf numFmtId="0" fontId="8" fillId="0" borderId="1" xfId="0" applyFont="1" applyBorder="1" applyAlignment="1" applyProtection="1">
      <alignment horizontal="left" vertical="center" wrapText="1"/>
      <protection locked="0"/>
    </xf>
    <xf numFmtId="0" fontId="0" fillId="0" borderId="1" xfId="0" applyBorder="1" applyAlignment="1" applyProtection="1">
      <alignment vertical="top"/>
      <protection locked="0"/>
    </xf>
    <xf numFmtId="0" fontId="10" fillId="0" borderId="6" xfId="0" applyFont="1" applyBorder="1" applyAlignment="1" applyProtection="1">
      <alignment horizontal="left" vertical="center" wrapText="1"/>
      <protection locked="0"/>
    </xf>
    <xf numFmtId="0" fontId="10" fillId="0" borderId="8" xfId="0" applyFont="1" applyBorder="1" applyAlignment="1" applyProtection="1">
      <alignment horizontal="left" vertical="center" wrapText="1"/>
      <protection locked="0"/>
    </xf>
    <xf numFmtId="0" fontId="28" fillId="10" borderId="2" xfId="0" applyFont="1" applyFill="1" applyBorder="1" applyAlignment="1" applyProtection="1">
      <alignment horizontal="left" vertical="center" wrapText="1"/>
      <protection locked="0"/>
    </xf>
    <xf numFmtId="0" fontId="28" fillId="10" borderId="4" xfId="0" applyFont="1" applyFill="1" applyBorder="1" applyAlignment="1" applyProtection="1">
      <alignment horizontal="left" vertical="center" wrapText="1"/>
      <protection locked="0"/>
    </xf>
    <xf numFmtId="0" fontId="0" fillId="0" borderId="6" xfId="0" applyBorder="1" applyAlignment="1" applyProtection="1">
      <alignment horizontal="left" vertical="top"/>
      <protection locked="0"/>
    </xf>
    <xf numFmtId="0" fontId="0" fillId="0" borderId="8" xfId="0" applyBorder="1" applyAlignment="1" applyProtection="1">
      <alignment horizontal="left" vertical="top"/>
      <protection locked="0"/>
    </xf>
    <xf numFmtId="0" fontId="16" fillId="0" borderId="1" xfId="0" applyFont="1" applyBorder="1" applyAlignment="1" applyProtection="1">
      <alignment horizontal="center" vertical="center" textRotation="90" wrapText="1"/>
      <protection locked="0"/>
    </xf>
    <xf numFmtId="0" fontId="0" fillId="0" borderId="1" xfId="0" applyBorder="1" applyAlignment="1" applyProtection="1">
      <alignment wrapText="1"/>
      <protection locked="0"/>
    </xf>
    <xf numFmtId="0" fontId="0" fillId="16" borderId="1" xfId="0" applyFill="1" applyBorder="1" applyAlignment="1" applyProtection="1">
      <alignment horizontal="left" vertical="top" wrapText="1"/>
      <protection locked="0"/>
    </xf>
    <xf numFmtId="0" fontId="0" fillId="0" borderId="6" xfId="0" applyBorder="1" applyProtection="1">
      <protection locked="0"/>
    </xf>
    <xf numFmtId="0" fontId="0" fillId="7" borderId="2" xfId="0" applyFill="1" applyBorder="1" applyAlignment="1" applyProtection="1">
      <alignment horizontal="left" vertical="top" wrapText="1"/>
      <protection locked="0"/>
    </xf>
    <xf numFmtId="0" fontId="0" fillId="7" borderId="3" xfId="0" applyFill="1" applyBorder="1" applyAlignment="1" applyProtection="1">
      <alignment horizontal="left" vertical="top" wrapText="1"/>
      <protection locked="0"/>
    </xf>
    <xf numFmtId="0" fontId="0" fillId="7" borderId="4" xfId="0" applyFill="1" applyBorder="1" applyAlignment="1" applyProtection="1">
      <alignment horizontal="left" vertical="top" wrapText="1"/>
      <protection locked="0"/>
    </xf>
    <xf numFmtId="0" fontId="0" fillId="0" borderId="1" xfId="0" applyBorder="1" applyAlignment="1" applyProtection="1">
      <alignment horizontal="left" wrapText="1"/>
      <protection locked="0"/>
    </xf>
    <xf numFmtId="0" fontId="2" fillId="0" borderId="1" xfId="0" applyFont="1" applyBorder="1" applyAlignment="1" applyProtection="1">
      <alignment horizontal="center" vertical="top" wrapText="1"/>
      <protection locked="0"/>
    </xf>
    <xf numFmtId="0" fontId="2" fillId="11" borderId="1" xfId="0" applyFont="1" applyFill="1" applyBorder="1" applyAlignment="1" applyProtection="1">
      <alignment horizontal="center" vertical="top"/>
      <protection locked="0"/>
    </xf>
    <xf numFmtId="0" fontId="28" fillId="0" borderId="1" xfId="0" applyFont="1" applyBorder="1" applyAlignment="1" applyProtection="1">
      <alignment horizontal="left" vertical="center" wrapText="1"/>
      <protection locked="0"/>
    </xf>
    <xf numFmtId="0" fontId="0" fillId="7" borderId="8" xfId="0" applyFill="1" applyBorder="1" applyAlignment="1" applyProtection="1">
      <alignment horizontal="left" vertical="top" wrapText="1"/>
      <protection locked="0"/>
    </xf>
    <xf numFmtId="0" fontId="0" fillId="0" borderId="2" xfId="0" applyBorder="1" applyAlignment="1" applyProtection="1">
      <alignment horizontal="center" vertical="top"/>
      <protection locked="0"/>
    </xf>
    <xf numFmtId="0" fontId="0" fillId="0" borderId="3" xfId="0" applyBorder="1" applyAlignment="1" applyProtection="1">
      <alignment horizontal="center" vertical="top"/>
      <protection locked="0"/>
    </xf>
    <xf numFmtId="0" fontId="0" fillId="0" borderId="4" xfId="0" applyBorder="1" applyAlignment="1" applyProtection="1">
      <alignment horizontal="center" vertical="top"/>
      <protection locked="0"/>
    </xf>
    <xf numFmtId="0" fontId="2" fillId="0" borderId="2" xfId="0" applyFont="1" applyBorder="1" applyAlignment="1" applyProtection="1">
      <alignment horizontal="center" vertical="top"/>
      <protection locked="0"/>
    </xf>
    <xf numFmtId="0" fontId="37" fillId="0" borderId="30" xfId="0" applyFont="1" applyBorder="1" applyAlignment="1" applyProtection="1">
      <alignment horizontal="left" vertical="center" wrapText="1"/>
      <protection locked="0"/>
    </xf>
    <xf numFmtId="0" fontId="0" fillId="0" borderId="31" xfId="0" applyBorder="1" applyAlignment="1" applyProtection="1">
      <alignment horizontal="left" vertical="center" wrapText="1"/>
      <protection locked="0"/>
    </xf>
    <xf numFmtId="0" fontId="0" fillId="0" borderId="2" xfId="0" applyBorder="1" applyAlignment="1" applyProtection="1">
      <alignment horizontal="left" vertical="top" wrapText="1"/>
      <protection locked="0"/>
    </xf>
    <xf numFmtId="0" fontId="0" fillId="0" borderId="3" xfId="0" applyBorder="1" applyAlignment="1" applyProtection="1">
      <alignment horizontal="left" vertical="top" wrapText="1"/>
      <protection locked="0"/>
    </xf>
    <xf numFmtId="0" fontId="0" fillId="0" borderId="4" xfId="0" applyBorder="1" applyAlignment="1" applyProtection="1">
      <alignment horizontal="left" vertical="top" wrapText="1"/>
      <protection locked="0"/>
    </xf>
    <xf numFmtId="0" fontId="0" fillId="0" borderId="6" xfId="0" applyBorder="1" applyAlignment="1" applyProtection="1">
      <alignment horizontal="left" vertical="center"/>
      <protection locked="0"/>
    </xf>
    <xf numFmtId="0" fontId="0" fillId="0" borderId="7" xfId="0" applyBorder="1" applyAlignment="1" applyProtection="1">
      <alignment horizontal="left" vertical="center"/>
      <protection locked="0"/>
    </xf>
    <xf numFmtId="0" fontId="0" fillId="0" borderId="8" xfId="0" applyBorder="1" applyAlignment="1" applyProtection="1">
      <alignment horizontal="left" vertical="center"/>
      <protection locked="0"/>
    </xf>
    <xf numFmtId="0" fontId="10" fillId="0" borderId="7" xfId="0" applyFont="1" applyBorder="1" applyAlignment="1" applyProtection="1">
      <alignment horizontal="left" vertical="center" wrapText="1"/>
      <protection locked="0"/>
    </xf>
    <xf numFmtId="0" fontId="6" fillId="0" borderId="1" xfId="0" applyFont="1" applyBorder="1" applyAlignment="1" applyProtection="1">
      <alignment horizontal="left" vertical="center" wrapText="1"/>
      <protection locked="0"/>
    </xf>
    <xf numFmtId="0" fontId="0" fillId="16" borderId="2" xfId="0" applyFill="1" applyBorder="1" applyAlignment="1" applyProtection="1">
      <alignment horizontal="left" vertical="top" wrapText="1"/>
      <protection locked="0"/>
    </xf>
    <xf numFmtId="0" fontId="0" fillId="16" borderId="3" xfId="0" applyFill="1" applyBorder="1" applyAlignment="1" applyProtection="1">
      <alignment horizontal="left" vertical="top" wrapText="1"/>
      <protection locked="0"/>
    </xf>
    <xf numFmtId="0" fontId="0" fillId="16" borderId="4" xfId="0" applyFill="1" applyBorder="1" applyAlignment="1" applyProtection="1">
      <alignment horizontal="left" vertical="top" wrapText="1"/>
      <protection locked="0"/>
    </xf>
    <xf numFmtId="0" fontId="10" fillId="0" borderId="1" xfId="0" applyFont="1" applyBorder="1" applyAlignment="1" applyProtection="1">
      <alignment horizontal="center" vertical="center" textRotation="90"/>
      <protection locked="0"/>
    </xf>
    <xf numFmtId="0" fontId="10" fillId="0" borderId="1" xfId="0" applyFont="1" applyBorder="1" applyAlignment="1" applyProtection="1">
      <alignment horizontal="center" vertical="center" textRotation="90" wrapText="1"/>
      <protection locked="0"/>
    </xf>
    <xf numFmtId="0" fontId="0" fillId="11" borderId="1" xfId="0" applyFill="1" applyBorder="1" applyAlignment="1" applyProtection="1">
      <alignment horizontal="center" vertical="top" wrapText="1"/>
      <protection locked="0"/>
    </xf>
    <xf numFmtId="0" fontId="0" fillId="0" borderId="35" xfId="0" applyBorder="1" applyAlignment="1" applyProtection="1">
      <alignment horizontal="left" vertical="top" wrapText="1"/>
      <protection locked="0"/>
    </xf>
    <xf numFmtId="0" fontId="0" fillId="0" borderId="36" xfId="0" applyBorder="1" applyAlignment="1" applyProtection="1">
      <alignment horizontal="left" vertical="top" wrapText="1"/>
      <protection locked="0"/>
    </xf>
    <xf numFmtId="0" fontId="0" fillId="0" borderId="1" xfId="0" applyBorder="1" applyAlignment="1" applyProtection="1">
      <alignment horizontal="left" vertical="center"/>
      <protection locked="0"/>
    </xf>
    <xf numFmtId="0" fontId="0" fillId="7" borderId="1" xfId="0" applyFill="1" applyBorder="1" applyAlignment="1" applyProtection="1">
      <alignment horizontal="left" vertical="top"/>
      <protection locked="0"/>
    </xf>
    <xf numFmtId="0" fontId="28" fillId="0" borderId="6" xfId="0" applyFont="1" applyBorder="1" applyAlignment="1" applyProtection="1">
      <alignment horizontal="left" vertical="center" wrapText="1"/>
      <protection locked="0"/>
    </xf>
    <xf numFmtId="0" fontId="28" fillId="0" borderId="8" xfId="0" applyFont="1" applyBorder="1" applyAlignment="1" applyProtection="1">
      <alignment horizontal="left" vertical="center" wrapText="1"/>
      <protection locked="0"/>
    </xf>
    <xf numFmtId="0" fontId="0" fillId="4" borderId="1" xfId="0" applyFill="1" applyBorder="1" applyAlignment="1" applyProtection="1">
      <alignment horizontal="left" vertical="top"/>
      <protection locked="0"/>
    </xf>
    <xf numFmtId="0" fontId="10" fillId="0" borderId="6" xfId="0" applyFont="1" applyBorder="1" applyAlignment="1" applyProtection="1">
      <alignment horizontal="left" vertical="top" wrapText="1"/>
      <protection locked="0"/>
    </xf>
    <xf numFmtId="0" fontId="10" fillId="0" borderId="8" xfId="0" applyFont="1" applyBorder="1" applyAlignment="1" applyProtection="1">
      <alignment horizontal="left" vertical="top" wrapText="1"/>
      <protection locked="0"/>
    </xf>
    <xf numFmtId="0" fontId="0" fillId="0" borderId="1" xfId="0" applyBorder="1" applyAlignment="1" applyProtection="1">
      <alignment horizontal="left"/>
      <protection locked="0"/>
    </xf>
    <xf numFmtId="0" fontId="0" fillId="0" borderId="1" xfId="0" applyBorder="1" applyAlignment="1" applyProtection="1">
      <alignment horizontal="left" vertical="center" wrapText="1"/>
      <protection locked="0"/>
    </xf>
    <xf numFmtId="0" fontId="0" fillId="0" borderId="32" xfId="0" applyBorder="1" applyAlignment="1" applyProtection="1">
      <alignment horizontal="center" vertical="top" wrapText="1"/>
      <protection locked="0"/>
    </xf>
    <xf numFmtId="0" fontId="0" fillId="0" borderId="33" xfId="0" applyBorder="1" applyAlignment="1" applyProtection="1">
      <alignment horizontal="center" vertical="top" wrapText="1"/>
      <protection locked="0"/>
    </xf>
    <xf numFmtId="0" fontId="0" fillId="0" borderId="34" xfId="0" applyBorder="1" applyAlignment="1" applyProtection="1">
      <alignment horizontal="center" vertical="top" wrapText="1"/>
      <protection locked="0"/>
    </xf>
    <xf numFmtId="0" fontId="0" fillId="0" borderId="7" xfId="0" applyBorder="1" applyAlignment="1" applyProtection="1">
      <alignment horizontal="left" vertical="top"/>
      <protection locked="0"/>
    </xf>
    <xf numFmtId="0" fontId="0" fillId="0" borderId="3" xfId="0" applyBorder="1" applyProtection="1">
      <protection locked="0"/>
    </xf>
    <xf numFmtId="0" fontId="0" fillId="0" borderId="4" xfId="0" applyBorder="1" applyProtection="1">
      <protection locked="0"/>
    </xf>
    <xf numFmtId="0" fontId="2" fillId="0" borderId="32" xfId="0" applyFont="1" applyBorder="1" applyAlignment="1" applyProtection="1">
      <alignment horizontal="center" vertical="top" wrapText="1"/>
      <protection locked="0"/>
    </xf>
    <xf numFmtId="0" fontId="2" fillId="0" borderId="33" xfId="0" applyFont="1" applyBorder="1" applyAlignment="1" applyProtection="1">
      <alignment horizontal="center" vertical="top" wrapText="1"/>
      <protection locked="0"/>
    </xf>
    <xf numFmtId="0" fontId="2" fillId="0" borderId="34" xfId="0" applyFont="1" applyBorder="1" applyAlignment="1" applyProtection="1">
      <alignment horizontal="center" vertical="top" wrapText="1"/>
      <protection locked="0"/>
    </xf>
    <xf numFmtId="0" fontId="0" fillId="0" borderId="3" xfId="0" applyBorder="1" applyAlignment="1" applyProtection="1">
      <alignment horizontal="left" vertical="top"/>
      <protection locked="0"/>
    </xf>
    <xf numFmtId="0" fontId="0" fillId="0" borderId="4" xfId="0" applyBorder="1" applyAlignment="1" applyProtection="1">
      <alignment horizontal="left" vertical="top"/>
      <protection locked="0"/>
    </xf>
    <xf numFmtId="0" fontId="10" fillId="11" borderId="1" xfId="0" applyFont="1" applyFill="1" applyBorder="1" applyAlignment="1" applyProtection="1">
      <alignment horizontal="left" vertical="center" wrapText="1"/>
      <protection locked="0"/>
    </xf>
    <xf numFmtId="2" fontId="0" fillId="5" borderId="2" xfId="1" applyNumberFormat="1" applyFont="1" applyFill="1" applyBorder="1" applyAlignment="1" applyProtection="1">
      <alignment horizontal="center" vertical="top"/>
      <protection hidden="1"/>
    </xf>
    <xf numFmtId="2" fontId="0" fillId="5" borderId="3" xfId="1" applyNumberFormat="1" applyFont="1" applyFill="1" applyBorder="1" applyAlignment="1" applyProtection="1">
      <alignment horizontal="center" vertical="top"/>
      <protection hidden="1"/>
    </xf>
    <xf numFmtId="2" fontId="0" fillId="5" borderId="4" xfId="1" applyNumberFormat="1" applyFont="1" applyFill="1" applyBorder="1" applyAlignment="1" applyProtection="1">
      <alignment horizontal="center" vertical="top"/>
      <protection hidden="1"/>
    </xf>
    <xf numFmtId="0" fontId="0" fillId="0" borderId="35" xfId="0" applyBorder="1" applyAlignment="1" applyProtection="1">
      <alignment horizontal="left" vertical="center" wrapText="1"/>
      <protection locked="0"/>
    </xf>
    <xf numFmtId="0" fontId="0" fillId="0" borderId="36" xfId="0" applyBorder="1" applyAlignment="1" applyProtection="1">
      <alignment horizontal="left" vertical="center" wrapText="1"/>
      <protection locked="0"/>
    </xf>
    <xf numFmtId="49" fontId="0" fillId="7" borderId="2" xfId="0" applyNumberFormat="1" applyFill="1" applyBorder="1" applyAlignment="1" applyProtection="1">
      <alignment horizontal="left" vertical="top" wrapText="1"/>
      <protection locked="0"/>
    </xf>
    <xf numFmtId="49" fontId="0" fillId="7" borderId="3" xfId="0" applyNumberFormat="1" applyFill="1" applyBorder="1" applyAlignment="1" applyProtection="1">
      <alignment horizontal="left" vertical="top" wrapText="1"/>
      <protection locked="0"/>
    </xf>
    <xf numFmtId="49" fontId="0" fillId="7" borderId="4" xfId="0" applyNumberFormat="1" applyFill="1" applyBorder="1" applyAlignment="1" applyProtection="1">
      <alignment horizontal="left" vertical="top" wrapText="1"/>
      <protection locked="0"/>
    </xf>
    <xf numFmtId="0" fontId="28" fillId="0" borderId="1" xfId="0" applyFont="1" applyBorder="1" applyAlignment="1" applyProtection="1">
      <alignment horizontal="left" vertical="top" wrapText="1"/>
      <protection locked="0"/>
    </xf>
    <xf numFmtId="0" fontId="1" fillId="3" borderId="1" xfId="0" applyFont="1" applyFill="1" applyBorder="1" applyAlignment="1" applyProtection="1">
      <alignment horizontal="center" vertical="center" wrapText="1"/>
      <protection locked="0"/>
    </xf>
    <xf numFmtId="0" fontId="1" fillId="3" borderId="13" xfId="0" applyFont="1" applyFill="1" applyBorder="1" applyAlignment="1" applyProtection="1">
      <alignment horizontal="center" vertical="center" wrapText="1"/>
      <protection locked="0"/>
    </xf>
    <xf numFmtId="0" fontId="1" fillId="3"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locked="0"/>
    </xf>
    <xf numFmtId="0" fontId="1" fillId="3" borderId="11" xfId="0" applyFont="1" applyFill="1" applyBorder="1" applyAlignment="1" applyProtection="1">
      <alignment horizontal="center" vertical="center" wrapText="1"/>
      <protection locked="0"/>
    </xf>
    <xf numFmtId="0" fontId="1" fillId="3" borderId="2" xfId="0" applyFont="1" applyFill="1" applyBorder="1" applyAlignment="1" applyProtection="1">
      <alignment horizontal="center" vertical="center" wrapText="1"/>
      <protection locked="0"/>
    </xf>
    <xf numFmtId="0" fontId="1" fillId="3" borderId="4" xfId="0" applyFont="1" applyFill="1" applyBorder="1" applyAlignment="1" applyProtection="1">
      <alignment horizontal="center" vertical="center" wrapText="1"/>
      <protection locked="0"/>
    </xf>
    <xf numFmtId="0" fontId="8" fillId="0" borderId="16" xfId="0" applyFont="1" applyBorder="1" applyAlignment="1" applyProtection="1">
      <alignment horizontal="left" vertical="center" wrapText="1"/>
      <protection locked="0"/>
    </xf>
    <xf numFmtId="0" fontId="0" fillId="0" borderId="13" xfId="0" applyBorder="1" applyAlignment="1" applyProtection="1">
      <alignment horizontal="left" vertical="top" wrapText="1"/>
      <protection locked="0"/>
    </xf>
    <xf numFmtId="0" fontId="0" fillId="0" borderId="14" xfId="0" applyBorder="1" applyAlignment="1" applyProtection="1">
      <alignment horizontal="left" vertical="top" wrapText="1"/>
      <protection locked="0"/>
    </xf>
    <xf numFmtId="0" fontId="0" fillId="0" borderId="12" xfId="0" applyBorder="1" applyAlignment="1" applyProtection="1">
      <alignment horizontal="left" vertical="top" wrapText="1"/>
      <protection locked="0"/>
    </xf>
    <xf numFmtId="0" fontId="0" fillId="0" borderId="10" xfId="0" applyBorder="1" applyAlignment="1" applyProtection="1">
      <alignment horizontal="left" vertical="top" wrapText="1"/>
      <protection locked="0"/>
    </xf>
    <xf numFmtId="0" fontId="0" fillId="0" borderId="15" xfId="0" applyBorder="1" applyAlignment="1" applyProtection="1">
      <alignment horizontal="left" vertical="top" wrapText="1"/>
      <protection locked="0"/>
    </xf>
    <xf numFmtId="0" fontId="0" fillId="0" borderId="11" xfId="0" applyBorder="1" applyAlignment="1" applyProtection="1">
      <alignment horizontal="left" vertical="top" wrapText="1"/>
      <protection locked="0"/>
    </xf>
    <xf numFmtId="0" fontId="0" fillId="24" borderId="2" xfId="0" applyFill="1" applyBorder="1" applyAlignment="1" applyProtection="1">
      <alignment horizontal="left" vertical="top" wrapText="1"/>
      <protection locked="0"/>
    </xf>
    <xf numFmtId="0" fontId="0" fillId="24" borderId="3" xfId="0" applyFill="1" applyBorder="1" applyAlignment="1" applyProtection="1">
      <alignment horizontal="left" vertical="top" wrapText="1"/>
      <protection locked="0"/>
    </xf>
    <xf numFmtId="0" fontId="0" fillId="24" borderId="4" xfId="0" applyFill="1" applyBorder="1" applyAlignment="1" applyProtection="1">
      <alignment horizontal="left" vertical="top" wrapText="1"/>
      <protection locked="0"/>
    </xf>
    <xf numFmtId="0" fontId="0" fillId="24" borderId="1" xfId="0" applyFill="1" applyBorder="1" applyAlignment="1" applyProtection="1">
      <alignment horizontal="left" vertical="top" wrapText="1"/>
      <protection locked="0"/>
    </xf>
    <xf numFmtId="0" fontId="0" fillId="24" borderId="1" xfId="0" applyFill="1" applyBorder="1" applyAlignment="1" applyProtection="1">
      <alignment wrapText="1"/>
      <protection locked="0"/>
    </xf>
    <xf numFmtId="0" fontId="3" fillId="2" borderId="0" xfId="0" applyFont="1" applyFill="1" applyAlignment="1" applyProtection="1">
      <alignment horizontal="center" vertical="center"/>
      <protection locked="0"/>
    </xf>
    <xf numFmtId="0" fontId="4" fillId="11" borderId="0" xfId="0" applyFont="1" applyFill="1" applyAlignment="1" applyProtection="1">
      <alignment vertical="center"/>
      <protection locked="0"/>
    </xf>
    <xf numFmtId="0" fontId="55" fillId="0" borderId="0" xfId="0" applyFont="1" applyAlignment="1">
      <alignment horizontal="center" vertical="top"/>
    </xf>
    <xf numFmtId="2" fontId="1" fillId="8" borderId="0" xfId="0" applyNumberFormat="1" applyFont="1" applyFill="1" applyAlignment="1" applyProtection="1">
      <alignment horizontal="center" vertical="center"/>
      <protection hidden="1"/>
    </xf>
    <xf numFmtId="0" fontId="8" fillId="0" borderId="0" xfId="0" applyFont="1" applyAlignment="1" applyProtection="1">
      <alignment horizontal="center" vertical="center"/>
      <protection locked="0"/>
    </xf>
    <xf numFmtId="0" fontId="9" fillId="0" borderId="0" xfId="0" applyFont="1" applyAlignment="1" applyProtection="1">
      <alignment horizontal="center"/>
      <protection locked="0"/>
    </xf>
    <xf numFmtId="0" fontId="0" fillId="0" borderId="0" xfId="0" applyAlignment="1" applyProtection="1">
      <alignment horizontal="center" vertical="center"/>
      <protection locked="0"/>
    </xf>
    <xf numFmtId="2" fontId="1" fillId="8" borderId="0" xfId="0" applyNumberFormat="1" applyFont="1" applyFill="1" applyAlignment="1" applyProtection="1">
      <alignment horizontal="center" vertical="center"/>
      <protection locked="0"/>
    </xf>
    <xf numFmtId="0" fontId="0" fillId="0" borderId="0" xfId="0" applyAlignment="1" applyProtection="1">
      <alignment horizontal="center" vertical="center"/>
      <protection hidden="1"/>
    </xf>
    <xf numFmtId="0" fontId="0" fillId="0" borderId="0" xfId="0" applyAlignment="1" applyProtection="1">
      <alignment horizontal="center" vertical="top" wrapText="1"/>
      <protection locked="0"/>
    </xf>
    <xf numFmtId="0" fontId="0" fillId="0" borderId="0" xfId="0" applyAlignment="1" applyProtection="1">
      <alignment horizontal="center" vertical="center" wrapText="1"/>
      <protection locked="0"/>
    </xf>
    <xf numFmtId="0" fontId="11" fillId="5" borderId="6" xfId="0" applyFont="1" applyFill="1" applyBorder="1" applyAlignment="1" applyProtection="1">
      <alignment horizontal="center" vertical="center" wrapText="1"/>
      <protection locked="0"/>
    </xf>
    <xf numFmtId="0" fontId="11" fillId="5" borderId="7" xfId="0" applyFont="1" applyFill="1" applyBorder="1" applyAlignment="1" applyProtection="1">
      <alignment horizontal="center" vertical="center" wrapText="1"/>
      <protection locked="0"/>
    </xf>
    <xf numFmtId="0" fontId="11" fillId="5" borderId="1" xfId="0" applyFont="1" applyFill="1" applyBorder="1" applyAlignment="1" applyProtection="1">
      <alignment horizontal="center" vertical="center" wrapText="1"/>
      <protection locked="0"/>
    </xf>
    <xf numFmtId="0" fontId="10" fillId="0" borderId="0" xfId="0" applyFont="1" applyAlignment="1" applyProtection="1">
      <alignment horizontal="center" vertical="top" wrapText="1"/>
      <protection locked="0"/>
    </xf>
    <xf numFmtId="0" fontId="10" fillId="0" borderId="0" xfId="0" applyFont="1" applyAlignment="1" applyProtection="1">
      <alignment vertical="top"/>
      <protection locked="0"/>
    </xf>
    <xf numFmtId="0" fontId="2" fillId="0" borderId="0" xfId="0" applyFont="1" applyAlignment="1" applyProtection="1">
      <alignment horizontal="center"/>
      <protection locked="0"/>
    </xf>
    <xf numFmtId="0" fontId="2" fillId="0" borderId="2" xfId="0" applyFont="1" applyBorder="1" applyAlignment="1" applyProtection="1">
      <alignment horizontal="center" vertical="center" textRotation="90"/>
      <protection locked="0"/>
    </xf>
    <xf numFmtId="0" fontId="2" fillId="0" borderId="3" xfId="0" applyFont="1" applyBorder="1" applyAlignment="1" applyProtection="1">
      <alignment horizontal="center" vertical="center" textRotation="90"/>
      <protection locked="0"/>
    </xf>
    <xf numFmtId="0" fontId="2" fillId="0" borderId="4" xfId="0" applyFont="1" applyBorder="1" applyAlignment="1" applyProtection="1">
      <alignment horizontal="center" vertical="center" textRotation="90"/>
      <protection locked="0"/>
    </xf>
    <xf numFmtId="0" fontId="47" fillId="0" borderId="29" xfId="8" applyBorder="1" applyAlignment="1" applyProtection="1">
      <alignment horizontal="right" vertical="center"/>
      <protection locked="0"/>
    </xf>
    <xf numFmtId="0" fontId="48" fillId="0" borderId="0" xfId="8" applyFont="1" applyAlignment="1" applyProtection="1">
      <alignment horizontal="center" vertical="center"/>
      <protection locked="0"/>
    </xf>
    <xf numFmtId="0" fontId="49" fillId="0" borderId="0" xfId="8" applyFont="1" applyAlignment="1" applyProtection="1">
      <alignment horizontal="center" vertical="center"/>
      <protection locked="0"/>
    </xf>
    <xf numFmtId="0" fontId="49" fillId="22" borderId="0" xfId="8" applyFont="1" applyFill="1" applyAlignment="1" applyProtection="1">
      <alignment horizontal="left" vertical="center" wrapText="1"/>
      <protection hidden="1"/>
    </xf>
    <xf numFmtId="0" fontId="50" fillId="23" borderId="38" xfId="8" applyFont="1" applyFill="1" applyBorder="1" applyAlignment="1" applyProtection="1">
      <alignment horizontal="center" vertical="center" wrapText="1"/>
      <protection locked="0"/>
    </xf>
    <xf numFmtId="0" fontId="50" fillId="23" borderId="40" xfId="8" applyFont="1" applyFill="1" applyBorder="1" applyAlignment="1" applyProtection="1">
      <alignment horizontal="center" vertical="center" wrapText="1"/>
      <protection locked="0"/>
    </xf>
    <xf numFmtId="0" fontId="50" fillId="23" borderId="38" xfId="8" applyFont="1" applyFill="1" applyBorder="1" applyAlignment="1" applyProtection="1">
      <alignment horizontal="center" vertical="center" wrapText="1"/>
      <protection hidden="1"/>
    </xf>
    <xf numFmtId="0" fontId="50" fillId="23" borderId="40" xfId="8" applyFont="1" applyFill="1" applyBorder="1" applyAlignment="1" applyProtection="1">
      <alignment horizontal="center" vertical="center" wrapText="1"/>
      <protection hidden="1"/>
    </xf>
    <xf numFmtId="0" fontId="50" fillId="23" borderId="29" xfId="8" applyFont="1" applyFill="1" applyBorder="1" applyAlignment="1" applyProtection="1">
      <alignment horizontal="center" vertical="center" wrapText="1"/>
      <protection locked="0"/>
    </xf>
    <xf numFmtId="0" fontId="50" fillId="23" borderId="29" xfId="8" applyFont="1" applyFill="1" applyBorder="1" applyAlignment="1" applyProtection="1">
      <alignment horizontal="center" vertical="center" wrapText="1"/>
      <protection hidden="1"/>
    </xf>
    <xf numFmtId="1" fontId="44" fillId="0" borderId="38" xfId="7" applyNumberFormat="1" applyFont="1" applyBorder="1" applyAlignment="1" applyProtection="1">
      <alignment horizontal="center" vertical="top" shrinkToFit="1"/>
      <protection locked="0"/>
    </xf>
    <xf numFmtId="1" fontId="44" fillId="0" borderId="33" xfId="7" applyNumberFormat="1" applyFont="1" applyBorder="1" applyAlignment="1" applyProtection="1">
      <alignment horizontal="center" vertical="top" shrinkToFit="1"/>
      <protection locked="0"/>
    </xf>
    <xf numFmtId="1" fontId="44" fillId="0" borderId="40" xfId="7" applyNumberFormat="1" applyFont="1" applyBorder="1" applyAlignment="1" applyProtection="1">
      <alignment horizontal="center" vertical="top" shrinkToFit="1"/>
      <protection locked="0"/>
    </xf>
    <xf numFmtId="0" fontId="42" fillId="0" borderId="38" xfId="7" applyFont="1" applyBorder="1" applyAlignment="1" applyProtection="1">
      <alignment horizontal="left" vertical="top" wrapText="1"/>
      <protection locked="0"/>
    </xf>
    <xf numFmtId="0" fontId="42" fillId="0" borderId="33" xfId="7" applyFont="1" applyBorder="1" applyAlignment="1" applyProtection="1">
      <alignment horizontal="left" vertical="top" wrapText="1"/>
      <protection locked="0"/>
    </xf>
    <xf numFmtId="0" fontId="42" fillId="0" borderId="40" xfId="7" applyFont="1" applyBorder="1" applyAlignment="1" applyProtection="1">
      <alignment horizontal="left" vertical="top" wrapText="1"/>
      <protection locked="0"/>
    </xf>
    <xf numFmtId="0" fontId="39" fillId="0" borderId="33" xfId="7" applyBorder="1" applyAlignment="1" applyProtection="1">
      <alignment horizontal="left" vertical="center" wrapText="1"/>
      <protection locked="0"/>
    </xf>
    <xf numFmtId="0" fontId="39" fillId="0" borderId="40" xfId="7" applyBorder="1" applyAlignment="1" applyProtection="1">
      <alignment horizontal="left" vertical="center" wrapText="1"/>
      <protection locked="0"/>
    </xf>
    <xf numFmtId="0" fontId="41" fillId="0" borderId="0" xfId="7" applyFont="1" applyAlignment="1" applyProtection="1">
      <alignment horizontal="center" vertical="top" wrapText="1"/>
      <protection locked="0"/>
    </xf>
    <xf numFmtId="0" fontId="40" fillId="0" borderId="0" xfId="7" applyFont="1" applyAlignment="1" applyProtection="1">
      <alignment horizontal="center" vertical="top" wrapText="1"/>
      <protection locked="0"/>
    </xf>
    <xf numFmtId="0" fontId="40" fillId="0" borderId="39" xfId="7" applyFont="1" applyBorder="1" applyAlignment="1" applyProtection="1">
      <alignment horizontal="left" vertical="top" wrapText="1"/>
      <protection locked="0"/>
    </xf>
    <xf numFmtId="0" fontId="2" fillId="0" borderId="6" xfId="0" applyFont="1" applyBorder="1" applyAlignment="1" applyProtection="1">
      <alignment horizontal="right"/>
      <protection locked="0"/>
    </xf>
    <xf numFmtId="0" fontId="2" fillId="0" borderId="8" xfId="0" applyFont="1" applyBorder="1" applyAlignment="1" applyProtection="1">
      <alignment horizontal="right"/>
      <protection locked="0"/>
    </xf>
    <xf numFmtId="0" fontId="2" fillId="0" borderId="1" xfId="0" applyFont="1" applyBorder="1" applyAlignment="1" applyProtection="1">
      <alignment horizontal="center" vertical="center"/>
      <protection locked="0"/>
    </xf>
  </cellXfs>
  <cellStyles count="10">
    <cellStyle name="Comma" xfId="6" builtinId="3"/>
    <cellStyle name="Comma [0]" xfId="1" builtinId="6"/>
    <cellStyle name="Comma 2" xfId="3" xr:uid="{00000000-0005-0000-0000-000002000000}"/>
    <cellStyle name="Hyperlink" xfId="9" builtinId="8"/>
    <cellStyle name="Hyperlink 2" xfId="4" xr:uid="{00000000-0005-0000-0000-000003000000}"/>
    <cellStyle name="Normal" xfId="0" builtinId="0"/>
    <cellStyle name="Normal 2" xfId="7" xr:uid="{00000000-0005-0000-0000-000005000000}"/>
    <cellStyle name="Normal 3" xfId="8" xr:uid="{00000000-0005-0000-0000-000006000000}"/>
    <cellStyle name="Percent" xfId="2" builtinId="5"/>
    <cellStyle name="Percent 2" xfId="5" xr:uid="{00000000-0005-0000-0000-000008000000}"/>
  </cellStyles>
  <dxfs count="116">
    <dxf>
      <font>
        <b val="0"/>
      </font>
      <numFmt numFmtId="2" formatCode="0.00"/>
      <alignment horizontal="center" vertical="center" textRotation="0" wrapText="0" indent="0" justifyLastLine="0" shrinkToFit="0" readingOrder="0"/>
      <border diagonalUp="0" diagonalDown="0">
        <left style="thin">
          <color indexed="64"/>
        </left>
        <right/>
        <top style="thin">
          <color indexed="64"/>
        </top>
        <bottom style="thin">
          <color indexed="64"/>
        </bottom>
      </border>
      <protection locked="1" hidden="1"/>
    </dxf>
    <dxf>
      <font>
        <b val="0"/>
      </font>
      <numFmt numFmtId="1"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font>
      <numFmt numFmtId="2" formatCode="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font>
      <border diagonalUp="0" diagonalDown="0">
        <left style="thin">
          <color indexed="64"/>
        </left>
        <right style="thin">
          <color indexed="64"/>
        </right>
        <top style="thin">
          <color indexed="64"/>
        </top>
        <bottom style="thin">
          <color indexed="64"/>
        </bottom>
      </border>
      <protection locked="0" hidden="0"/>
    </dxf>
    <dxf>
      <font>
        <b val="0"/>
      </font>
      <alignment horizontal="center" vertical="bottom" textRotation="0" wrapText="0" indent="0" justifyLastLine="0" shrinkToFit="0" readingOrder="0"/>
      <border diagonalUp="0" diagonalDown="0">
        <left/>
        <right style="thin">
          <color indexed="64"/>
        </right>
        <top style="thin">
          <color indexed="64"/>
        </top>
        <bottom style="thin">
          <color indexed="64"/>
        </bottom>
      </border>
      <protection locked="0" hidden="0"/>
    </dxf>
    <dxf>
      <border outline="0">
        <left style="thin">
          <color indexed="64"/>
        </left>
        <right style="thin">
          <color indexed="64"/>
        </right>
        <top style="thin">
          <color indexed="64"/>
        </top>
        <bottom style="thin">
          <color indexed="64"/>
        </bottom>
      </border>
    </dxf>
    <dxf>
      <font>
        <b val="0"/>
      </font>
      <protection locked="0" hidden="0"/>
    </dxf>
    <dxf>
      <font>
        <b/>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indexed="64"/>
        </left>
        <right style="thin">
          <color indexed="64"/>
        </right>
        <top/>
        <bottom/>
      </border>
      <protection locked="0" hidden="0"/>
    </dxf>
    <dxf>
      <font>
        <b val="0"/>
        <i val="0"/>
        <strike val="0"/>
        <condense val="0"/>
        <extend val="0"/>
        <outline val="0"/>
        <shadow val="0"/>
        <u val="none"/>
        <vertAlign val="baseline"/>
        <sz val="11"/>
        <color theme="1"/>
        <name val="Calibri"/>
        <scheme val="minor"/>
      </font>
      <numFmt numFmtId="2" formatCode="0.00"/>
      <alignment horizontal="center" vertical="center" textRotation="0" wrapText="0" indent="0" justifyLastLine="0" shrinkToFit="0" readingOrder="0"/>
      <border diagonalUp="0" diagonalDown="0">
        <left style="thin">
          <color indexed="64"/>
        </left>
        <right/>
        <top style="thin">
          <color indexed="64"/>
        </top>
        <bottom style="thin">
          <color indexed="64"/>
        </bottom>
      </border>
      <protection locked="1" hidden="1"/>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theme="1"/>
        <name val="Calibri"/>
        <scheme val="minor"/>
      </font>
      <numFmt numFmtId="2" formatCode="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theme="1"/>
        <name val="Calibri"/>
        <scheme val="minor"/>
      </font>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right style="thin">
          <color indexed="64"/>
        </right>
        <top style="thin">
          <color indexed="64"/>
        </top>
        <bottom style="thin">
          <color indexed="64"/>
        </bottom>
      </border>
      <protection locked="0" hidden="0"/>
    </dxf>
    <dxf>
      <border outline="0">
        <left style="thin">
          <color indexed="64"/>
        </left>
        <right style="thin">
          <color indexed="64"/>
        </right>
        <top style="thin">
          <color indexed="64"/>
        </top>
        <bottom style="thin">
          <color indexed="64"/>
        </bottom>
      </border>
    </dxf>
    <dxf>
      <font>
        <b val="0"/>
      </font>
      <protection locked="0" hidden="0"/>
    </dxf>
    <dxf>
      <font>
        <b/>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indexed="64"/>
        </left>
        <right style="thin">
          <color indexed="64"/>
        </right>
        <top/>
        <bottom/>
      </border>
      <protection locked="0" hidden="0"/>
    </dxf>
    <dxf>
      <font>
        <b val="0"/>
      </font>
      <numFmt numFmtId="2" formatCode="0.00"/>
      <alignment horizontal="center" vertical="center" textRotation="0" wrapText="0" indent="0" justifyLastLine="0" shrinkToFit="0" readingOrder="0"/>
      <border diagonalUp="0" diagonalDown="0">
        <left style="thin">
          <color indexed="64"/>
        </left>
        <right/>
        <top style="thin">
          <color indexed="64"/>
        </top>
        <bottom style="thin">
          <color indexed="64"/>
        </bottom>
      </border>
      <protection locked="1" hidden="1"/>
    </dxf>
    <dxf>
      <font>
        <b val="0"/>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font>
      <numFmt numFmtId="2" formatCode="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font>
      <border diagonalUp="0" diagonalDown="0">
        <left style="thin">
          <color indexed="64"/>
        </left>
        <right style="thin">
          <color indexed="64"/>
        </right>
        <top style="thin">
          <color indexed="64"/>
        </top>
        <bottom style="thin">
          <color indexed="64"/>
        </bottom>
      </border>
      <protection locked="0" hidden="0"/>
    </dxf>
    <dxf>
      <font>
        <b val="0"/>
      </font>
      <alignment horizontal="center" vertical="bottom" textRotation="0" wrapText="0" indent="0" justifyLastLine="0" shrinkToFit="0" readingOrder="0"/>
      <border diagonalUp="0" diagonalDown="0">
        <left/>
        <right style="thin">
          <color indexed="64"/>
        </right>
        <top style="thin">
          <color indexed="64"/>
        </top>
        <bottom style="thin">
          <color indexed="64"/>
        </bottom>
      </border>
      <protection locked="0" hidden="0"/>
    </dxf>
    <dxf>
      <border outline="0">
        <left style="thin">
          <color indexed="64"/>
        </left>
        <right style="thin">
          <color indexed="64"/>
        </right>
        <top style="thin">
          <color indexed="64"/>
        </top>
        <bottom style="thin">
          <color indexed="64"/>
        </bottom>
      </border>
    </dxf>
    <dxf>
      <font>
        <b val="0"/>
      </font>
      <protection locked="0" hidden="0"/>
    </dxf>
    <dxf>
      <font>
        <b/>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indexed="64"/>
        </left>
        <right style="thin">
          <color indexed="64"/>
        </right>
        <top/>
        <bottom/>
      </border>
      <protection locked="0" hidden="0"/>
    </dxf>
    <dxf>
      <font>
        <b val="0"/>
        <i val="0"/>
        <strike val="0"/>
        <condense val="0"/>
        <extend val="0"/>
        <outline val="0"/>
        <shadow val="0"/>
        <u val="none"/>
        <vertAlign val="baseline"/>
        <sz val="11"/>
        <color theme="1"/>
        <name val="Calibri"/>
        <scheme val="minor"/>
      </font>
      <numFmt numFmtId="2" formatCode="0.00"/>
      <alignment horizontal="center" vertical="center" textRotation="0" wrapText="0" indent="0" justifyLastLine="0" shrinkToFit="0" readingOrder="0"/>
      <border diagonalUp="0" diagonalDown="0">
        <left style="thin">
          <color indexed="64"/>
        </left>
        <right/>
        <top style="thin">
          <color indexed="64"/>
        </top>
        <bottom style="thin">
          <color indexed="64"/>
        </bottom>
      </border>
      <protection locked="1" hidden="1"/>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theme="1"/>
        <name val="Calibri"/>
        <scheme val="minor"/>
      </font>
      <numFmt numFmtId="2" formatCode="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theme="1"/>
        <name val="Calibri"/>
        <scheme val="minor"/>
      </font>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right style="thin">
          <color indexed="64"/>
        </right>
        <top style="thin">
          <color indexed="64"/>
        </top>
        <bottom style="thin">
          <color indexed="64"/>
        </bottom>
      </border>
      <protection locked="0" hidden="0"/>
    </dxf>
    <dxf>
      <border outline="0">
        <left style="thin">
          <color indexed="64"/>
        </left>
        <right style="thin">
          <color indexed="64"/>
        </right>
        <top style="thin">
          <color indexed="64"/>
        </top>
        <bottom style="thin">
          <color indexed="64"/>
        </bottom>
      </border>
    </dxf>
    <dxf>
      <font>
        <b val="0"/>
      </font>
      <protection locked="0" hidden="0"/>
    </dxf>
    <dxf>
      <font>
        <b/>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indexed="64"/>
        </left>
        <right style="thin">
          <color indexed="64"/>
        </right>
        <top/>
        <bottom/>
      </border>
      <protection locked="0" hidden="0"/>
    </dxf>
    <dxf>
      <numFmt numFmtId="0" formatCode="General"/>
      <fill>
        <patternFill patternType="solid">
          <fgColor rgb="FF000000"/>
          <bgColor rgb="FFD8D8D8"/>
        </patternFill>
      </fill>
    </dxf>
    <dxf>
      <numFmt numFmtId="0" formatCode="General"/>
      <fill>
        <patternFill patternType="solid">
          <fgColor rgb="FF000000"/>
          <bgColor rgb="FF000000"/>
        </patternFill>
      </fill>
    </dxf>
    <dxf>
      <numFmt numFmtId="0" formatCode="General"/>
      <fill>
        <patternFill patternType="solid">
          <fgColor rgb="FF000000"/>
          <bgColor rgb="FFD8D8D8"/>
        </patternFill>
      </fill>
    </dxf>
    <dxf>
      <font>
        <sz val="10"/>
        <color rgb="FFFFFFFF"/>
        <name val="Calibri"/>
      </font>
      <numFmt numFmtId="0" formatCode="General"/>
      <fill>
        <patternFill patternType="solid">
          <fgColor rgb="FF000000"/>
          <bgColor rgb="FFFF0000"/>
        </patternFill>
      </fill>
    </dxf>
    <dxf>
      <font>
        <sz val="10"/>
        <color rgb="FF00B050"/>
        <name val="Calibri"/>
      </font>
      <numFmt numFmtId="0" formatCode="General"/>
      <fill>
        <patternFill patternType="none"/>
      </fill>
    </dxf>
    <dxf>
      <font>
        <sz val="10"/>
        <color rgb="FFFF0000"/>
        <name val="Calibri"/>
      </font>
      <numFmt numFmtId="0" formatCode="General"/>
      <fill>
        <patternFill patternType="none"/>
      </fill>
    </dxf>
    <dxf>
      <font>
        <sz val="10"/>
        <color rgb="FFFFFFFF"/>
        <name val="Calibri"/>
      </font>
      <numFmt numFmtId="0" formatCode="General"/>
      <fill>
        <patternFill patternType="solid">
          <fgColor rgb="FF000000"/>
          <bgColor rgb="FF00B050"/>
        </patternFill>
      </fill>
    </dxf>
    <dxf>
      <font>
        <b/>
        <i val="0"/>
        <sz val="10"/>
        <color rgb="FFFFFFFF"/>
        <name val="Calibri"/>
      </font>
      <numFmt numFmtId="0" formatCode="General"/>
      <fill>
        <patternFill patternType="solid">
          <fgColor rgb="FF000000"/>
          <bgColor rgb="FFFF0000"/>
        </patternFill>
      </fill>
    </dxf>
    <dxf>
      <numFmt numFmtId="0" formatCode="General"/>
      <fill>
        <patternFill patternType="solid">
          <fgColor rgb="FF000000"/>
          <bgColor rgb="FFD8D8D8"/>
        </patternFill>
      </fill>
    </dxf>
    <dxf>
      <numFmt numFmtId="0" formatCode="General"/>
      <fill>
        <patternFill patternType="solid">
          <fgColor rgb="FF000000"/>
          <bgColor rgb="FFD8D8D8"/>
        </patternFill>
      </fill>
    </dxf>
    <dxf>
      <numFmt numFmtId="0" formatCode="General"/>
      <fill>
        <patternFill patternType="solid">
          <fgColor rgb="FF000000"/>
          <bgColor rgb="FFD8D8D8"/>
        </patternFill>
      </fill>
    </dxf>
    <dxf>
      <numFmt numFmtId="0" formatCode="General"/>
      <fill>
        <patternFill patternType="solid">
          <fgColor rgb="FF000000"/>
          <bgColor rgb="FF000000"/>
        </patternFill>
      </fill>
    </dxf>
    <dxf>
      <numFmt numFmtId="0" formatCode="General"/>
      <fill>
        <patternFill patternType="solid">
          <fgColor rgb="FF000000"/>
          <bgColor rgb="FF000000"/>
        </patternFill>
      </fill>
    </dxf>
    <dxf>
      <fill>
        <patternFill>
          <bgColor theme="1"/>
        </patternFill>
      </fill>
    </dxf>
    <dxf>
      <fill>
        <patternFill>
          <bgColor theme="1"/>
        </patternFill>
      </fill>
    </dxf>
    <dxf>
      <fill>
        <patternFill>
          <bgColor rgb="FFFF0000"/>
        </patternFill>
      </fill>
    </dxf>
    <dxf>
      <fill>
        <patternFill>
          <bgColor rgb="FFFFFF00"/>
        </patternFill>
      </fill>
    </dxf>
    <dxf>
      <fill>
        <patternFill>
          <bgColor theme="8" tint="0.59996337778862885"/>
        </patternFill>
      </fill>
    </dxf>
    <dxf>
      <fill>
        <patternFill>
          <bgColor rgb="FF92D050"/>
        </patternFill>
      </fill>
    </dxf>
    <dxf>
      <fill>
        <patternFill>
          <bgColor rgb="FFFF0000"/>
        </patternFill>
      </fill>
    </dxf>
    <dxf>
      <fill>
        <patternFill>
          <bgColor rgb="FFFFFF00"/>
        </patternFill>
      </fill>
    </dxf>
    <dxf>
      <fill>
        <patternFill>
          <bgColor theme="8" tint="0.59996337778862885"/>
        </patternFill>
      </fill>
    </dxf>
    <dxf>
      <fill>
        <patternFill>
          <bgColor rgb="FF92D050"/>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rgb="FFFF0000"/>
        </patternFill>
      </fill>
    </dxf>
    <dxf>
      <fill>
        <patternFill>
          <bgColor rgb="FFFFFF00"/>
        </patternFill>
      </fill>
    </dxf>
    <dxf>
      <fill>
        <patternFill>
          <bgColor theme="8" tint="0.59996337778862885"/>
        </patternFill>
      </fill>
    </dxf>
    <dxf>
      <fill>
        <patternFill>
          <bgColor rgb="FF92D050"/>
        </patternFill>
      </fill>
    </dxf>
    <dxf>
      <fill>
        <patternFill>
          <bgColor theme="1"/>
        </patternFill>
      </fill>
    </dxf>
    <dxf>
      <fill>
        <patternFill>
          <bgColor theme="1"/>
        </patternFill>
      </fill>
    </dxf>
    <dxf>
      <fill>
        <patternFill>
          <bgColor theme="1"/>
        </patternFill>
      </fill>
    </dxf>
    <dxf>
      <font>
        <b/>
        <i val="0"/>
        <sz val="10"/>
        <color rgb="FF00B050"/>
        <name val="Calibri"/>
      </font>
      <numFmt numFmtId="0" formatCode="General"/>
    </dxf>
    <dxf>
      <font>
        <b/>
        <i val="0"/>
        <sz val="10"/>
        <color rgb="FFFF0000"/>
        <name val="Calibri"/>
      </font>
      <numFmt numFmtId="0" formatCode="General"/>
    </dxf>
    <dxf>
      <font>
        <b/>
        <i val="0"/>
        <sz val="10"/>
        <color rgb="FF00B050"/>
        <name val="Calibri"/>
      </font>
      <numFmt numFmtId="0" formatCode="General"/>
    </dxf>
    <dxf>
      <font>
        <b/>
        <i val="0"/>
        <sz val="10"/>
        <color rgb="FFFF0000"/>
        <name val="Calibri"/>
      </font>
      <numFmt numFmtId="0" formatCode="General"/>
    </dxf>
    <dxf>
      <font>
        <b/>
        <i val="0"/>
        <sz val="10"/>
        <color rgb="FF00B050"/>
        <name val="Calibri"/>
      </font>
      <numFmt numFmtId="0" formatCode="General"/>
    </dxf>
    <dxf>
      <font>
        <b/>
        <i val="0"/>
        <sz val="10"/>
        <color rgb="FFFF0000"/>
        <name val="Calibri"/>
      </font>
      <numFmt numFmtId="0" formatCode="General"/>
    </dxf>
    <dxf>
      <font>
        <b/>
        <i val="0"/>
        <sz val="10"/>
        <color rgb="FF00B050"/>
        <name val="Calibri"/>
      </font>
      <numFmt numFmtId="0" formatCode="General"/>
    </dxf>
    <dxf>
      <font>
        <b/>
        <i val="0"/>
        <sz val="10"/>
        <color rgb="FFFF0000"/>
        <name val="Calibri"/>
      </font>
      <numFmt numFmtId="0" formatCode="General"/>
    </dxf>
    <dxf>
      <font>
        <b/>
        <i val="0"/>
        <sz val="10"/>
        <color rgb="FF00B050"/>
        <name val="Calibri"/>
      </font>
      <numFmt numFmtId="0" formatCode="General"/>
    </dxf>
    <dxf>
      <font>
        <b/>
        <i val="0"/>
        <sz val="10"/>
        <color rgb="FFFF0000"/>
        <name val="Calibri"/>
      </font>
      <numFmt numFmtId="0" formatCode="General"/>
    </dxf>
    <dxf>
      <font>
        <b/>
        <i val="0"/>
        <sz val="10"/>
        <color rgb="FF00B050"/>
        <name val="Calibri"/>
      </font>
      <numFmt numFmtId="0" formatCode="General"/>
    </dxf>
    <dxf>
      <font>
        <b/>
        <i val="0"/>
        <sz val="10"/>
        <color rgb="FFFF0000"/>
        <name val="Calibri"/>
      </font>
      <numFmt numFmtId="0" formatCode="General"/>
    </dxf>
    <dxf>
      <font>
        <sz val="10"/>
        <color rgb="FF00B050"/>
        <name val="Calibri"/>
      </font>
      <numFmt numFmtId="0" formatCode="General"/>
    </dxf>
    <dxf>
      <font>
        <b/>
        <i val="0"/>
        <sz val="10"/>
        <color rgb="FFFF0000"/>
        <name val="Calibri"/>
      </font>
      <numFmt numFmtId="0" formatCode="General"/>
    </dxf>
    <dxf>
      <font>
        <sz val="10"/>
        <color rgb="FF00B050"/>
        <name val="Calibri"/>
      </font>
      <numFmt numFmtId="0" formatCode="General"/>
    </dxf>
    <dxf>
      <font>
        <b/>
        <i val="0"/>
        <sz val="10"/>
        <color rgb="FFFF0000"/>
        <name val="Calibri"/>
      </font>
      <numFmt numFmtId="0" formatCode="General"/>
    </dxf>
    <dxf>
      <font>
        <b/>
        <i val="0"/>
        <sz val="10"/>
        <color rgb="FF00B050"/>
        <name val="Calibri"/>
      </font>
      <numFmt numFmtId="0" formatCode="General"/>
    </dxf>
    <dxf>
      <font>
        <b/>
        <i val="0"/>
        <sz val="10"/>
        <color rgb="FFFF0000"/>
        <name val="Calibri"/>
      </font>
      <numFmt numFmtId="0" formatCode="General"/>
    </dxf>
    <dxf>
      <numFmt numFmtId="0" formatCode="General"/>
      <fill>
        <patternFill patternType="solid">
          <fgColor rgb="FF000000"/>
          <bgColor rgb="FFD8D8D8"/>
        </patternFill>
      </fill>
    </dxf>
    <dxf>
      <fill>
        <patternFill>
          <bgColor theme="0" tint="-0.14996795556505021"/>
        </patternFill>
      </fill>
    </dxf>
    <dxf>
      <fill>
        <patternFill>
          <bgColor theme="0" tint="-0.14996795556505021"/>
        </patternFill>
      </fill>
    </dxf>
    <dxf>
      <font>
        <color theme="0"/>
      </font>
      <fill>
        <patternFill>
          <bgColor rgb="FF00B050"/>
        </patternFill>
      </fill>
    </dxf>
    <dxf>
      <font>
        <b/>
        <i val="0"/>
        <color theme="0"/>
      </font>
      <fill>
        <patternFill>
          <bgColor rgb="FFFF0000"/>
        </patternFill>
      </fill>
    </dxf>
    <dxf>
      <font>
        <color theme="0"/>
      </font>
      <fill>
        <patternFill>
          <bgColor rgb="FF00B050"/>
        </patternFill>
      </fill>
    </dxf>
    <dxf>
      <font>
        <b/>
        <i val="0"/>
        <color theme="0"/>
      </font>
      <fill>
        <patternFill>
          <bgColor rgb="FFFF0000"/>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s>
  <tableStyles count="0" defaultTableStyle="TableStyleMedium9" defaultPivotStyle="PivotStyleLight16"/>
  <colors>
    <mruColors>
      <color rgb="FF6699FF"/>
      <color rgb="FF66FF66"/>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b="1">
                <a:solidFill>
                  <a:sysClr val="windowText" lastClr="000000"/>
                </a:solidFill>
              </a:rPr>
              <a:t>Posisi Strategis</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0.13728549141965679"/>
          <c:y val="0.18101323538268574"/>
          <c:w val="0.74206968278731145"/>
          <c:h val="0.65478828493845131"/>
        </c:manualLayout>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showLeaderLines val="0"/>
            <c:extLst>
              <c:ext xmlns:c15="http://schemas.microsoft.com/office/drawing/2012/chart" uri="{CE6537A1-D6FC-4f65-9D91-7224C49458BB}">
                <c15:showLeaderLines val="0"/>
              </c:ext>
            </c:extLst>
          </c:dLbls>
          <c:xVal>
            <c:numRef>
              <c:f>'Analisis SWOT'!$C$32</c:f>
              <c:numCache>
                <c:formatCode>0.00</c:formatCode>
                <c:ptCount val="1"/>
                <c:pt idx="0">
                  <c:v>0</c:v>
                </c:pt>
              </c:numCache>
            </c:numRef>
          </c:xVal>
          <c:yVal>
            <c:numRef>
              <c:f>'Analisis SWOT'!$C$62</c:f>
              <c:numCache>
                <c:formatCode>0.00</c:formatCode>
                <c:ptCount val="1"/>
                <c:pt idx="0">
                  <c:v>0</c:v>
                </c:pt>
              </c:numCache>
            </c:numRef>
          </c:yVal>
          <c:smooth val="0"/>
          <c:extLst>
            <c:ext xmlns:c16="http://schemas.microsoft.com/office/drawing/2014/chart" uri="{C3380CC4-5D6E-409C-BE32-E72D297353CC}">
              <c16:uniqueId val="{00000000-F440-4B6F-B511-CC1D05F49235}"/>
            </c:ext>
          </c:extLst>
        </c:ser>
        <c:dLbls>
          <c:showLegendKey val="0"/>
          <c:showVal val="1"/>
          <c:showCatName val="0"/>
          <c:showSerName val="0"/>
          <c:showPercent val="0"/>
          <c:showBubbleSize val="0"/>
        </c:dLbls>
        <c:axId val="349732256"/>
        <c:axId val="349733432"/>
      </c:scatterChart>
      <c:valAx>
        <c:axId val="349732256"/>
        <c:scaling>
          <c:orientation val="minMax"/>
          <c:max val="5"/>
          <c:min val="-5"/>
        </c:scaling>
        <c:delete val="0"/>
        <c:axPos val="b"/>
        <c:majorGridlines>
          <c:spPr>
            <a:ln w="9525" cap="flat" cmpd="sng" algn="ctr">
              <a:noFill/>
              <a:round/>
            </a:ln>
            <a:effectLst/>
          </c:spPr>
        </c:majorGridlines>
        <c:numFmt formatCode="0.00" sourceLinked="1"/>
        <c:majorTickMark val="none"/>
        <c:minorTickMark val="none"/>
        <c:tickLblPos val="none"/>
        <c:spPr>
          <a:noFill/>
          <a:ln w="9525" cap="flat" cmpd="sng" algn="ctr">
            <a:solidFill>
              <a:schemeClr val="tx1"/>
            </a:solidFill>
            <a:round/>
            <a:headEnd type="triangle"/>
            <a:tailEnd type="triangle"/>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9733432"/>
        <c:crosses val="autoZero"/>
        <c:crossBetween val="midCat"/>
        <c:majorUnit val="1"/>
        <c:minorUnit val="1"/>
      </c:valAx>
      <c:valAx>
        <c:axId val="349733432"/>
        <c:scaling>
          <c:orientation val="minMax"/>
          <c:max val="5"/>
          <c:min val="-5"/>
        </c:scaling>
        <c:delete val="0"/>
        <c:axPos val="l"/>
        <c:majorGridlines>
          <c:spPr>
            <a:ln w="9525" cap="flat" cmpd="sng" algn="ctr">
              <a:noFill/>
              <a:round/>
            </a:ln>
            <a:effectLst/>
          </c:spPr>
        </c:majorGridlines>
        <c:numFmt formatCode="0.00" sourceLinked="1"/>
        <c:majorTickMark val="none"/>
        <c:minorTickMark val="none"/>
        <c:tickLblPos val="none"/>
        <c:spPr>
          <a:noFill/>
          <a:ln w="9525" cap="flat" cmpd="sng" algn="ctr">
            <a:solidFill>
              <a:schemeClr val="tx1"/>
            </a:solidFill>
            <a:round/>
            <a:headEnd type="triangle"/>
            <a:tailEnd type="triangle"/>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9732256"/>
        <c:crosses val="autoZero"/>
        <c:crossBetween val="midCat"/>
        <c:minorUnit val="1"/>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1758662</xdr:colOff>
      <xdr:row>12</xdr:row>
      <xdr:rowOff>25977</xdr:rowOff>
    </xdr:from>
    <xdr:to>
      <xdr:col>4</xdr:col>
      <xdr:colOff>1905866</xdr:colOff>
      <xdr:row>12</xdr:row>
      <xdr:rowOff>155863</xdr:rowOff>
    </xdr:to>
    <xdr:sp macro="" textlink="">
      <xdr:nvSpPr>
        <xdr:cNvPr id="2" name="Rectangle 1">
          <a:extLst>
            <a:ext uri="{FF2B5EF4-FFF2-40B4-BE49-F238E27FC236}">
              <a16:creationId xmlns:a16="http://schemas.microsoft.com/office/drawing/2014/main" id="{00000000-0008-0000-0500-000010000000}"/>
            </a:ext>
          </a:extLst>
        </xdr:cNvPr>
        <xdr:cNvSpPr/>
      </xdr:nvSpPr>
      <xdr:spPr>
        <a:xfrm>
          <a:off x="3749387" y="8693727"/>
          <a:ext cx="147204" cy="129886"/>
        </a:xfrm>
        <a:prstGeom prst="rect">
          <a:avLst/>
        </a:prstGeom>
        <a:solidFill>
          <a:srgbClr val="66FF66"/>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7</xdr:col>
      <xdr:colOff>1762991</xdr:colOff>
      <xdr:row>12</xdr:row>
      <xdr:rowOff>31174</xdr:rowOff>
    </xdr:from>
    <xdr:to>
      <xdr:col>7</xdr:col>
      <xdr:colOff>1910195</xdr:colOff>
      <xdr:row>12</xdr:row>
      <xdr:rowOff>161060</xdr:rowOff>
    </xdr:to>
    <xdr:sp macro="" textlink="">
      <xdr:nvSpPr>
        <xdr:cNvPr id="3" name="Rectangle 2">
          <a:extLst>
            <a:ext uri="{FF2B5EF4-FFF2-40B4-BE49-F238E27FC236}">
              <a16:creationId xmlns:a16="http://schemas.microsoft.com/office/drawing/2014/main" id="{00000000-0008-0000-0500-000011000000}"/>
            </a:ext>
          </a:extLst>
        </xdr:cNvPr>
        <xdr:cNvSpPr/>
      </xdr:nvSpPr>
      <xdr:spPr>
        <a:xfrm>
          <a:off x="9497291" y="8698924"/>
          <a:ext cx="147204" cy="129886"/>
        </a:xfrm>
        <a:prstGeom prst="rect">
          <a:avLst/>
        </a:prstGeom>
        <a:solidFill>
          <a:srgbClr val="FF0000"/>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5</xdr:col>
      <xdr:colOff>1757795</xdr:colOff>
      <xdr:row>12</xdr:row>
      <xdr:rowOff>27709</xdr:rowOff>
    </xdr:from>
    <xdr:to>
      <xdr:col>5</xdr:col>
      <xdr:colOff>1904999</xdr:colOff>
      <xdr:row>12</xdr:row>
      <xdr:rowOff>157595</xdr:rowOff>
    </xdr:to>
    <xdr:sp macro="" textlink="">
      <xdr:nvSpPr>
        <xdr:cNvPr id="4" name="Rectangle 3">
          <a:extLst>
            <a:ext uri="{FF2B5EF4-FFF2-40B4-BE49-F238E27FC236}">
              <a16:creationId xmlns:a16="http://schemas.microsoft.com/office/drawing/2014/main" id="{00000000-0008-0000-0500-000012000000}"/>
            </a:ext>
          </a:extLst>
        </xdr:cNvPr>
        <xdr:cNvSpPr/>
      </xdr:nvSpPr>
      <xdr:spPr>
        <a:xfrm>
          <a:off x="5663045" y="8695459"/>
          <a:ext cx="147204" cy="129886"/>
        </a:xfrm>
        <a:prstGeom prst="rect">
          <a:avLst/>
        </a:prstGeom>
        <a:solidFill>
          <a:srgbClr val="CCFFFF"/>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6</xdr:col>
      <xdr:colOff>1762126</xdr:colOff>
      <xdr:row>12</xdr:row>
      <xdr:rowOff>24246</xdr:rowOff>
    </xdr:from>
    <xdr:to>
      <xdr:col>6</xdr:col>
      <xdr:colOff>1909330</xdr:colOff>
      <xdr:row>12</xdr:row>
      <xdr:rowOff>154132</xdr:rowOff>
    </xdr:to>
    <xdr:sp macro="" textlink="">
      <xdr:nvSpPr>
        <xdr:cNvPr id="5" name="Rectangle 4">
          <a:extLst>
            <a:ext uri="{FF2B5EF4-FFF2-40B4-BE49-F238E27FC236}">
              <a16:creationId xmlns:a16="http://schemas.microsoft.com/office/drawing/2014/main" id="{00000000-0008-0000-0500-000013000000}"/>
            </a:ext>
          </a:extLst>
        </xdr:cNvPr>
        <xdr:cNvSpPr/>
      </xdr:nvSpPr>
      <xdr:spPr>
        <a:xfrm>
          <a:off x="7581901" y="8691996"/>
          <a:ext cx="147204" cy="129886"/>
        </a:xfrm>
        <a:prstGeom prst="rect">
          <a:avLst/>
        </a:prstGeom>
        <a:solidFill>
          <a:srgbClr val="FFFF00"/>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447674</xdr:colOff>
      <xdr:row>64</xdr:row>
      <xdr:rowOff>4762</xdr:rowOff>
    </xdr:from>
    <xdr:to>
      <xdr:col>3</xdr:col>
      <xdr:colOff>409574</xdr:colOff>
      <xdr:row>96</xdr:row>
      <xdr:rowOff>19050</xdr:rowOff>
    </xdr:to>
    <xdr:graphicFrame macro="">
      <xdr:nvGraphicFramePr>
        <xdr:cNvPr id="2" name="Chart 1">
          <a:extLst>
            <a:ext uri="{FF2B5EF4-FFF2-40B4-BE49-F238E27FC236}">
              <a16:creationId xmlns:a16="http://schemas.microsoft.com/office/drawing/2014/main" id="{780FAF67-948E-4463-93A0-6F27A12958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2701235</xdr:colOff>
      <xdr:row>68</xdr:row>
      <xdr:rowOff>83442</xdr:rowOff>
    </xdr:from>
    <xdr:to>
      <xdr:col>1</xdr:col>
      <xdr:colOff>3418033</xdr:colOff>
      <xdr:row>70</xdr:row>
      <xdr:rowOff>155205</xdr:rowOff>
    </xdr:to>
    <xdr:sp macro="" textlink="">
      <xdr:nvSpPr>
        <xdr:cNvPr id="3" name="TextBox 2">
          <a:extLst>
            <a:ext uri="{FF2B5EF4-FFF2-40B4-BE49-F238E27FC236}">
              <a16:creationId xmlns:a16="http://schemas.microsoft.com/office/drawing/2014/main" id="{9100DBD1-0F6C-4406-8D89-B33EB8A5D720}"/>
            </a:ext>
          </a:extLst>
        </xdr:cNvPr>
        <xdr:cNvSpPr txBox="1"/>
      </xdr:nvSpPr>
      <xdr:spPr>
        <a:xfrm>
          <a:off x="3148910" y="13037442"/>
          <a:ext cx="716798" cy="452763"/>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id-ID" sz="1400" b="1"/>
            <a:t>Peluang</a:t>
          </a:r>
        </a:p>
      </xdr:txBody>
    </xdr:sp>
    <xdr:clientData/>
  </xdr:twoCellAnchor>
  <xdr:twoCellAnchor>
    <xdr:from>
      <xdr:col>1</xdr:col>
      <xdr:colOff>2763467</xdr:colOff>
      <xdr:row>90</xdr:row>
      <xdr:rowOff>10806</xdr:rowOff>
    </xdr:from>
    <xdr:to>
      <xdr:col>1</xdr:col>
      <xdr:colOff>3436650</xdr:colOff>
      <xdr:row>92</xdr:row>
      <xdr:rowOff>82569</xdr:rowOff>
    </xdr:to>
    <xdr:sp macro="" textlink="">
      <xdr:nvSpPr>
        <xdr:cNvPr id="4" name="TextBox 3">
          <a:extLst>
            <a:ext uri="{FF2B5EF4-FFF2-40B4-BE49-F238E27FC236}">
              <a16:creationId xmlns:a16="http://schemas.microsoft.com/office/drawing/2014/main" id="{BCA2C8A6-A0D4-4B00-823F-0A66C490DA17}"/>
            </a:ext>
          </a:extLst>
        </xdr:cNvPr>
        <xdr:cNvSpPr txBox="1"/>
      </xdr:nvSpPr>
      <xdr:spPr>
        <a:xfrm>
          <a:off x="3211142" y="17155806"/>
          <a:ext cx="673183" cy="452763"/>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lang="id-ID" sz="1400" b="1"/>
            <a:t>Ancaman</a:t>
          </a:r>
          <a:endParaRPr lang="id-ID" sz="1000" b="1"/>
        </a:p>
      </xdr:txBody>
    </xdr:sp>
    <xdr:clientData/>
  </xdr:twoCellAnchor>
  <xdr:twoCellAnchor>
    <xdr:from>
      <xdr:col>1</xdr:col>
      <xdr:colOff>36637</xdr:colOff>
      <xdr:row>79</xdr:row>
      <xdr:rowOff>10705</xdr:rowOff>
    </xdr:from>
    <xdr:to>
      <xdr:col>1</xdr:col>
      <xdr:colOff>805036</xdr:colOff>
      <xdr:row>81</xdr:row>
      <xdr:rowOff>82468</xdr:rowOff>
    </xdr:to>
    <xdr:sp macro="" textlink="">
      <xdr:nvSpPr>
        <xdr:cNvPr id="5" name="TextBox 4">
          <a:extLst>
            <a:ext uri="{FF2B5EF4-FFF2-40B4-BE49-F238E27FC236}">
              <a16:creationId xmlns:a16="http://schemas.microsoft.com/office/drawing/2014/main" id="{F7B2CA18-7860-4AA6-952D-E8D991B7F394}"/>
            </a:ext>
          </a:extLst>
        </xdr:cNvPr>
        <xdr:cNvSpPr txBox="1"/>
      </xdr:nvSpPr>
      <xdr:spPr>
        <a:xfrm>
          <a:off x="484312" y="15060205"/>
          <a:ext cx="768399" cy="452763"/>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lang="id-ID" sz="1300" b="1">
              <a:solidFill>
                <a:sysClr val="windowText" lastClr="000000"/>
              </a:solidFill>
            </a:rPr>
            <a:t>Kelemahan</a:t>
          </a:r>
        </a:p>
      </xdr:txBody>
    </xdr:sp>
    <xdr:clientData/>
  </xdr:twoCellAnchor>
  <xdr:twoCellAnchor>
    <xdr:from>
      <xdr:col>2</xdr:col>
      <xdr:colOff>680517</xdr:colOff>
      <xdr:row>79</xdr:row>
      <xdr:rowOff>4304</xdr:rowOff>
    </xdr:from>
    <xdr:to>
      <xdr:col>3</xdr:col>
      <xdr:colOff>373395</xdr:colOff>
      <xdr:row>81</xdr:row>
      <xdr:rowOff>76067</xdr:rowOff>
    </xdr:to>
    <xdr:sp macro="" textlink="">
      <xdr:nvSpPr>
        <xdr:cNvPr id="6" name="TextBox 5">
          <a:extLst>
            <a:ext uri="{FF2B5EF4-FFF2-40B4-BE49-F238E27FC236}">
              <a16:creationId xmlns:a16="http://schemas.microsoft.com/office/drawing/2014/main" id="{52DE5055-6CF0-4DFC-9CAC-871AA411DF64}"/>
            </a:ext>
          </a:extLst>
        </xdr:cNvPr>
        <xdr:cNvSpPr txBox="1"/>
      </xdr:nvSpPr>
      <xdr:spPr>
        <a:xfrm>
          <a:off x="5843067" y="15053804"/>
          <a:ext cx="673953" cy="452763"/>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lang="id-ID" sz="1400" b="1">
              <a:solidFill>
                <a:sysClr val="windowText" lastClr="000000"/>
              </a:solidFill>
            </a:rPr>
            <a:t>Kekuatan</a:t>
          </a:r>
          <a:endParaRPr lang="id-ID" sz="1000" b="1">
            <a:solidFill>
              <a:sysClr val="windowText" lastClr="000000"/>
            </a:solidFill>
          </a:endParaRPr>
        </a:p>
      </xdr:txBody>
    </xdr:sp>
    <xdr:clientData/>
  </xdr:twoCellAnchor>
  <xdr:twoCellAnchor>
    <xdr:from>
      <xdr:col>1</xdr:col>
      <xdr:colOff>3788618</xdr:colOff>
      <xdr:row>91</xdr:row>
      <xdr:rowOff>87655</xdr:rowOff>
    </xdr:from>
    <xdr:to>
      <xdr:col>3</xdr:col>
      <xdr:colOff>63863</xdr:colOff>
      <xdr:row>93</xdr:row>
      <xdr:rowOff>163855</xdr:rowOff>
    </xdr:to>
    <xdr:sp macro="" textlink="">
      <xdr:nvSpPr>
        <xdr:cNvPr id="7" name="TextBox 6">
          <a:extLst>
            <a:ext uri="{FF2B5EF4-FFF2-40B4-BE49-F238E27FC236}">
              <a16:creationId xmlns:a16="http://schemas.microsoft.com/office/drawing/2014/main" id="{5B4CD35B-8C0C-45EE-B9E7-85ED7BA805C4}"/>
            </a:ext>
          </a:extLst>
        </xdr:cNvPr>
        <xdr:cNvSpPr txBox="1"/>
      </xdr:nvSpPr>
      <xdr:spPr>
        <a:xfrm>
          <a:off x="4236293" y="17423155"/>
          <a:ext cx="1971195" cy="457200"/>
        </a:xfrm>
        <a:prstGeom prst="rect">
          <a:avLst/>
        </a:prstGeom>
        <a:noFill/>
        <a:ln>
          <a:solidFill>
            <a:schemeClr val="accent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id-ID" sz="1100">
              <a:solidFill>
                <a:sysClr val="windowText" lastClr="000000"/>
              </a:solidFill>
            </a:rPr>
            <a:t>Kuadran 2.</a:t>
          </a:r>
          <a:r>
            <a:rPr lang="id-ID" sz="1100" baseline="0">
              <a:solidFill>
                <a:sysClr val="windowText" lastClr="000000"/>
              </a:solidFill>
            </a:rPr>
            <a:t> </a:t>
          </a:r>
          <a:r>
            <a:rPr lang="id-ID" sz="1100">
              <a:solidFill>
                <a:sysClr val="windowText" lastClr="000000"/>
              </a:solidFill>
            </a:rPr>
            <a:t>Strategi Diversifikasi</a:t>
          </a:r>
        </a:p>
      </xdr:txBody>
    </xdr:sp>
    <xdr:clientData/>
  </xdr:twoCellAnchor>
  <xdr:twoCellAnchor>
    <xdr:from>
      <xdr:col>1</xdr:col>
      <xdr:colOff>3799007</xdr:colOff>
      <xdr:row>67</xdr:row>
      <xdr:rowOff>43992</xdr:rowOff>
    </xdr:from>
    <xdr:to>
      <xdr:col>3</xdr:col>
      <xdr:colOff>74252</xdr:colOff>
      <xdr:row>69</xdr:row>
      <xdr:rowOff>120192</xdr:rowOff>
    </xdr:to>
    <xdr:sp macro="" textlink="">
      <xdr:nvSpPr>
        <xdr:cNvPr id="8" name="TextBox 7">
          <a:extLst>
            <a:ext uri="{FF2B5EF4-FFF2-40B4-BE49-F238E27FC236}">
              <a16:creationId xmlns:a16="http://schemas.microsoft.com/office/drawing/2014/main" id="{EB137009-C5FF-4E53-8CCA-130E62B0A673}"/>
            </a:ext>
          </a:extLst>
        </xdr:cNvPr>
        <xdr:cNvSpPr txBox="1"/>
      </xdr:nvSpPr>
      <xdr:spPr>
        <a:xfrm>
          <a:off x="4246682" y="12807492"/>
          <a:ext cx="1971195" cy="457200"/>
        </a:xfrm>
        <a:prstGeom prst="rect">
          <a:avLst/>
        </a:prstGeom>
        <a:noFill/>
        <a:ln>
          <a:solidFill>
            <a:schemeClr val="accent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id-ID" sz="1100">
              <a:solidFill>
                <a:sysClr val="windowText" lastClr="000000"/>
              </a:solidFill>
            </a:rPr>
            <a:t>Kuadran 1.</a:t>
          </a:r>
          <a:r>
            <a:rPr lang="id-ID" sz="1100" baseline="0">
              <a:solidFill>
                <a:sysClr val="windowText" lastClr="000000"/>
              </a:solidFill>
            </a:rPr>
            <a:t> </a:t>
          </a:r>
          <a:r>
            <a:rPr lang="id-ID" sz="1100">
              <a:solidFill>
                <a:sysClr val="windowText" lastClr="000000"/>
              </a:solidFill>
            </a:rPr>
            <a:t>Strategi Agresif</a:t>
          </a:r>
        </a:p>
      </xdr:txBody>
    </xdr:sp>
    <xdr:clientData/>
  </xdr:twoCellAnchor>
  <xdr:twoCellAnchor>
    <xdr:from>
      <xdr:col>1</xdr:col>
      <xdr:colOff>342471</xdr:colOff>
      <xdr:row>67</xdr:row>
      <xdr:rowOff>71204</xdr:rowOff>
    </xdr:from>
    <xdr:to>
      <xdr:col>1</xdr:col>
      <xdr:colOff>2313666</xdr:colOff>
      <xdr:row>69</xdr:row>
      <xdr:rowOff>147404</xdr:rowOff>
    </xdr:to>
    <xdr:sp macro="" textlink="">
      <xdr:nvSpPr>
        <xdr:cNvPr id="9" name="TextBox 8">
          <a:extLst>
            <a:ext uri="{FF2B5EF4-FFF2-40B4-BE49-F238E27FC236}">
              <a16:creationId xmlns:a16="http://schemas.microsoft.com/office/drawing/2014/main" id="{F7903236-AF55-49A5-831D-57C2DE8303C7}"/>
            </a:ext>
          </a:extLst>
        </xdr:cNvPr>
        <xdr:cNvSpPr txBox="1"/>
      </xdr:nvSpPr>
      <xdr:spPr>
        <a:xfrm>
          <a:off x="790146" y="12834704"/>
          <a:ext cx="1971195" cy="457200"/>
        </a:xfrm>
        <a:prstGeom prst="rect">
          <a:avLst/>
        </a:prstGeom>
        <a:noFill/>
        <a:ln>
          <a:solidFill>
            <a:schemeClr val="accent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lang="id-ID" sz="1100">
              <a:solidFill>
                <a:sysClr val="windowText" lastClr="000000"/>
              </a:solidFill>
            </a:rPr>
            <a:t>Kuadran 3.</a:t>
          </a:r>
          <a:r>
            <a:rPr lang="id-ID" sz="1100" baseline="0">
              <a:solidFill>
                <a:sysClr val="windowText" lastClr="000000"/>
              </a:solidFill>
            </a:rPr>
            <a:t> </a:t>
          </a:r>
          <a:r>
            <a:rPr lang="id-ID" sz="1100">
              <a:solidFill>
                <a:sysClr val="windowText" lastClr="000000"/>
              </a:solidFill>
            </a:rPr>
            <a:t>Strategi Rasionalisasi</a:t>
          </a:r>
        </a:p>
      </xdr:txBody>
    </xdr:sp>
    <xdr:clientData/>
  </xdr:twoCellAnchor>
  <xdr:twoCellAnchor>
    <xdr:from>
      <xdr:col>1</xdr:col>
      <xdr:colOff>366429</xdr:colOff>
      <xdr:row>91</xdr:row>
      <xdr:rowOff>83931</xdr:rowOff>
    </xdr:from>
    <xdr:to>
      <xdr:col>1</xdr:col>
      <xdr:colOff>2337624</xdr:colOff>
      <xdr:row>93</xdr:row>
      <xdr:rowOff>160131</xdr:rowOff>
    </xdr:to>
    <xdr:sp macro="" textlink="">
      <xdr:nvSpPr>
        <xdr:cNvPr id="10" name="TextBox 9">
          <a:extLst>
            <a:ext uri="{FF2B5EF4-FFF2-40B4-BE49-F238E27FC236}">
              <a16:creationId xmlns:a16="http://schemas.microsoft.com/office/drawing/2014/main" id="{59C84DFF-82E6-4BEB-87B1-CB5B2C6E9195}"/>
            </a:ext>
          </a:extLst>
        </xdr:cNvPr>
        <xdr:cNvSpPr txBox="1"/>
      </xdr:nvSpPr>
      <xdr:spPr>
        <a:xfrm>
          <a:off x="814104" y="17419431"/>
          <a:ext cx="1971195" cy="457200"/>
        </a:xfrm>
        <a:prstGeom prst="rect">
          <a:avLst/>
        </a:prstGeom>
        <a:noFill/>
        <a:ln>
          <a:solidFill>
            <a:schemeClr val="accent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id-ID" sz="1100">
              <a:solidFill>
                <a:sysClr val="windowText" lastClr="000000"/>
              </a:solidFill>
            </a:rPr>
            <a:t>Kuadran 4.</a:t>
          </a:r>
          <a:r>
            <a:rPr lang="id-ID" sz="1100" baseline="0">
              <a:solidFill>
                <a:sysClr val="windowText" lastClr="000000"/>
              </a:solidFill>
            </a:rPr>
            <a:t> </a:t>
          </a:r>
          <a:r>
            <a:rPr lang="id-ID" sz="1100">
              <a:solidFill>
                <a:sysClr val="windowText" lastClr="000000"/>
              </a:solidFill>
            </a:rPr>
            <a:t>Strategi Defensif</a:t>
          </a: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01E49CD-1E19-4B8E-A19A-84F27189E9CF}" name="Table310" displayName="Table310" ref="A5:E15" totalsRowShown="0" headerRowDxfId="31" dataDxfId="30" tableBorderDxfId="29">
  <autoFilter ref="A5:E15" xr:uid="{CF3A76C7-5078-4AA1-AFFF-0F6C171DC489}"/>
  <tableColumns count="5">
    <tableColumn id="1" xr3:uid="{722586BF-C8F0-44F8-87A2-05DB38F3280D}" name="No." dataDxfId="28"/>
    <tableColumn id="2" xr3:uid="{9AEE47E2-23BD-4CA5-8EE4-4200F54E7A28}" name="FAKTOR STRATEGIS" dataDxfId="27"/>
    <tableColumn id="3" xr3:uid="{AF9D099B-5003-4DA6-8888-BFE49D5BC502}" name="BOBOT" dataDxfId="26"/>
    <tableColumn id="4" xr3:uid="{7673AE5C-97A6-49D9-8A4F-0D52C4799460}" name="SKOR" dataDxfId="25"/>
    <tableColumn id="5" xr3:uid="{43EBE455-269C-40C8-98EB-BC1AA051BD95}" name="TOTAL SKOR" dataDxfId="24">
      <calculatedColumnFormula>C6*D6</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06F4C3F-F6C1-4C52-BD2B-81B44C08AAD7}" name="Table411" displayName="Table411" ref="A19:E29" totalsRowShown="0" headerRowDxfId="23" dataDxfId="22" tableBorderDxfId="21">
  <autoFilter ref="A19:E29" xr:uid="{DB1C99E1-B61D-414D-B5B2-7A0487641F6F}"/>
  <tableColumns count="5">
    <tableColumn id="1" xr3:uid="{757E33C6-4B97-4BC8-9005-0B594D6A5A40}" name="No." dataDxfId="20"/>
    <tableColumn id="2" xr3:uid="{FD848952-1541-4034-A837-CBAF7AD4383F}" name="FAKTOR STRATEGIS" dataDxfId="19"/>
    <tableColumn id="3" xr3:uid="{FDD2656A-A3D3-4BFF-98D2-65A2DDA9CDEB}" name="BOBOT" dataDxfId="18"/>
    <tableColumn id="4" xr3:uid="{988EB908-D5EF-40F0-9F66-9C7A7BFD34DD}" name="SKOR" dataDxfId="17"/>
    <tableColumn id="5" xr3:uid="{30A90A7E-8619-411D-8F3E-98536E07D886}" name="TOTAL SKOR" dataDxfId="16">
      <calculatedColumnFormula>C20*D20</calculatedColumnFormula>
    </tableColumn>
  </tableColumns>
  <tableStyleInfo name="TableStyleMedium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76A49C83-8E6C-43CA-B808-727850EEE79A}" name="Table3612" displayName="Table3612" ref="A35:E45" totalsRowShown="0" headerRowDxfId="15" dataDxfId="14" tableBorderDxfId="13">
  <autoFilter ref="A35:E45" xr:uid="{7AD7F64D-6EF0-4A5E-A734-2F32698F9A92}"/>
  <tableColumns count="5">
    <tableColumn id="1" xr3:uid="{E6AC3465-72E8-4EF6-9BCD-AC3B988FC3CF}" name="No." dataDxfId="12"/>
    <tableColumn id="2" xr3:uid="{90FF8A26-B532-4B4A-A1A0-BD3264942DE8}" name="FAKTOR STRATEGIS" dataDxfId="11"/>
    <tableColumn id="3" xr3:uid="{EBB10C88-0633-48B7-8FC7-5D774E296536}" name="BOBOT" dataDxfId="10"/>
    <tableColumn id="4" xr3:uid="{3F558FE1-3351-47F6-B622-62ECE592E6C2}" name="SKOR" dataDxfId="9"/>
    <tableColumn id="5" xr3:uid="{60B37A95-AD82-4813-B99C-C87DB75BB663}" name="TOTAL SKOR" dataDxfId="8">
      <calculatedColumnFormula>C36*D36</calculatedColumnFormula>
    </tableColumn>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13755093-078A-4689-8178-6FCBCBCCF9B3}" name="Table4713" displayName="Table4713" ref="A49:E59" totalsRowShown="0" headerRowDxfId="7" dataDxfId="6" tableBorderDxfId="5">
  <autoFilter ref="A49:E59" xr:uid="{F14BD9DE-E3D9-488B-9701-0A0A008F5302}"/>
  <tableColumns count="5">
    <tableColumn id="1" xr3:uid="{9E487DD3-1917-4D1A-A0E3-DCC1BF17732C}" name="No." dataDxfId="4"/>
    <tableColumn id="2" xr3:uid="{2FD0B9AE-4E70-4ED9-8F36-529FE73A55BD}" name="FAKTOR STRATEGIS" dataDxfId="3"/>
    <tableColumn id="3" xr3:uid="{5014896D-9ED9-4C64-8DFB-5BA105C3723F}" name="BOBOT" dataDxfId="2"/>
    <tableColumn id="4" xr3:uid="{71D17DCB-1450-4655-BD8C-AA4D29FBCAAA}" name="SKOR" dataDxfId="1"/>
    <tableColumn id="5" xr3:uid="{8DEE06C2-1C5A-4D65-AA5B-7D2E53F01261}" name="TOTAL SKOR" dataDxfId="0">
      <calculatedColumnFormula>C50*D50</calculatedColumnFormula>
    </tableColumn>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26.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8.bin"/><Relationship Id="rId6" Type="http://schemas.openxmlformats.org/officeDocument/2006/relationships/table" Target="../tables/table4.xml"/><Relationship Id="rId5" Type="http://schemas.openxmlformats.org/officeDocument/2006/relationships/table" Target="../tables/table3.xml"/><Relationship Id="rId4"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B3058D-4104-4B5E-B73D-36F70FE1E289}">
  <dimension ref="A1:B26"/>
  <sheetViews>
    <sheetView zoomScale="150" zoomScaleNormal="150" workbookViewId="0">
      <selection activeCell="A3" sqref="A3"/>
    </sheetView>
  </sheetViews>
  <sheetFormatPr defaultRowHeight="15" x14ac:dyDescent="0.25"/>
  <cols>
    <col min="1" max="1" width="46.5703125" customWidth="1"/>
    <col min="2" max="2" width="72" customWidth="1"/>
  </cols>
  <sheetData>
    <row r="1" spans="1:2" s="340" customFormat="1" ht="30.75" customHeight="1" x14ac:dyDescent="0.25">
      <c r="A1" s="360" t="s">
        <v>1672</v>
      </c>
      <c r="B1" s="360" t="s">
        <v>1673</v>
      </c>
    </row>
    <row r="2" spans="1:2" ht="23.25" customHeight="1" x14ac:dyDescent="0.25">
      <c r="A2" s="363" t="s">
        <v>1674</v>
      </c>
      <c r="B2" s="362" t="s">
        <v>1675</v>
      </c>
    </row>
    <row r="3" spans="1:2" ht="23.25" customHeight="1" x14ac:dyDescent="0.25">
      <c r="A3" s="363" t="s">
        <v>1676</v>
      </c>
      <c r="B3" s="362" t="s">
        <v>1675</v>
      </c>
    </row>
    <row r="4" spans="1:2" ht="23.25" customHeight="1" x14ac:dyDescent="0.25">
      <c r="A4" s="361" t="s">
        <v>1677</v>
      </c>
      <c r="B4" s="362" t="s">
        <v>1678</v>
      </c>
    </row>
    <row r="5" spans="1:2" ht="23.25" customHeight="1" x14ac:dyDescent="0.25">
      <c r="A5" s="361" t="s">
        <v>1679</v>
      </c>
      <c r="B5" s="362" t="s">
        <v>1680</v>
      </c>
    </row>
    <row r="6" spans="1:2" ht="23.25" customHeight="1" x14ac:dyDescent="0.25">
      <c r="A6" s="361" t="s">
        <v>1681</v>
      </c>
      <c r="B6" s="362" t="s">
        <v>1682</v>
      </c>
    </row>
    <row r="7" spans="1:2" ht="23.25" customHeight="1" x14ac:dyDescent="0.25">
      <c r="A7" s="361" t="s">
        <v>1683</v>
      </c>
      <c r="B7" s="362" t="s">
        <v>1684</v>
      </c>
    </row>
    <row r="8" spans="1:2" ht="23.25" customHeight="1" x14ac:dyDescent="0.25">
      <c r="A8" s="361" t="s">
        <v>1685</v>
      </c>
      <c r="B8" s="362" t="s">
        <v>1686</v>
      </c>
    </row>
    <row r="9" spans="1:2" ht="23.25" customHeight="1" x14ac:dyDescent="0.25">
      <c r="A9" s="361" t="s">
        <v>1687</v>
      </c>
      <c r="B9" s="362" t="s">
        <v>1688</v>
      </c>
    </row>
    <row r="10" spans="1:2" ht="23.25" customHeight="1" x14ac:dyDescent="0.25">
      <c r="A10" s="361" t="s">
        <v>1689</v>
      </c>
      <c r="B10" s="362" t="s">
        <v>1690</v>
      </c>
    </row>
    <row r="11" spans="1:2" ht="23.25" customHeight="1" x14ac:dyDescent="0.25">
      <c r="A11" s="361" t="s">
        <v>1691</v>
      </c>
      <c r="B11" s="362" t="s">
        <v>1692</v>
      </c>
    </row>
    <row r="12" spans="1:2" ht="23.25" customHeight="1" x14ac:dyDescent="0.25">
      <c r="A12" s="361" t="s">
        <v>1693</v>
      </c>
      <c r="B12" s="362" t="s">
        <v>1694</v>
      </c>
    </row>
    <row r="13" spans="1:2" ht="23.25" customHeight="1" x14ac:dyDescent="0.25">
      <c r="A13" s="361" t="s">
        <v>1695</v>
      </c>
      <c r="B13" s="362" t="s">
        <v>1696</v>
      </c>
    </row>
    <row r="14" spans="1:2" ht="23.25" customHeight="1" x14ac:dyDescent="0.25">
      <c r="A14" s="361" t="s">
        <v>1697</v>
      </c>
      <c r="B14" s="362" t="s">
        <v>1698</v>
      </c>
    </row>
    <row r="15" spans="1:2" ht="23.25" customHeight="1" x14ac:dyDescent="0.25">
      <c r="A15" s="361" t="s">
        <v>1699</v>
      </c>
      <c r="B15" s="362" t="s">
        <v>1700</v>
      </c>
    </row>
    <row r="16" spans="1:2" ht="23.25" customHeight="1" x14ac:dyDescent="0.25">
      <c r="A16" s="361" t="s">
        <v>1701</v>
      </c>
      <c r="B16" s="362" t="s">
        <v>1702</v>
      </c>
    </row>
    <row r="17" spans="1:2" ht="23.25" customHeight="1" x14ac:dyDescent="0.25">
      <c r="A17" s="361" t="s">
        <v>1703</v>
      </c>
      <c r="B17" s="362" t="s">
        <v>1704</v>
      </c>
    </row>
    <row r="18" spans="1:2" ht="23.25" customHeight="1" x14ac:dyDescent="0.25">
      <c r="A18" s="361" t="s">
        <v>1705</v>
      </c>
      <c r="B18" s="362" t="s">
        <v>1706</v>
      </c>
    </row>
    <row r="19" spans="1:2" ht="23.25" customHeight="1" x14ac:dyDescent="0.25">
      <c r="A19" s="361" t="s">
        <v>1707</v>
      </c>
      <c r="B19" s="362" t="s">
        <v>1708</v>
      </c>
    </row>
    <row r="20" spans="1:2" ht="23.25" customHeight="1" x14ac:dyDescent="0.25">
      <c r="A20" s="361" t="s">
        <v>1709</v>
      </c>
      <c r="B20" s="362" t="s">
        <v>1710</v>
      </c>
    </row>
    <row r="21" spans="1:2" ht="23.25" customHeight="1" x14ac:dyDescent="0.25">
      <c r="A21" s="361" t="s">
        <v>1711</v>
      </c>
      <c r="B21" s="364" t="s">
        <v>1717</v>
      </c>
    </row>
    <row r="22" spans="1:2" ht="23.25" customHeight="1" x14ac:dyDescent="0.25">
      <c r="A22" s="361" t="s">
        <v>1712</v>
      </c>
      <c r="B22" s="364" t="s">
        <v>1717</v>
      </c>
    </row>
    <row r="23" spans="1:2" ht="23.25" customHeight="1" x14ac:dyDescent="0.25">
      <c r="A23" s="361" t="s">
        <v>1713</v>
      </c>
      <c r="B23" s="364" t="s">
        <v>1717</v>
      </c>
    </row>
    <row r="24" spans="1:2" ht="23.25" customHeight="1" x14ac:dyDescent="0.25">
      <c r="A24" s="361" t="s">
        <v>1714</v>
      </c>
      <c r="B24" s="364" t="s">
        <v>1717</v>
      </c>
    </row>
    <row r="25" spans="1:2" ht="23.25" customHeight="1" x14ac:dyDescent="0.25">
      <c r="A25" s="361" t="s">
        <v>1715</v>
      </c>
      <c r="B25" s="364" t="s">
        <v>1717</v>
      </c>
    </row>
    <row r="26" spans="1:2" ht="23.25" customHeight="1" x14ac:dyDescent="0.25">
      <c r="A26" s="361" t="s">
        <v>1716</v>
      </c>
      <c r="B26" s="364" t="s">
        <v>1718</v>
      </c>
    </row>
  </sheetData>
  <hyperlinks>
    <hyperlink ref="A4" location="'Form Monev PT'!A1" display="Form Monev PT" xr:uid="{93E37A13-CF15-4B71-8ECF-A4A67EC9EEC3}"/>
    <hyperlink ref="A5" location="'Form Monev UPPS BAN-PT'!A1" display="Form Monev UPPS BAN-PT" xr:uid="{E46DB98A-797C-462F-BBEE-B307619FC8AA}"/>
    <hyperlink ref="A6" location="'Form Monev UPPS LAM INFOKOM'!A1" display="Form Monev UPPS LAM INFOKOM" xr:uid="{90B290B7-408E-451A-92DC-6D7048FA7CC7}"/>
    <hyperlink ref="A7" location="'Form Monev UPPS LAM PTKES NERS'!A1" display="Form Monev UPPS LAM PTKES NERS" xr:uid="{41079B09-0BF7-41DB-BB31-46BB6E6287E7}"/>
    <hyperlink ref="A8" location="'Form Monev UPPS LAM PTKES GIZI'!A1" display="Form Monev UPPS LAM PTKES GIZI" xr:uid="{3C34A74C-6CE4-4B55-B19E-4961A0C38F0F}"/>
    <hyperlink ref="A9" location="'Form Monev UPPS LAMDIK'!A1" display="Form Monev UPPS LAMDIK" xr:uid="{0F0930CC-47F2-42E4-8B1F-6C4F33FC8E57}"/>
    <hyperlink ref="A10" location="'Form Monev UPPS LAMEMBA'!A1" display="Form Monev UPPS LAMEMBA " xr:uid="{4300CE3B-2172-4886-9F58-D3E2AF3A3F29}"/>
    <hyperlink ref="A12" location="'Form Monev UPPS LAMTEK'!A1" display="Form Monev UPSS LAMTEK" xr:uid="{A1353B80-0C61-47EA-B086-C92E3704B289}"/>
    <hyperlink ref="A11" location="'Form Monev UPPS LAMSAMA'!A1" display="Form Monev UPPS LAMSAMA" xr:uid="{06226C68-1BC8-4955-95C2-2B22BFBB116D}"/>
    <hyperlink ref="A13" location="'Form Monev PS BAN-PT'!A1" display="Form Monev PS BAN-PT" xr:uid="{5D4F9782-D279-434D-A9C3-FEC97AE4A8E7}"/>
    <hyperlink ref="A14" location="'Form Monev PS LAM INFOKOM'!A1" display="Form Monev PS LAM INFOKOM" xr:uid="{CD04B136-9525-4F76-B970-7C39DAD114EF}"/>
    <hyperlink ref="A15" location="'Form Monev UPPS LAM PTKES NERS'!A1" display="Form Monev PS LAM PTKES NERS" xr:uid="{A69ECAC6-9DE0-4DEB-99A8-C5E4FCBA1724}"/>
    <hyperlink ref="A16" location="'Form Monev PS LAM PTKES GIZI'!A1" display="Form Monev PS LAM PTKES GIZI" xr:uid="{05AE976B-C39B-4CA6-A10C-777D8E1815EB}"/>
    <hyperlink ref="A17" location="'Form Monev PS LAMDIK'!A1" display="Form Monev PS LAMDIK" xr:uid="{C6E2734E-27A6-440C-B407-D08517CE1554}"/>
    <hyperlink ref="A18" location="'Form Monev PS LAMEMBA'!A1" display="Form Monev PS LAMEMBA " xr:uid="{12B18322-7282-45C9-8BBE-858444A96AA3}"/>
    <hyperlink ref="A19" location="'Form Monev PS LAMSAMA'!A1" display="Form Monev PS LAMSAMA" xr:uid="{407DBB52-FCEC-4ABB-9D17-A121E9FC5F42}"/>
    <hyperlink ref="A20" location="'Form Monev PS LAMTEK'!A1" display="Form Monev PS LAMTEK" xr:uid="{7FD9B1FC-941C-4F9E-A122-A8660799A5C3}"/>
    <hyperlink ref="A21" location="'Lap AK'!A1" display="Lap AK" xr:uid="{334B71B1-EF5B-4DD1-84E1-347F1076CD9B}"/>
    <hyperlink ref="A22" location="'Lap ED'!A1" display="Lap ED" xr:uid="{D7CD8F25-89AE-4C61-8C84-DFD91625C6AB}"/>
    <hyperlink ref="A23" location="'Peta Risiko'!A1" display="Peta Risiko " xr:uid="{51497D1C-3DED-431C-878F-C4759839DD6D}"/>
    <hyperlink ref="A24" location="'Lap ISK'!A1" display="Lap ISK" xr:uid="{0B55FCF6-4754-433B-BB75-238984A3FCEE}"/>
    <hyperlink ref="A25" location="'IPEPA 1'!A1" display="IPEPA 1" xr:uid="{B7A0B7C4-2E63-4D24-BC9D-CFAEC58B6F2D}"/>
    <hyperlink ref="A26" location="'Analisis SWOT'!A1" display="Analisis SWOT" xr:uid="{F8288211-DE84-46C6-BD7E-75684F340B2C}"/>
    <hyperlink ref="A2" location="'Isian Prodi'!A1" display="Isian Prodi " xr:uid="{CA7A7832-C3EB-467F-8639-3EBA46A42D22}"/>
    <hyperlink ref="A3" location="'Kertas Kerja'!A1" display="Kertas Kerja " xr:uid="{B82C7E17-CC38-4A54-B78B-1B9C137A96C9}"/>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325"/>
  <sheetViews>
    <sheetView zoomScaleNormal="100" workbookViewId="0">
      <selection sqref="A1:H1"/>
    </sheetView>
  </sheetViews>
  <sheetFormatPr defaultColWidth="9.140625" defaultRowHeight="15" x14ac:dyDescent="0.25"/>
  <cols>
    <col min="1" max="1" width="26.85546875" style="27" customWidth="1"/>
    <col min="2" max="2" width="25.7109375" style="27" customWidth="1"/>
    <col min="3" max="3" width="24.7109375" style="27" customWidth="1"/>
    <col min="4" max="4" width="29.7109375" style="27" customWidth="1"/>
    <col min="5" max="5" width="15.7109375" style="27" customWidth="1"/>
    <col min="6" max="6" width="24.7109375" style="27" customWidth="1"/>
    <col min="7" max="7" width="29.7109375" style="27" customWidth="1"/>
    <col min="8" max="11" width="15.7109375" style="27" customWidth="1"/>
    <col min="12" max="12" width="13.7109375" style="27" customWidth="1"/>
    <col min="13" max="13" width="25.7109375" style="27" customWidth="1"/>
    <col min="14" max="17" width="13.7109375" style="27" customWidth="1"/>
    <col min="18" max="16384" width="9.140625" style="27"/>
  </cols>
  <sheetData>
    <row r="1" spans="1:13" ht="21" x14ac:dyDescent="0.35">
      <c r="A1" s="392" t="s">
        <v>164</v>
      </c>
      <c r="B1" s="392"/>
      <c r="C1" s="392"/>
      <c r="D1" s="392"/>
      <c r="E1" s="392"/>
      <c r="F1" s="392"/>
      <c r="G1" s="392"/>
      <c r="H1" s="392"/>
    </row>
    <row r="3" spans="1:13" ht="15.75" x14ac:dyDescent="0.25">
      <c r="A3" s="393" t="s">
        <v>876</v>
      </c>
      <c r="B3" s="393"/>
      <c r="C3" s="393"/>
      <c r="D3" s="393"/>
      <c r="E3" s="393"/>
      <c r="F3" s="393"/>
      <c r="G3" s="393"/>
      <c r="H3" s="393"/>
      <c r="I3" s="393"/>
      <c r="J3" s="393"/>
      <c r="K3" s="393"/>
      <c r="L3" s="393"/>
      <c r="M3" s="393"/>
    </row>
    <row r="5" spans="1:13" x14ac:dyDescent="0.25">
      <c r="A5" s="394" t="s">
        <v>170</v>
      </c>
      <c r="B5" s="394"/>
      <c r="C5" s="285" t="s">
        <v>1002</v>
      </c>
    </row>
    <row r="6" spans="1:13" x14ac:dyDescent="0.25">
      <c r="A6" s="394" t="s">
        <v>1056</v>
      </c>
      <c r="B6" s="394"/>
      <c r="C6" s="285" t="s">
        <v>1057</v>
      </c>
    </row>
    <row r="7" spans="1:13" x14ac:dyDescent="0.25">
      <c r="A7" s="396" t="s">
        <v>1125</v>
      </c>
      <c r="B7" s="397"/>
      <c r="C7" s="285" t="s">
        <v>848</v>
      </c>
    </row>
    <row r="8" spans="1:13" ht="45" customHeight="1" x14ac:dyDescent="0.25">
      <c r="A8" s="395" t="s">
        <v>496</v>
      </c>
      <c r="B8" s="395"/>
      <c r="C8" s="286"/>
    </row>
    <row r="9" spans="1:13" ht="30" customHeight="1" x14ac:dyDescent="0.25">
      <c r="A9" s="395" t="s">
        <v>494</v>
      </c>
      <c r="B9" s="395"/>
      <c r="C9" s="286"/>
    </row>
    <row r="11" spans="1:13" x14ac:dyDescent="0.25">
      <c r="A11" s="379" t="s">
        <v>1032</v>
      </c>
      <c r="B11" s="379"/>
      <c r="C11" s="379"/>
      <c r="D11" s="379"/>
      <c r="E11" s="379"/>
      <c r="F11" s="287"/>
      <c r="G11" s="379" t="s">
        <v>1126</v>
      </c>
      <c r="H11" s="379"/>
      <c r="I11" s="379"/>
      <c r="J11" s="379"/>
      <c r="K11" s="379"/>
    </row>
    <row r="12" spans="1:13" ht="45" x14ac:dyDescent="0.25">
      <c r="A12" s="288" t="s">
        <v>122</v>
      </c>
      <c r="B12" s="288" t="s">
        <v>156</v>
      </c>
      <c r="C12" s="288" t="s">
        <v>157</v>
      </c>
      <c r="D12" s="288" t="s">
        <v>158</v>
      </c>
      <c r="E12" s="288" t="s">
        <v>159</v>
      </c>
      <c r="G12" s="288" t="s">
        <v>122</v>
      </c>
      <c r="H12" s="288" t="s">
        <v>156</v>
      </c>
      <c r="I12" s="288" t="s">
        <v>157</v>
      </c>
      <c r="J12" s="288" t="s">
        <v>158</v>
      </c>
      <c r="K12" s="288" t="s">
        <v>159</v>
      </c>
    </row>
    <row r="13" spans="1:13" x14ac:dyDescent="0.25">
      <c r="A13" s="289">
        <v>1</v>
      </c>
      <c r="B13" s="289">
        <v>2</v>
      </c>
      <c r="C13" s="289">
        <v>3</v>
      </c>
      <c r="D13" s="289">
        <v>4</v>
      </c>
      <c r="E13" s="289">
        <v>5</v>
      </c>
      <c r="G13" s="289">
        <v>1</v>
      </c>
      <c r="H13" s="289">
        <v>2</v>
      </c>
      <c r="I13" s="289">
        <v>3</v>
      </c>
      <c r="J13" s="289">
        <v>4</v>
      </c>
      <c r="K13" s="289">
        <v>5</v>
      </c>
    </row>
    <row r="14" spans="1:13" x14ac:dyDescent="0.25">
      <c r="A14" s="290" t="s">
        <v>132</v>
      </c>
      <c r="B14" s="387" t="s">
        <v>160</v>
      </c>
      <c r="C14" s="291"/>
      <c r="D14" s="291"/>
      <c r="E14" s="291"/>
      <c r="G14" s="290" t="s">
        <v>132</v>
      </c>
      <c r="H14" s="387" t="s">
        <v>160</v>
      </c>
      <c r="I14" s="292"/>
      <c r="J14" s="292"/>
      <c r="K14" s="292"/>
    </row>
    <row r="15" spans="1:13" x14ac:dyDescent="0.25">
      <c r="A15" s="290" t="s">
        <v>133</v>
      </c>
      <c r="B15" s="388"/>
      <c r="C15" s="291"/>
      <c r="D15" s="291"/>
      <c r="E15" s="291"/>
      <c r="G15" s="290" t="s">
        <v>133</v>
      </c>
      <c r="H15" s="388"/>
      <c r="I15" s="292"/>
      <c r="J15" s="292"/>
      <c r="K15" s="292"/>
    </row>
    <row r="16" spans="1:13" x14ac:dyDescent="0.25">
      <c r="A16" s="290" t="s">
        <v>134</v>
      </c>
      <c r="B16" s="389"/>
      <c r="C16" s="291"/>
      <c r="D16" s="291"/>
      <c r="E16" s="291"/>
      <c r="G16" s="290" t="s">
        <v>134</v>
      </c>
      <c r="H16" s="389"/>
      <c r="I16" s="292"/>
      <c r="J16" s="292"/>
      <c r="K16" s="292"/>
    </row>
    <row r="17" spans="1:17" x14ac:dyDescent="0.25">
      <c r="A17" s="390" t="s">
        <v>135</v>
      </c>
      <c r="B17" s="391"/>
      <c r="C17" s="293">
        <f>SUM(C14:C16)</f>
        <v>0</v>
      </c>
      <c r="D17" s="293">
        <f t="shared" ref="D17" si="0">SUM(D14:D16)</f>
        <v>0</v>
      </c>
      <c r="E17" s="293">
        <f t="shared" ref="E17" si="1">SUM(E14:E16)</f>
        <v>0</v>
      </c>
      <c r="G17" s="390" t="s">
        <v>135</v>
      </c>
      <c r="H17" s="391"/>
      <c r="I17" s="293">
        <f>SUM(I14:I16)</f>
        <v>0</v>
      </c>
      <c r="J17" s="293">
        <f t="shared" ref="J17:K17" si="2">SUM(J14:J16)</f>
        <v>0</v>
      </c>
      <c r="K17" s="293">
        <f t="shared" si="2"/>
        <v>0</v>
      </c>
    </row>
    <row r="18" spans="1:17" x14ac:dyDescent="0.25">
      <c r="A18" s="290" t="s">
        <v>132</v>
      </c>
      <c r="B18" s="387" t="s">
        <v>161</v>
      </c>
      <c r="C18" s="291"/>
      <c r="D18" s="291"/>
      <c r="E18" s="291"/>
      <c r="G18" s="290" t="s">
        <v>132</v>
      </c>
      <c r="H18" s="387" t="s">
        <v>161</v>
      </c>
      <c r="I18" s="292"/>
      <c r="J18" s="292"/>
      <c r="K18" s="292"/>
    </row>
    <row r="19" spans="1:17" x14ac:dyDescent="0.25">
      <c r="A19" s="290" t="s">
        <v>133</v>
      </c>
      <c r="B19" s="388"/>
      <c r="C19" s="291"/>
      <c r="D19" s="291"/>
      <c r="E19" s="291"/>
      <c r="G19" s="290" t="s">
        <v>133</v>
      </c>
      <c r="H19" s="388"/>
      <c r="I19" s="292"/>
      <c r="J19" s="292"/>
      <c r="K19" s="292"/>
    </row>
    <row r="20" spans="1:17" x14ac:dyDescent="0.25">
      <c r="A20" s="290" t="s">
        <v>134</v>
      </c>
      <c r="B20" s="389"/>
      <c r="C20" s="291"/>
      <c r="D20" s="291"/>
      <c r="E20" s="291"/>
      <c r="G20" s="290" t="s">
        <v>134</v>
      </c>
      <c r="H20" s="389"/>
      <c r="I20" s="292"/>
      <c r="J20" s="292"/>
      <c r="K20" s="292"/>
    </row>
    <row r="21" spans="1:17" x14ac:dyDescent="0.25">
      <c r="A21" s="390" t="s">
        <v>135</v>
      </c>
      <c r="B21" s="391"/>
      <c r="C21" s="293">
        <f>SUM(C18:C20)</f>
        <v>0</v>
      </c>
      <c r="D21" s="293">
        <f t="shared" ref="D21" si="3">SUM(D18:D20)</f>
        <v>0</v>
      </c>
      <c r="E21" s="293">
        <f t="shared" ref="E21" si="4">SUM(E18:E20)</f>
        <v>0</v>
      </c>
      <c r="G21" s="390" t="s">
        <v>135</v>
      </c>
      <c r="H21" s="391"/>
      <c r="I21" s="293">
        <f>SUM(I18:I20)</f>
        <v>0</v>
      </c>
      <c r="J21" s="293">
        <f t="shared" ref="J21:K21" si="5">SUM(J18:J20)</f>
        <v>0</v>
      </c>
      <c r="K21" s="293">
        <f t="shared" si="5"/>
        <v>0</v>
      </c>
    </row>
    <row r="22" spans="1:17" x14ac:dyDescent="0.25">
      <c r="A22" s="290" t="s">
        <v>132</v>
      </c>
      <c r="B22" s="387" t="s">
        <v>162</v>
      </c>
      <c r="C22" s="291"/>
      <c r="D22" s="291"/>
      <c r="E22" s="291"/>
      <c r="G22" s="290" t="s">
        <v>132</v>
      </c>
      <c r="H22" s="387" t="s">
        <v>162</v>
      </c>
      <c r="I22" s="292"/>
      <c r="J22" s="292"/>
      <c r="K22" s="292"/>
    </row>
    <row r="23" spans="1:17" x14ac:dyDescent="0.25">
      <c r="A23" s="290" t="s">
        <v>133</v>
      </c>
      <c r="B23" s="388"/>
      <c r="C23" s="291"/>
      <c r="D23" s="291"/>
      <c r="E23" s="291"/>
      <c r="G23" s="290" t="s">
        <v>133</v>
      </c>
      <c r="H23" s="388"/>
      <c r="I23" s="292"/>
      <c r="J23" s="292"/>
      <c r="K23" s="292"/>
    </row>
    <row r="24" spans="1:17" x14ac:dyDescent="0.25">
      <c r="A24" s="290" t="s">
        <v>134</v>
      </c>
      <c r="B24" s="389"/>
      <c r="C24" s="291"/>
      <c r="D24" s="291"/>
      <c r="E24" s="291"/>
      <c r="G24" s="290" t="s">
        <v>134</v>
      </c>
      <c r="H24" s="389"/>
      <c r="I24" s="292"/>
      <c r="J24" s="292"/>
      <c r="K24" s="292"/>
    </row>
    <row r="25" spans="1:17" x14ac:dyDescent="0.25">
      <c r="A25" s="390" t="s">
        <v>135</v>
      </c>
      <c r="B25" s="391"/>
      <c r="C25" s="293">
        <f>SUM(C22:C24)</f>
        <v>0</v>
      </c>
      <c r="D25" s="293">
        <f t="shared" ref="D25:E25" si="6">SUM(D22:D24)</f>
        <v>0</v>
      </c>
      <c r="E25" s="293">
        <f t="shared" si="6"/>
        <v>0</v>
      </c>
      <c r="G25" s="390" t="s">
        <v>135</v>
      </c>
      <c r="H25" s="391"/>
      <c r="I25" s="293">
        <f>SUM(I22:I24)</f>
        <v>0</v>
      </c>
      <c r="J25" s="293">
        <f t="shared" ref="J25:K25" si="7">SUM(J22:J24)</f>
        <v>0</v>
      </c>
      <c r="K25" s="293">
        <f t="shared" si="7"/>
        <v>0</v>
      </c>
    </row>
    <row r="27" spans="1:17" x14ac:dyDescent="0.25">
      <c r="A27" s="379" t="s">
        <v>1058</v>
      </c>
      <c r="B27" s="379"/>
      <c r="C27" s="379"/>
      <c r="D27" s="379"/>
      <c r="E27" s="379"/>
      <c r="F27" s="379"/>
      <c r="G27" s="379"/>
      <c r="H27" s="379"/>
      <c r="J27" s="379" t="s">
        <v>1126</v>
      </c>
      <c r="K27" s="379"/>
      <c r="L27" s="379"/>
      <c r="M27" s="379"/>
      <c r="N27" s="379"/>
      <c r="O27" s="379"/>
      <c r="P27" s="379"/>
      <c r="Q27" s="379"/>
    </row>
    <row r="28" spans="1:17" x14ac:dyDescent="0.25">
      <c r="A28" s="365" t="s">
        <v>122</v>
      </c>
      <c r="B28" s="365" t="s">
        <v>121</v>
      </c>
      <c r="C28" s="368" t="s">
        <v>123</v>
      </c>
      <c r="D28" s="370"/>
      <c r="E28" s="368" t="s">
        <v>124</v>
      </c>
      <c r="F28" s="370"/>
      <c r="G28" s="368" t="s">
        <v>125</v>
      </c>
      <c r="H28" s="370"/>
      <c r="J28" s="365" t="s">
        <v>122</v>
      </c>
      <c r="K28" s="365" t="s">
        <v>121</v>
      </c>
      <c r="L28" s="368" t="s">
        <v>123</v>
      </c>
      <c r="M28" s="370"/>
      <c r="N28" s="368" t="s">
        <v>124</v>
      </c>
      <c r="O28" s="370"/>
      <c r="P28" s="368" t="s">
        <v>125</v>
      </c>
      <c r="Q28" s="370"/>
    </row>
    <row r="29" spans="1:17" ht="17.25" x14ac:dyDescent="0.25">
      <c r="A29" s="366"/>
      <c r="B29" s="366"/>
      <c r="C29" s="288" t="s">
        <v>126</v>
      </c>
      <c r="D29" s="288" t="s">
        <v>127</v>
      </c>
      <c r="E29" s="288" t="s">
        <v>128</v>
      </c>
      <c r="F29" s="288" t="s">
        <v>129</v>
      </c>
      <c r="G29" s="294" t="s">
        <v>128</v>
      </c>
      <c r="H29" s="288" t="s">
        <v>129</v>
      </c>
      <c r="J29" s="366"/>
      <c r="K29" s="366"/>
      <c r="L29" s="288" t="s">
        <v>126</v>
      </c>
      <c r="M29" s="288" t="s">
        <v>127</v>
      </c>
      <c r="N29" s="288" t="s">
        <v>128</v>
      </c>
      <c r="O29" s="288" t="s">
        <v>129</v>
      </c>
      <c r="P29" s="294" t="s">
        <v>128</v>
      </c>
      <c r="Q29" s="288" t="s">
        <v>129</v>
      </c>
    </row>
    <row r="30" spans="1:17" x14ac:dyDescent="0.25">
      <c r="A30" s="289">
        <v>1</v>
      </c>
      <c r="B30" s="289">
        <v>2</v>
      </c>
      <c r="C30" s="289">
        <v>3</v>
      </c>
      <c r="D30" s="289">
        <v>4</v>
      </c>
      <c r="E30" s="289">
        <v>5</v>
      </c>
      <c r="F30" s="289">
        <v>6</v>
      </c>
      <c r="G30" s="295">
        <v>7</v>
      </c>
      <c r="H30" s="289">
        <v>8</v>
      </c>
      <c r="J30" s="289">
        <v>1</v>
      </c>
      <c r="K30" s="289">
        <v>2</v>
      </c>
      <c r="L30" s="289">
        <v>3</v>
      </c>
      <c r="M30" s="289">
        <v>4</v>
      </c>
      <c r="N30" s="289">
        <v>5</v>
      </c>
      <c r="O30" s="289">
        <v>6</v>
      </c>
      <c r="P30" s="295">
        <v>7</v>
      </c>
      <c r="Q30" s="289">
        <v>8</v>
      </c>
    </row>
    <row r="31" spans="1:17" x14ac:dyDescent="0.25">
      <c r="A31" s="290" t="s">
        <v>130</v>
      </c>
      <c r="B31" s="291"/>
      <c r="C31" s="291"/>
      <c r="D31" s="291"/>
      <c r="E31" s="291"/>
      <c r="F31" s="291"/>
      <c r="G31" s="296"/>
      <c r="H31" s="291"/>
      <c r="J31" s="290" t="s">
        <v>130</v>
      </c>
      <c r="K31" s="292"/>
      <c r="L31" s="292"/>
      <c r="M31" s="292"/>
      <c r="N31" s="292"/>
      <c r="O31" s="292"/>
      <c r="P31" s="297"/>
      <c r="Q31" s="292"/>
    </row>
    <row r="32" spans="1:17" x14ac:dyDescent="0.25">
      <c r="A32" s="290" t="s">
        <v>131</v>
      </c>
      <c r="B32" s="291"/>
      <c r="C32" s="291"/>
      <c r="D32" s="291"/>
      <c r="E32" s="291"/>
      <c r="F32" s="291"/>
      <c r="G32" s="296"/>
      <c r="H32" s="291"/>
      <c r="J32" s="290" t="s">
        <v>131</v>
      </c>
      <c r="K32" s="292"/>
      <c r="L32" s="292"/>
      <c r="M32" s="292"/>
      <c r="N32" s="292"/>
      <c r="O32" s="292"/>
      <c r="P32" s="297"/>
      <c r="Q32" s="292"/>
    </row>
    <row r="33" spans="1:17" x14ac:dyDescent="0.25">
      <c r="A33" s="290" t="s">
        <v>132</v>
      </c>
      <c r="B33" s="291"/>
      <c r="C33" s="291"/>
      <c r="D33" s="291"/>
      <c r="E33" s="291"/>
      <c r="F33" s="291"/>
      <c r="G33" s="296"/>
      <c r="H33" s="291"/>
      <c r="J33" s="290" t="s">
        <v>132</v>
      </c>
      <c r="K33" s="292"/>
      <c r="L33" s="292"/>
      <c r="M33" s="292"/>
      <c r="N33" s="292"/>
      <c r="O33" s="292"/>
      <c r="P33" s="297"/>
      <c r="Q33" s="292"/>
    </row>
    <row r="34" spans="1:17" x14ac:dyDescent="0.25">
      <c r="A34" s="290" t="s">
        <v>133</v>
      </c>
      <c r="B34" s="291"/>
      <c r="C34" s="291"/>
      <c r="D34" s="291"/>
      <c r="E34" s="291"/>
      <c r="F34" s="291"/>
      <c r="G34" s="296"/>
      <c r="H34" s="291"/>
      <c r="J34" s="290" t="s">
        <v>133</v>
      </c>
      <c r="K34" s="292"/>
      <c r="L34" s="292"/>
      <c r="M34" s="292"/>
      <c r="N34" s="292"/>
      <c r="O34" s="292"/>
      <c r="P34" s="297"/>
      <c r="Q34" s="292"/>
    </row>
    <row r="35" spans="1:17" x14ac:dyDescent="0.25">
      <c r="A35" s="290" t="s">
        <v>134</v>
      </c>
      <c r="B35" s="291"/>
      <c r="C35" s="291"/>
      <c r="D35" s="291"/>
      <c r="E35" s="291"/>
      <c r="F35" s="291"/>
      <c r="G35" s="296"/>
      <c r="H35" s="291"/>
      <c r="J35" s="290" t="s">
        <v>134</v>
      </c>
      <c r="K35" s="292"/>
      <c r="L35" s="292"/>
      <c r="M35" s="292"/>
      <c r="N35" s="292"/>
      <c r="O35" s="292"/>
      <c r="P35" s="297"/>
      <c r="Q35" s="292"/>
    </row>
    <row r="36" spans="1:17" x14ac:dyDescent="0.25">
      <c r="A36" s="298" t="s">
        <v>135</v>
      </c>
      <c r="B36" s="293">
        <f>SUM(B31:B35)</f>
        <v>0</v>
      </c>
      <c r="C36" s="293">
        <f t="shared" ref="C36:F36" si="8">SUM(C31:C35)</f>
        <v>0</v>
      </c>
      <c r="D36" s="293">
        <f t="shared" si="8"/>
        <v>0</v>
      </c>
      <c r="E36" s="293">
        <f t="shared" si="8"/>
        <v>0</v>
      </c>
      <c r="F36" s="293">
        <f t="shared" si="8"/>
        <v>0</v>
      </c>
      <c r="G36" s="383">
        <f>SUM(G35:H35)</f>
        <v>0</v>
      </c>
      <c r="H36" s="384"/>
      <c r="J36" s="298" t="s">
        <v>135</v>
      </c>
      <c r="K36" s="293">
        <f>SUM(K31:K35)</f>
        <v>0</v>
      </c>
      <c r="L36" s="293">
        <f t="shared" ref="L36:O36" si="9">SUM(L31:L35)</f>
        <v>0</v>
      </c>
      <c r="M36" s="293">
        <f t="shared" si="9"/>
        <v>0</v>
      </c>
      <c r="N36" s="293">
        <f t="shared" si="9"/>
        <v>0</v>
      </c>
      <c r="O36" s="293">
        <f t="shared" si="9"/>
        <v>0</v>
      </c>
      <c r="P36" s="383">
        <f>SUM(P35:Q35)</f>
        <v>0</v>
      </c>
      <c r="Q36" s="384"/>
    </row>
    <row r="38" spans="1:17" x14ac:dyDescent="0.25">
      <c r="A38" s="379" t="s">
        <v>1033</v>
      </c>
      <c r="B38" s="379"/>
      <c r="C38" s="379"/>
      <c r="D38" s="287"/>
      <c r="E38" s="379" t="s">
        <v>1126</v>
      </c>
      <c r="F38" s="379"/>
      <c r="G38" s="379"/>
      <c r="H38" s="287"/>
    </row>
    <row r="39" spans="1:17" ht="45" customHeight="1" x14ac:dyDescent="0.25">
      <c r="A39" s="288" t="s">
        <v>122</v>
      </c>
      <c r="B39" s="288" t="s">
        <v>125</v>
      </c>
      <c r="C39" s="288" t="s">
        <v>136</v>
      </c>
      <c r="E39" s="288" t="s">
        <v>122</v>
      </c>
      <c r="F39" s="288" t="s">
        <v>125</v>
      </c>
      <c r="G39" s="288" t="s">
        <v>136</v>
      </c>
    </row>
    <row r="40" spans="1:17" x14ac:dyDescent="0.25">
      <c r="A40" s="289">
        <v>1</v>
      </c>
      <c r="B40" s="289">
        <v>2</v>
      </c>
      <c r="C40" s="289">
        <v>3</v>
      </c>
      <c r="E40" s="289">
        <v>1</v>
      </c>
      <c r="F40" s="289">
        <v>2</v>
      </c>
      <c r="G40" s="289">
        <v>3</v>
      </c>
    </row>
    <row r="41" spans="1:17" x14ac:dyDescent="0.25">
      <c r="A41" s="290" t="s">
        <v>130</v>
      </c>
      <c r="B41" s="299">
        <f>SUM(G31:H31)</f>
        <v>0</v>
      </c>
      <c r="C41" s="291"/>
      <c r="E41" s="290" t="s">
        <v>130</v>
      </c>
      <c r="F41" s="299">
        <f>SUM(K31:L31)</f>
        <v>0</v>
      </c>
      <c r="G41" s="292"/>
    </row>
    <row r="42" spans="1:17" x14ac:dyDescent="0.25">
      <c r="A42" s="290" t="s">
        <v>131</v>
      </c>
      <c r="B42" s="299">
        <f t="shared" ref="B42:B45" si="10">SUM(G32:H32)</f>
        <v>0</v>
      </c>
      <c r="C42" s="291"/>
      <c r="E42" s="290" t="s">
        <v>131</v>
      </c>
      <c r="F42" s="299">
        <f t="shared" ref="F42:F45" si="11">SUM(K32:L32)</f>
        <v>0</v>
      </c>
      <c r="G42" s="292"/>
    </row>
    <row r="43" spans="1:17" x14ac:dyDescent="0.25">
      <c r="A43" s="290" t="s">
        <v>132</v>
      </c>
      <c r="B43" s="299">
        <f t="shared" si="10"/>
        <v>0</v>
      </c>
      <c r="C43" s="291"/>
      <c r="E43" s="290" t="s">
        <v>132</v>
      </c>
      <c r="F43" s="299">
        <f t="shared" si="11"/>
        <v>0</v>
      </c>
      <c r="G43" s="292"/>
    </row>
    <row r="44" spans="1:17" x14ac:dyDescent="0.25">
      <c r="A44" s="290" t="s">
        <v>133</v>
      </c>
      <c r="B44" s="299">
        <f t="shared" si="10"/>
        <v>0</v>
      </c>
      <c r="C44" s="291"/>
      <c r="E44" s="290" t="s">
        <v>133</v>
      </c>
      <c r="F44" s="299">
        <f t="shared" si="11"/>
        <v>0</v>
      </c>
      <c r="G44" s="292"/>
    </row>
    <row r="45" spans="1:17" x14ac:dyDescent="0.25">
      <c r="A45" s="290" t="s">
        <v>134</v>
      </c>
      <c r="B45" s="299">
        <f t="shared" si="10"/>
        <v>0</v>
      </c>
      <c r="C45" s="291"/>
      <c r="E45" s="290" t="s">
        <v>134</v>
      </c>
      <c r="F45" s="299">
        <f t="shared" si="11"/>
        <v>0</v>
      </c>
      <c r="G45" s="292"/>
    </row>
    <row r="46" spans="1:17" x14ac:dyDescent="0.25">
      <c r="A46" s="300" t="s">
        <v>135</v>
      </c>
      <c r="B46" s="293">
        <f>G36</f>
        <v>0</v>
      </c>
      <c r="C46" s="293">
        <f t="shared" ref="C46" si="12">SUM(C41:C45)</f>
        <v>0</v>
      </c>
      <c r="E46" s="300" t="s">
        <v>135</v>
      </c>
      <c r="F46" s="293">
        <f>K36</f>
        <v>0</v>
      </c>
      <c r="G46" s="293">
        <f t="shared" ref="G46" si="13">SUM(G41:G45)</f>
        <v>0</v>
      </c>
    </row>
    <row r="48" spans="1:17" hidden="1" x14ac:dyDescent="0.25">
      <c r="A48" s="379" t="s">
        <v>926</v>
      </c>
      <c r="B48" s="379"/>
      <c r="C48" s="287"/>
      <c r="E48" s="379" t="s">
        <v>926</v>
      </c>
      <c r="F48" s="379"/>
      <c r="G48" s="287"/>
    </row>
    <row r="49" spans="1:7" ht="30" hidden="1" x14ac:dyDescent="0.25">
      <c r="A49" s="288" t="s">
        <v>122</v>
      </c>
      <c r="B49" s="288" t="s">
        <v>165</v>
      </c>
      <c r="E49" s="288" t="s">
        <v>122</v>
      </c>
      <c r="F49" s="288" t="s">
        <v>165</v>
      </c>
    </row>
    <row r="50" spans="1:7" hidden="1" x14ac:dyDescent="0.25">
      <c r="A50" s="289">
        <v>1</v>
      </c>
      <c r="B50" s="289">
        <v>2</v>
      </c>
      <c r="E50" s="289">
        <v>1</v>
      </c>
      <c r="F50" s="289">
        <v>2</v>
      </c>
    </row>
    <row r="51" spans="1:7" hidden="1" x14ac:dyDescent="0.25">
      <c r="A51" s="301" t="s">
        <v>134</v>
      </c>
      <c r="B51" s="302"/>
      <c r="E51" s="301" t="s">
        <v>134</v>
      </c>
      <c r="F51" s="302"/>
    </row>
    <row r="52" spans="1:7" hidden="1" x14ac:dyDescent="0.25">
      <c r="A52" s="301" t="s">
        <v>133</v>
      </c>
      <c r="B52" s="302"/>
      <c r="E52" s="301" t="s">
        <v>133</v>
      </c>
      <c r="F52" s="302"/>
    </row>
    <row r="53" spans="1:7" hidden="1" x14ac:dyDescent="0.25">
      <c r="A53" s="301" t="s">
        <v>132</v>
      </c>
      <c r="B53" s="302"/>
      <c r="E53" s="301" t="s">
        <v>132</v>
      </c>
      <c r="F53" s="302"/>
    </row>
    <row r="54" spans="1:7" hidden="1" x14ac:dyDescent="0.25">
      <c r="A54" s="301" t="s">
        <v>131</v>
      </c>
      <c r="B54" s="302"/>
      <c r="E54" s="301" t="s">
        <v>131</v>
      </c>
      <c r="F54" s="302"/>
    </row>
    <row r="55" spans="1:7" ht="30" hidden="1" x14ac:dyDescent="0.25">
      <c r="A55" s="303" t="s">
        <v>155</v>
      </c>
      <c r="B55" s="304">
        <f>SUM(B51:B54)</f>
        <v>0</v>
      </c>
      <c r="E55" s="303" t="s">
        <v>155</v>
      </c>
      <c r="F55" s="304">
        <f>SUM(F51:F54)</f>
        <v>0</v>
      </c>
    </row>
    <row r="56" spans="1:7" hidden="1" x14ac:dyDescent="0.25"/>
    <row r="57" spans="1:7" x14ac:dyDescent="0.25">
      <c r="A57" s="379" t="s">
        <v>1034</v>
      </c>
      <c r="B57" s="379"/>
      <c r="C57" s="379"/>
      <c r="E57" s="379" t="s">
        <v>1126</v>
      </c>
      <c r="F57" s="379"/>
      <c r="G57" s="379"/>
    </row>
    <row r="58" spans="1:7" x14ac:dyDescent="0.25">
      <c r="A58" s="385" t="s">
        <v>166</v>
      </c>
      <c r="B58" s="386"/>
      <c r="C58" s="275" t="s">
        <v>135</v>
      </c>
      <c r="D58" s="30"/>
      <c r="E58" s="385" t="s">
        <v>166</v>
      </c>
      <c r="F58" s="386"/>
      <c r="G58" s="275" t="s">
        <v>135</v>
      </c>
    </row>
    <row r="59" spans="1:7" ht="30" customHeight="1" x14ac:dyDescent="0.25">
      <c r="A59" s="380" t="s">
        <v>1025</v>
      </c>
      <c r="B59" s="381"/>
      <c r="C59" s="305"/>
      <c r="E59" s="380" t="s">
        <v>1025</v>
      </c>
      <c r="F59" s="381"/>
      <c r="G59" s="306"/>
    </row>
    <row r="60" spans="1:7" ht="30" customHeight="1" x14ac:dyDescent="0.25">
      <c r="A60" s="380" t="s">
        <v>1026</v>
      </c>
      <c r="B60" s="381"/>
      <c r="C60" s="305"/>
      <c r="E60" s="380" t="s">
        <v>1026</v>
      </c>
      <c r="F60" s="381"/>
      <c r="G60" s="306"/>
    </row>
    <row r="61" spans="1:7" x14ac:dyDescent="0.25">
      <c r="A61" s="380" t="s">
        <v>1027</v>
      </c>
      <c r="B61" s="381"/>
      <c r="C61" s="305"/>
      <c r="E61" s="380" t="s">
        <v>1027</v>
      </c>
      <c r="F61" s="381"/>
      <c r="G61" s="306"/>
    </row>
    <row r="62" spans="1:7" x14ac:dyDescent="0.25">
      <c r="A62" s="380" t="s">
        <v>1028</v>
      </c>
      <c r="B62" s="381"/>
      <c r="C62" s="305"/>
      <c r="E62" s="380" t="s">
        <v>1028</v>
      </c>
      <c r="F62" s="381"/>
      <c r="G62" s="306"/>
    </row>
    <row r="63" spans="1:7" x14ac:dyDescent="0.25">
      <c r="A63" s="380" t="s">
        <v>1029</v>
      </c>
      <c r="B63" s="381"/>
      <c r="C63" s="305"/>
      <c r="E63" s="380" t="s">
        <v>1029</v>
      </c>
      <c r="F63" s="381"/>
      <c r="G63" s="306"/>
    </row>
    <row r="64" spans="1:7" x14ac:dyDescent="0.25">
      <c r="A64" s="380" t="s">
        <v>1030</v>
      </c>
      <c r="B64" s="381"/>
      <c r="C64" s="305"/>
      <c r="E64" s="380" t="s">
        <v>1030</v>
      </c>
      <c r="F64" s="381"/>
      <c r="G64" s="306"/>
    </row>
    <row r="65" spans="1:7" ht="30" customHeight="1" x14ac:dyDescent="0.25">
      <c r="A65" s="380" t="s">
        <v>1031</v>
      </c>
      <c r="B65" s="381"/>
      <c r="C65" s="305"/>
      <c r="E65" s="380" t="s">
        <v>1031</v>
      </c>
      <c r="F65" s="381"/>
      <c r="G65" s="306"/>
    </row>
    <row r="66" spans="1:7" x14ac:dyDescent="0.25">
      <c r="A66" s="380" t="s">
        <v>167</v>
      </c>
      <c r="B66" s="381"/>
      <c r="C66" s="305"/>
      <c r="E66" s="380" t="s">
        <v>167</v>
      </c>
      <c r="F66" s="381"/>
      <c r="G66" s="306"/>
    </row>
    <row r="67" spans="1:7" ht="30" hidden="1" customHeight="1" x14ac:dyDescent="0.25">
      <c r="A67" s="380" t="s">
        <v>883</v>
      </c>
      <c r="B67" s="381"/>
      <c r="C67" s="305"/>
      <c r="D67" s="307" t="s">
        <v>929</v>
      </c>
      <c r="E67" s="380" t="s">
        <v>883</v>
      </c>
      <c r="F67" s="381"/>
      <c r="G67" s="306"/>
    </row>
    <row r="68" spans="1:7" x14ac:dyDescent="0.25">
      <c r="A68" s="380" t="s">
        <v>884</v>
      </c>
      <c r="B68" s="381"/>
      <c r="C68" s="305"/>
      <c r="E68" s="380" t="s">
        <v>884</v>
      </c>
      <c r="F68" s="381"/>
      <c r="G68" s="306"/>
    </row>
    <row r="69" spans="1:7" ht="30" customHeight="1" x14ac:dyDescent="0.25">
      <c r="A69" s="380" t="s">
        <v>239</v>
      </c>
      <c r="B69" s="381"/>
      <c r="C69" s="305"/>
      <c r="E69" s="380" t="s">
        <v>239</v>
      </c>
      <c r="F69" s="381"/>
      <c r="G69" s="306"/>
    </row>
    <row r="70" spans="1:7" ht="105" customHeight="1" x14ac:dyDescent="0.25">
      <c r="A70" s="382" t="s">
        <v>1059</v>
      </c>
      <c r="B70" s="41" t="s">
        <v>497</v>
      </c>
      <c r="C70" s="305"/>
      <c r="E70" s="382" t="s">
        <v>1059</v>
      </c>
      <c r="F70" s="41" t="s">
        <v>497</v>
      </c>
      <c r="G70" s="306"/>
    </row>
    <row r="71" spans="1:7" ht="75" x14ac:dyDescent="0.25">
      <c r="A71" s="382"/>
      <c r="B71" s="47" t="s">
        <v>499</v>
      </c>
      <c r="C71" s="305"/>
      <c r="E71" s="382"/>
      <c r="F71" s="38" t="s">
        <v>499</v>
      </c>
      <c r="G71" s="306"/>
    </row>
    <row r="72" spans="1:7" ht="91.5" customHeight="1" x14ac:dyDescent="0.25">
      <c r="A72" s="382"/>
      <c r="B72" s="41" t="s">
        <v>498</v>
      </c>
      <c r="C72" s="305"/>
      <c r="E72" s="382"/>
      <c r="F72" s="41" t="s">
        <v>498</v>
      </c>
      <c r="G72" s="306"/>
    </row>
    <row r="73" spans="1:7" ht="91.5" customHeight="1" x14ac:dyDescent="0.25">
      <c r="A73" s="382"/>
      <c r="B73" s="41" t="s">
        <v>931</v>
      </c>
      <c r="C73" s="305"/>
      <c r="D73" s="308" t="s">
        <v>932</v>
      </c>
      <c r="E73" s="382"/>
      <c r="F73" s="41" t="s">
        <v>931</v>
      </c>
      <c r="G73" s="306"/>
    </row>
    <row r="74" spans="1:7" ht="105" hidden="1" customHeight="1" x14ac:dyDescent="0.25">
      <c r="A74" s="382"/>
      <c r="B74" s="47" t="s">
        <v>930</v>
      </c>
      <c r="C74" s="305"/>
      <c r="D74" s="27" t="s">
        <v>929</v>
      </c>
      <c r="E74" s="382"/>
      <c r="F74" s="38" t="s">
        <v>930</v>
      </c>
      <c r="G74" s="306"/>
    </row>
    <row r="75" spans="1:7" ht="60" customHeight="1" x14ac:dyDescent="0.25">
      <c r="A75" s="382"/>
      <c r="B75" s="38" t="s">
        <v>500</v>
      </c>
      <c r="C75" s="305"/>
      <c r="E75" s="382"/>
      <c r="F75" s="38" t="s">
        <v>500</v>
      </c>
      <c r="G75" s="306"/>
    </row>
    <row r="76" spans="1:7" x14ac:dyDescent="0.25">
      <c r="A76" s="382"/>
      <c r="B76" s="309"/>
      <c r="C76" s="310">
        <f>SUM(C70:C75)</f>
        <v>0</v>
      </c>
      <c r="E76" s="382"/>
      <c r="F76" s="309"/>
      <c r="G76" s="310">
        <f>SUM(G70:G75)</f>
        <v>0</v>
      </c>
    </row>
    <row r="78" spans="1:7" x14ac:dyDescent="0.25">
      <c r="A78" s="307" t="s">
        <v>1035</v>
      </c>
      <c r="D78" s="307" t="s">
        <v>1126</v>
      </c>
    </row>
    <row r="79" spans="1:7" x14ac:dyDescent="0.25">
      <c r="A79" s="275" t="s">
        <v>166</v>
      </c>
      <c r="B79" s="275" t="s">
        <v>135</v>
      </c>
      <c r="D79" s="275" t="s">
        <v>166</v>
      </c>
      <c r="E79" s="275" t="s">
        <v>135</v>
      </c>
    </row>
    <row r="80" spans="1:7" x14ac:dyDescent="0.25">
      <c r="A80" s="55" t="s">
        <v>168</v>
      </c>
      <c r="B80" s="305"/>
      <c r="D80" s="55" t="s">
        <v>168</v>
      </c>
      <c r="E80" s="306"/>
    </row>
    <row r="81" spans="1:11" x14ac:dyDescent="0.25">
      <c r="A81" s="55" t="s">
        <v>169</v>
      </c>
      <c r="B81" s="305"/>
      <c r="D81" s="55" t="s">
        <v>169</v>
      </c>
      <c r="E81" s="306"/>
    </row>
    <row r="83" spans="1:11" x14ac:dyDescent="0.25">
      <c r="A83" s="311" t="s">
        <v>1036</v>
      </c>
      <c r="B83" s="30"/>
      <c r="D83" s="307" t="s">
        <v>1126</v>
      </c>
      <c r="E83" s="30"/>
    </row>
    <row r="84" spans="1:11" x14ac:dyDescent="0.25">
      <c r="A84" s="275" t="s">
        <v>166</v>
      </c>
      <c r="B84" s="275" t="s">
        <v>135</v>
      </c>
      <c r="D84" s="275" t="s">
        <v>166</v>
      </c>
      <c r="E84" s="275" t="s">
        <v>135</v>
      </c>
    </row>
    <row r="85" spans="1:11" ht="45" x14ac:dyDescent="0.25">
      <c r="A85" s="38" t="s">
        <v>988</v>
      </c>
      <c r="B85" s="312"/>
      <c r="D85" s="38" t="s">
        <v>988</v>
      </c>
      <c r="E85" s="313"/>
    </row>
    <row r="86" spans="1:11" ht="45" x14ac:dyDescent="0.25">
      <c r="A86" s="38" t="s">
        <v>987</v>
      </c>
      <c r="B86" s="312"/>
      <c r="D86" s="38" t="s">
        <v>987</v>
      </c>
      <c r="E86" s="313"/>
    </row>
    <row r="87" spans="1:11" ht="45" x14ac:dyDescent="0.25">
      <c r="A87" s="38" t="s">
        <v>986</v>
      </c>
      <c r="B87" s="312"/>
      <c r="D87" s="38" t="s">
        <v>986</v>
      </c>
      <c r="E87" s="313"/>
    </row>
    <row r="89" spans="1:11" x14ac:dyDescent="0.25">
      <c r="A89" s="379" t="s">
        <v>1037</v>
      </c>
      <c r="B89" s="379"/>
      <c r="C89" s="379"/>
      <c r="D89" s="379"/>
      <c r="E89" s="379"/>
      <c r="G89" s="379" t="s">
        <v>1126</v>
      </c>
      <c r="H89" s="379"/>
      <c r="I89" s="379"/>
      <c r="J89" s="379"/>
      <c r="K89" s="379"/>
    </row>
    <row r="90" spans="1:11" x14ac:dyDescent="0.25">
      <c r="A90" s="374" t="s">
        <v>166</v>
      </c>
      <c r="B90" s="376" t="s">
        <v>514</v>
      </c>
      <c r="C90" s="377"/>
      <c r="D90" s="378"/>
      <c r="E90" s="374" t="s">
        <v>135</v>
      </c>
      <c r="G90" s="374" t="s">
        <v>166</v>
      </c>
      <c r="H90" s="376" t="s">
        <v>514</v>
      </c>
      <c r="I90" s="377"/>
      <c r="J90" s="378"/>
      <c r="K90" s="374" t="s">
        <v>135</v>
      </c>
    </row>
    <row r="91" spans="1:11" x14ac:dyDescent="0.25">
      <c r="A91" s="375"/>
      <c r="B91" s="275" t="s">
        <v>132</v>
      </c>
      <c r="C91" s="275" t="s">
        <v>133</v>
      </c>
      <c r="D91" s="275" t="s">
        <v>134</v>
      </c>
      <c r="E91" s="375"/>
      <c r="G91" s="375"/>
      <c r="H91" s="275" t="s">
        <v>132</v>
      </c>
      <c r="I91" s="275" t="s">
        <v>133</v>
      </c>
      <c r="J91" s="275" t="s">
        <v>134</v>
      </c>
      <c r="K91" s="375"/>
    </row>
    <row r="92" spans="1:11" ht="30" x14ac:dyDescent="0.25">
      <c r="A92" s="47" t="s">
        <v>508</v>
      </c>
      <c r="B92" s="312"/>
      <c r="C92" s="312"/>
      <c r="D92" s="312"/>
      <c r="E92" s="314">
        <f>SUM(B92:D92)</f>
        <v>0</v>
      </c>
      <c r="G92" s="38" t="s">
        <v>508</v>
      </c>
      <c r="H92" s="313"/>
      <c r="I92" s="313"/>
      <c r="J92" s="313"/>
      <c r="K92" s="314">
        <f>SUM(H92:J92)</f>
        <v>0</v>
      </c>
    </row>
    <row r="93" spans="1:11" ht="30" x14ac:dyDescent="0.25">
      <c r="A93" s="47" t="s">
        <v>509</v>
      </c>
      <c r="B93" s="312"/>
      <c r="C93" s="312"/>
      <c r="D93" s="312"/>
      <c r="E93" s="314">
        <f>SUM(B93:D93)</f>
        <v>0</v>
      </c>
      <c r="G93" s="38" t="s">
        <v>509</v>
      </c>
      <c r="H93" s="313"/>
      <c r="I93" s="313"/>
      <c r="J93" s="313"/>
      <c r="K93" s="314">
        <f>SUM(H93:J93)</f>
        <v>0</v>
      </c>
    </row>
    <row r="94" spans="1:11" x14ac:dyDescent="0.25">
      <c r="A94" s="47" t="s">
        <v>510</v>
      </c>
      <c r="B94" s="312"/>
      <c r="C94" s="312"/>
      <c r="D94" s="312"/>
      <c r="E94" s="314">
        <f>SUM(B94:D94)</f>
        <v>0</v>
      </c>
      <c r="G94" s="38" t="s">
        <v>510</v>
      </c>
      <c r="H94" s="313"/>
      <c r="I94" s="313"/>
      <c r="J94" s="313"/>
      <c r="K94" s="314">
        <f>SUM(H94:J94)</f>
        <v>0</v>
      </c>
    </row>
    <row r="96" spans="1:11" x14ac:dyDescent="0.25">
      <c r="A96" s="379" t="s">
        <v>1038</v>
      </c>
      <c r="B96" s="379"/>
      <c r="C96" s="379"/>
      <c r="D96" s="379"/>
      <c r="E96" s="379"/>
      <c r="G96" s="379" t="s">
        <v>1038</v>
      </c>
      <c r="H96" s="379"/>
      <c r="I96" s="379"/>
      <c r="J96" s="379"/>
      <c r="K96" s="379"/>
    </row>
    <row r="97" spans="1:11" x14ac:dyDescent="0.25">
      <c r="A97" s="374" t="s">
        <v>166</v>
      </c>
      <c r="B97" s="376" t="s">
        <v>514</v>
      </c>
      <c r="C97" s="377"/>
      <c r="D97" s="378"/>
      <c r="E97" s="374" t="s">
        <v>135</v>
      </c>
      <c r="G97" s="374" t="s">
        <v>166</v>
      </c>
      <c r="H97" s="376" t="s">
        <v>514</v>
      </c>
      <c r="I97" s="377"/>
      <c r="J97" s="378"/>
      <c r="K97" s="374" t="s">
        <v>135</v>
      </c>
    </row>
    <row r="98" spans="1:11" x14ac:dyDescent="0.25">
      <c r="A98" s="375"/>
      <c r="B98" s="275" t="s">
        <v>132</v>
      </c>
      <c r="C98" s="275" t="s">
        <v>133</v>
      </c>
      <c r="D98" s="275" t="s">
        <v>134</v>
      </c>
      <c r="E98" s="375"/>
      <c r="G98" s="375"/>
      <c r="H98" s="275" t="s">
        <v>132</v>
      </c>
      <c r="I98" s="275" t="s">
        <v>133</v>
      </c>
      <c r="J98" s="275" t="s">
        <v>134</v>
      </c>
      <c r="K98" s="375"/>
    </row>
    <row r="99" spans="1:11" ht="30" x14ac:dyDescent="0.25">
      <c r="A99" s="47" t="s">
        <v>508</v>
      </c>
      <c r="B99" s="312"/>
      <c r="C99" s="312"/>
      <c r="D99" s="312"/>
      <c r="E99" s="314">
        <f>SUM(B99:D99)</f>
        <v>0</v>
      </c>
      <c r="G99" s="38" t="s">
        <v>508</v>
      </c>
      <c r="H99" s="313"/>
      <c r="I99" s="313"/>
      <c r="J99" s="313"/>
      <c r="K99" s="314">
        <f>SUM(H99:J99)</f>
        <v>0</v>
      </c>
    </row>
    <row r="100" spans="1:11" ht="30" x14ac:dyDescent="0.25">
      <c r="A100" s="47" t="s">
        <v>509</v>
      </c>
      <c r="B100" s="312"/>
      <c r="C100" s="312"/>
      <c r="D100" s="312"/>
      <c r="E100" s="314">
        <f>SUM(B100:D100)</f>
        <v>0</v>
      </c>
      <c r="G100" s="38" t="s">
        <v>509</v>
      </c>
      <c r="H100" s="313"/>
      <c r="I100" s="313"/>
      <c r="J100" s="313"/>
      <c r="K100" s="314">
        <f>SUM(H100:J100)</f>
        <v>0</v>
      </c>
    </row>
    <row r="101" spans="1:11" x14ac:dyDescent="0.25">
      <c r="A101" s="47" t="s">
        <v>510</v>
      </c>
      <c r="B101" s="312"/>
      <c r="C101" s="312"/>
      <c r="D101" s="312"/>
      <c r="E101" s="314">
        <f>SUM(B101:D101)</f>
        <v>0</v>
      </c>
      <c r="G101" s="38" t="s">
        <v>510</v>
      </c>
      <c r="H101" s="313"/>
      <c r="I101" s="313"/>
      <c r="J101" s="313"/>
      <c r="K101" s="314">
        <f>SUM(H101:J101)</f>
        <v>0</v>
      </c>
    </row>
    <row r="103" spans="1:11" x14ac:dyDescent="0.25">
      <c r="A103" s="379" t="s">
        <v>1039</v>
      </c>
      <c r="B103" s="379"/>
      <c r="C103" s="379"/>
      <c r="D103" s="379"/>
      <c r="E103" s="379"/>
      <c r="F103" s="308" t="s">
        <v>936</v>
      </c>
      <c r="G103" s="379" t="s">
        <v>1039</v>
      </c>
      <c r="H103" s="379"/>
      <c r="I103" s="379"/>
      <c r="J103" s="379"/>
      <c r="K103" s="379"/>
    </row>
    <row r="104" spans="1:11" x14ac:dyDescent="0.25">
      <c r="A104" s="374" t="s">
        <v>166</v>
      </c>
      <c r="B104" s="376" t="s">
        <v>514</v>
      </c>
      <c r="C104" s="377"/>
      <c r="D104" s="378"/>
      <c r="E104" s="374" t="s">
        <v>135</v>
      </c>
      <c r="G104" s="374" t="s">
        <v>166</v>
      </c>
      <c r="H104" s="376" t="s">
        <v>514</v>
      </c>
      <c r="I104" s="377"/>
      <c r="J104" s="378"/>
      <c r="K104" s="374" t="s">
        <v>135</v>
      </c>
    </row>
    <row r="105" spans="1:11" x14ac:dyDescent="0.25">
      <c r="A105" s="375"/>
      <c r="B105" s="275" t="s">
        <v>132</v>
      </c>
      <c r="C105" s="275" t="s">
        <v>133</v>
      </c>
      <c r="D105" s="275" t="s">
        <v>134</v>
      </c>
      <c r="E105" s="375"/>
      <c r="G105" s="375"/>
      <c r="H105" s="275" t="s">
        <v>132</v>
      </c>
      <c r="I105" s="275" t="s">
        <v>133</v>
      </c>
      <c r="J105" s="275" t="s">
        <v>134</v>
      </c>
      <c r="K105" s="375"/>
    </row>
    <row r="106" spans="1:11" ht="30" x14ac:dyDescent="0.25">
      <c r="A106" s="47" t="s">
        <v>939</v>
      </c>
      <c r="B106" s="315"/>
      <c r="C106" s="315"/>
      <c r="D106" s="315"/>
      <c r="E106" s="314">
        <f t="shared" ref="E106:E115" si="14">SUM(B106:D106)</f>
        <v>0</v>
      </c>
      <c r="G106" s="38" t="s">
        <v>939</v>
      </c>
      <c r="H106" s="316"/>
      <c r="I106" s="316"/>
      <c r="J106" s="316"/>
      <c r="K106" s="314">
        <f t="shared" ref="K106:K115" si="15">SUM(H106:J106)</f>
        <v>0</v>
      </c>
    </row>
    <row r="107" spans="1:11" ht="30" x14ac:dyDescent="0.25">
      <c r="A107" s="47" t="s">
        <v>940</v>
      </c>
      <c r="B107" s="315"/>
      <c r="C107" s="315"/>
      <c r="D107" s="315"/>
      <c r="E107" s="314">
        <f t="shared" si="14"/>
        <v>0</v>
      </c>
      <c r="G107" s="38" t="s">
        <v>940</v>
      </c>
      <c r="H107" s="316"/>
      <c r="I107" s="316"/>
      <c r="J107" s="316"/>
      <c r="K107" s="314">
        <f t="shared" si="15"/>
        <v>0</v>
      </c>
    </row>
    <row r="108" spans="1:11" x14ac:dyDescent="0.25">
      <c r="A108" s="47" t="s">
        <v>941</v>
      </c>
      <c r="B108" s="315"/>
      <c r="C108" s="315"/>
      <c r="D108" s="315"/>
      <c r="E108" s="314">
        <f t="shared" si="14"/>
        <v>0</v>
      </c>
      <c r="G108" s="38" t="s">
        <v>941</v>
      </c>
      <c r="H108" s="316"/>
      <c r="I108" s="316"/>
      <c r="J108" s="316"/>
      <c r="K108" s="314">
        <f t="shared" si="15"/>
        <v>0</v>
      </c>
    </row>
    <row r="109" spans="1:11" ht="30" x14ac:dyDescent="0.25">
      <c r="A109" s="47" t="s">
        <v>942</v>
      </c>
      <c r="B109" s="315"/>
      <c r="C109" s="315"/>
      <c r="D109" s="315"/>
      <c r="E109" s="314">
        <f t="shared" si="14"/>
        <v>0</v>
      </c>
      <c r="G109" s="38" t="s">
        <v>942</v>
      </c>
      <c r="H109" s="316"/>
      <c r="I109" s="316"/>
      <c r="J109" s="316"/>
      <c r="K109" s="314">
        <f t="shared" si="15"/>
        <v>0</v>
      </c>
    </row>
    <row r="110" spans="1:11" ht="30" x14ac:dyDescent="0.25">
      <c r="A110" s="47" t="s">
        <v>943</v>
      </c>
      <c r="B110" s="315"/>
      <c r="C110" s="315"/>
      <c r="D110" s="315"/>
      <c r="E110" s="314">
        <f t="shared" si="14"/>
        <v>0</v>
      </c>
      <c r="G110" s="38" t="s">
        <v>943</v>
      </c>
      <c r="H110" s="316"/>
      <c r="I110" s="316"/>
      <c r="J110" s="316"/>
      <c r="K110" s="314">
        <f t="shared" si="15"/>
        <v>0</v>
      </c>
    </row>
    <row r="111" spans="1:11" x14ac:dyDescent="0.25">
      <c r="A111" s="47" t="s">
        <v>944</v>
      </c>
      <c r="B111" s="315"/>
      <c r="C111" s="315"/>
      <c r="D111" s="315"/>
      <c r="E111" s="314">
        <f t="shared" si="14"/>
        <v>0</v>
      </c>
      <c r="G111" s="38" t="s">
        <v>944</v>
      </c>
      <c r="H111" s="316"/>
      <c r="I111" s="316"/>
      <c r="J111" s="316"/>
      <c r="K111" s="314">
        <f t="shared" si="15"/>
        <v>0</v>
      </c>
    </row>
    <row r="112" spans="1:11" x14ac:dyDescent="0.25">
      <c r="A112" s="47" t="s">
        <v>945</v>
      </c>
      <c r="B112" s="315"/>
      <c r="C112" s="315"/>
      <c r="D112" s="315"/>
      <c r="E112" s="314">
        <f t="shared" si="14"/>
        <v>0</v>
      </c>
      <c r="G112" s="38" t="s">
        <v>945</v>
      </c>
      <c r="H112" s="316"/>
      <c r="I112" s="316"/>
      <c r="J112" s="316"/>
      <c r="K112" s="314">
        <f t="shared" si="15"/>
        <v>0</v>
      </c>
    </row>
    <row r="113" spans="1:11" ht="30" x14ac:dyDescent="0.25">
      <c r="A113" s="47" t="s">
        <v>933</v>
      </c>
      <c r="B113" s="315"/>
      <c r="C113" s="315"/>
      <c r="D113" s="315"/>
      <c r="E113" s="314">
        <f t="shared" si="14"/>
        <v>0</v>
      </c>
      <c r="G113" s="38" t="s">
        <v>933</v>
      </c>
      <c r="H113" s="316"/>
      <c r="I113" s="316"/>
      <c r="J113" s="316"/>
      <c r="K113" s="314">
        <f t="shared" si="15"/>
        <v>0</v>
      </c>
    </row>
    <row r="114" spans="1:11" ht="30" x14ac:dyDescent="0.25">
      <c r="A114" s="47" t="s">
        <v>934</v>
      </c>
      <c r="B114" s="315"/>
      <c r="C114" s="315"/>
      <c r="D114" s="315"/>
      <c r="E114" s="314">
        <f t="shared" si="14"/>
        <v>0</v>
      </c>
      <c r="G114" s="38" t="s">
        <v>934</v>
      </c>
      <c r="H114" s="316"/>
      <c r="I114" s="316"/>
      <c r="J114" s="316"/>
      <c r="K114" s="314">
        <f t="shared" si="15"/>
        <v>0</v>
      </c>
    </row>
    <row r="115" spans="1:11" ht="30" x14ac:dyDescent="0.25">
      <c r="A115" s="47" t="s">
        <v>935</v>
      </c>
      <c r="B115" s="315"/>
      <c r="C115" s="315"/>
      <c r="D115" s="315"/>
      <c r="E115" s="314">
        <f t="shared" si="14"/>
        <v>0</v>
      </c>
      <c r="G115" s="38" t="s">
        <v>935</v>
      </c>
      <c r="H115" s="316"/>
      <c r="I115" s="316"/>
      <c r="J115" s="316"/>
      <c r="K115" s="314">
        <f t="shared" si="15"/>
        <v>0</v>
      </c>
    </row>
    <row r="117" spans="1:11" hidden="1" x14ac:dyDescent="0.25">
      <c r="A117" s="379" t="s">
        <v>938</v>
      </c>
      <c r="B117" s="379"/>
      <c r="C117" s="379"/>
      <c r="D117" s="379"/>
      <c r="E117" s="379"/>
      <c r="F117" s="27" t="s">
        <v>937</v>
      </c>
      <c r="G117" s="379" t="s">
        <v>938</v>
      </c>
      <c r="H117" s="379"/>
      <c r="I117" s="379"/>
      <c r="J117" s="379"/>
      <c r="K117" s="379"/>
    </row>
    <row r="118" spans="1:11" hidden="1" x14ac:dyDescent="0.25">
      <c r="A118" s="374" t="s">
        <v>166</v>
      </c>
      <c r="B118" s="376" t="s">
        <v>514</v>
      </c>
      <c r="C118" s="377"/>
      <c r="D118" s="378"/>
      <c r="E118" s="374" t="s">
        <v>135</v>
      </c>
      <c r="G118" s="374" t="s">
        <v>166</v>
      </c>
      <c r="H118" s="376" t="s">
        <v>514</v>
      </c>
      <c r="I118" s="377"/>
      <c r="J118" s="378"/>
      <c r="K118" s="374" t="s">
        <v>135</v>
      </c>
    </row>
    <row r="119" spans="1:11" hidden="1" x14ac:dyDescent="0.25">
      <c r="A119" s="375"/>
      <c r="B119" s="275" t="s">
        <v>132</v>
      </c>
      <c r="C119" s="275" t="s">
        <v>133</v>
      </c>
      <c r="D119" s="275" t="s">
        <v>134</v>
      </c>
      <c r="E119" s="375"/>
      <c r="G119" s="375"/>
      <c r="H119" s="275" t="s">
        <v>132</v>
      </c>
      <c r="I119" s="275" t="s">
        <v>133</v>
      </c>
      <c r="J119" s="275" t="s">
        <v>134</v>
      </c>
      <c r="K119" s="375"/>
    </row>
    <row r="120" spans="1:11" ht="30" hidden="1" x14ac:dyDescent="0.25">
      <c r="A120" s="38" t="s">
        <v>912</v>
      </c>
      <c r="B120" s="312"/>
      <c r="C120" s="312"/>
      <c r="D120" s="312"/>
      <c r="E120" s="314">
        <f t="shared" ref="E120:E129" si="16">SUM(B120:D120)</f>
        <v>0</v>
      </c>
      <c r="G120" s="38" t="s">
        <v>912</v>
      </c>
      <c r="H120" s="312"/>
      <c r="I120" s="312"/>
      <c r="J120" s="312"/>
      <c r="K120" s="314">
        <f t="shared" ref="K120:K129" si="17">SUM(H120:J120)</f>
        <v>0</v>
      </c>
    </row>
    <row r="121" spans="1:11" ht="30" hidden="1" x14ac:dyDescent="0.25">
      <c r="A121" s="38" t="s">
        <v>913</v>
      </c>
      <c r="B121" s="312"/>
      <c r="C121" s="312"/>
      <c r="D121" s="312"/>
      <c r="E121" s="314">
        <f t="shared" si="16"/>
        <v>0</v>
      </c>
      <c r="G121" s="38" t="s">
        <v>913</v>
      </c>
      <c r="H121" s="312"/>
      <c r="I121" s="312"/>
      <c r="J121" s="312"/>
      <c r="K121" s="314">
        <f t="shared" si="17"/>
        <v>0</v>
      </c>
    </row>
    <row r="122" spans="1:11" ht="30" hidden="1" x14ac:dyDescent="0.25">
      <c r="A122" s="38" t="s">
        <v>914</v>
      </c>
      <c r="B122" s="312"/>
      <c r="C122" s="312"/>
      <c r="D122" s="312"/>
      <c r="E122" s="314">
        <f t="shared" si="16"/>
        <v>0</v>
      </c>
      <c r="G122" s="38" t="s">
        <v>914</v>
      </c>
      <c r="H122" s="312"/>
      <c r="I122" s="312"/>
      <c r="J122" s="312"/>
      <c r="K122" s="314">
        <f t="shared" si="17"/>
        <v>0</v>
      </c>
    </row>
    <row r="123" spans="1:11" ht="30" hidden="1" x14ac:dyDescent="0.25">
      <c r="A123" s="38" t="s">
        <v>915</v>
      </c>
      <c r="B123" s="312"/>
      <c r="C123" s="312"/>
      <c r="D123" s="312"/>
      <c r="E123" s="314">
        <f t="shared" si="16"/>
        <v>0</v>
      </c>
      <c r="G123" s="38" t="s">
        <v>915</v>
      </c>
      <c r="H123" s="312"/>
      <c r="I123" s="312"/>
      <c r="J123" s="312"/>
      <c r="K123" s="314">
        <f t="shared" si="17"/>
        <v>0</v>
      </c>
    </row>
    <row r="124" spans="1:11" ht="45" hidden="1" x14ac:dyDescent="0.25">
      <c r="A124" s="38" t="s">
        <v>949</v>
      </c>
      <c r="B124" s="312"/>
      <c r="C124" s="312"/>
      <c r="D124" s="312"/>
      <c r="E124" s="314">
        <f t="shared" si="16"/>
        <v>0</v>
      </c>
      <c r="G124" s="38" t="s">
        <v>949</v>
      </c>
      <c r="H124" s="312"/>
      <c r="I124" s="312"/>
      <c r="J124" s="312"/>
      <c r="K124" s="314">
        <f t="shared" si="17"/>
        <v>0</v>
      </c>
    </row>
    <row r="125" spans="1:11" ht="30" hidden="1" x14ac:dyDescent="0.25">
      <c r="A125" s="38" t="s">
        <v>916</v>
      </c>
      <c r="B125" s="312"/>
      <c r="C125" s="312"/>
      <c r="D125" s="312"/>
      <c r="E125" s="314">
        <f t="shared" si="16"/>
        <v>0</v>
      </c>
      <c r="G125" s="38" t="s">
        <v>916</v>
      </c>
      <c r="H125" s="312"/>
      <c r="I125" s="312"/>
      <c r="J125" s="312"/>
      <c r="K125" s="314">
        <f t="shared" si="17"/>
        <v>0</v>
      </c>
    </row>
    <row r="126" spans="1:11" ht="30" hidden="1" x14ac:dyDescent="0.25">
      <c r="A126" s="38" t="s">
        <v>917</v>
      </c>
      <c r="B126" s="312"/>
      <c r="C126" s="312"/>
      <c r="D126" s="312"/>
      <c r="E126" s="314">
        <f t="shared" si="16"/>
        <v>0</v>
      </c>
      <c r="G126" s="38" t="s">
        <v>917</v>
      </c>
      <c r="H126" s="312"/>
      <c r="I126" s="312"/>
      <c r="J126" s="312"/>
      <c r="K126" s="314">
        <f t="shared" si="17"/>
        <v>0</v>
      </c>
    </row>
    <row r="127" spans="1:11" ht="45" hidden="1" x14ac:dyDescent="0.25">
      <c r="A127" s="38" t="s">
        <v>946</v>
      </c>
      <c r="B127" s="312"/>
      <c r="C127" s="312"/>
      <c r="D127" s="312"/>
      <c r="E127" s="314">
        <f t="shared" si="16"/>
        <v>0</v>
      </c>
      <c r="G127" s="38" t="s">
        <v>946</v>
      </c>
      <c r="H127" s="312"/>
      <c r="I127" s="312"/>
      <c r="J127" s="312"/>
      <c r="K127" s="314">
        <f t="shared" si="17"/>
        <v>0</v>
      </c>
    </row>
    <row r="128" spans="1:11" ht="45" hidden="1" x14ac:dyDescent="0.25">
      <c r="A128" s="38" t="s">
        <v>947</v>
      </c>
      <c r="B128" s="312"/>
      <c r="C128" s="312"/>
      <c r="D128" s="312"/>
      <c r="E128" s="314">
        <f t="shared" si="16"/>
        <v>0</v>
      </c>
      <c r="G128" s="38" t="s">
        <v>947</v>
      </c>
      <c r="H128" s="312"/>
      <c r="I128" s="312"/>
      <c r="J128" s="312"/>
      <c r="K128" s="314">
        <f t="shared" si="17"/>
        <v>0</v>
      </c>
    </row>
    <row r="129" spans="1:11" ht="45" hidden="1" x14ac:dyDescent="0.25">
      <c r="A129" s="38" t="s">
        <v>948</v>
      </c>
      <c r="B129" s="312"/>
      <c r="C129" s="312"/>
      <c r="D129" s="312"/>
      <c r="E129" s="314">
        <f t="shared" si="16"/>
        <v>0</v>
      </c>
      <c r="G129" s="38" t="s">
        <v>948</v>
      </c>
      <c r="H129" s="312"/>
      <c r="I129" s="312"/>
      <c r="J129" s="312"/>
      <c r="K129" s="314">
        <f t="shared" si="17"/>
        <v>0</v>
      </c>
    </row>
    <row r="130" spans="1:11" hidden="1" x14ac:dyDescent="0.25"/>
    <row r="131" spans="1:11" x14ac:dyDescent="0.25">
      <c r="A131" s="379" t="s">
        <v>1040</v>
      </c>
      <c r="B131" s="379"/>
      <c r="C131" s="379"/>
      <c r="D131" s="379"/>
      <c r="E131" s="379"/>
      <c r="F131" s="308" t="s">
        <v>950</v>
      </c>
      <c r="G131" s="379" t="s">
        <v>1040</v>
      </c>
      <c r="H131" s="379"/>
      <c r="I131" s="379"/>
      <c r="J131" s="379"/>
      <c r="K131" s="379"/>
    </row>
    <row r="132" spans="1:11" x14ac:dyDescent="0.25">
      <c r="A132" s="374" t="s">
        <v>166</v>
      </c>
      <c r="B132" s="376" t="s">
        <v>514</v>
      </c>
      <c r="C132" s="377"/>
      <c r="D132" s="378"/>
      <c r="E132" s="374" t="s">
        <v>135</v>
      </c>
      <c r="G132" s="374" t="s">
        <v>166</v>
      </c>
      <c r="H132" s="376" t="s">
        <v>514</v>
      </c>
      <c r="I132" s="377"/>
      <c r="J132" s="378"/>
      <c r="K132" s="374" t="s">
        <v>135</v>
      </c>
    </row>
    <row r="133" spans="1:11" x14ac:dyDescent="0.25">
      <c r="A133" s="375"/>
      <c r="B133" s="275" t="s">
        <v>132</v>
      </c>
      <c r="C133" s="275" t="s">
        <v>133</v>
      </c>
      <c r="D133" s="275" t="s">
        <v>134</v>
      </c>
      <c r="E133" s="375"/>
      <c r="G133" s="375"/>
      <c r="H133" s="275" t="s">
        <v>132</v>
      </c>
      <c r="I133" s="275" t="s">
        <v>133</v>
      </c>
      <c r="J133" s="275" t="s">
        <v>134</v>
      </c>
      <c r="K133" s="375"/>
    </row>
    <row r="134" spans="1:11" ht="30" x14ac:dyDescent="0.25">
      <c r="A134" s="47" t="s">
        <v>534</v>
      </c>
      <c r="B134" s="312"/>
      <c r="C134" s="312"/>
      <c r="D134" s="312"/>
      <c r="E134" s="314">
        <f>SUM(B134:D134)</f>
        <v>0</v>
      </c>
      <c r="G134" s="38" t="s">
        <v>534</v>
      </c>
      <c r="H134" s="313"/>
      <c r="I134" s="313"/>
      <c r="J134" s="313"/>
      <c r="K134" s="314">
        <f>SUM(H134:J134)</f>
        <v>0</v>
      </c>
    </row>
    <row r="136" spans="1:11" hidden="1" x14ac:dyDescent="0.25">
      <c r="A136" s="379" t="s">
        <v>927</v>
      </c>
      <c r="B136" s="379"/>
      <c r="C136" s="379"/>
      <c r="D136" s="379"/>
      <c r="E136" s="379"/>
      <c r="F136" s="27" t="s">
        <v>937</v>
      </c>
      <c r="G136" s="379" t="s">
        <v>927</v>
      </c>
      <c r="H136" s="379"/>
      <c r="I136" s="379"/>
      <c r="J136" s="379"/>
      <c r="K136" s="379"/>
    </row>
    <row r="137" spans="1:11" hidden="1" x14ac:dyDescent="0.25">
      <c r="A137" s="374" t="s">
        <v>166</v>
      </c>
      <c r="B137" s="376" t="s">
        <v>514</v>
      </c>
      <c r="C137" s="377"/>
      <c r="D137" s="378"/>
      <c r="E137" s="374" t="s">
        <v>135</v>
      </c>
      <c r="G137" s="374" t="s">
        <v>166</v>
      </c>
      <c r="H137" s="376" t="s">
        <v>514</v>
      </c>
      <c r="I137" s="377"/>
      <c r="J137" s="378"/>
      <c r="K137" s="374" t="s">
        <v>135</v>
      </c>
    </row>
    <row r="138" spans="1:11" hidden="1" x14ac:dyDescent="0.25">
      <c r="A138" s="375"/>
      <c r="B138" s="275" t="s">
        <v>132</v>
      </c>
      <c r="C138" s="275" t="s">
        <v>133</v>
      </c>
      <c r="D138" s="275" t="s">
        <v>134</v>
      </c>
      <c r="E138" s="375"/>
      <c r="G138" s="375"/>
      <c r="H138" s="275" t="s">
        <v>132</v>
      </c>
      <c r="I138" s="275" t="s">
        <v>133</v>
      </c>
      <c r="J138" s="275" t="s">
        <v>134</v>
      </c>
      <c r="K138" s="375"/>
    </row>
    <row r="139" spans="1:11" ht="45" hidden="1" x14ac:dyDescent="0.25">
      <c r="A139" s="47" t="s">
        <v>893</v>
      </c>
      <c r="B139" s="312"/>
      <c r="C139" s="312"/>
      <c r="D139" s="312"/>
      <c r="E139" s="314">
        <f>SUM(B139:D139)</f>
        <v>0</v>
      </c>
      <c r="G139" s="47" t="s">
        <v>893</v>
      </c>
      <c r="H139" s="312"/>
      <c r="I139" s="312"/>
      <c r="J139" s="312"/>
      <c r="K139" s="314">
        <f>SUM(H139:J139)</f>
        <v>0</v>
      </c>
    </row>
    <row r="140" spans="1:11" hidden="1" x14ac:dyDescent="0.25"/>
    <row r="141" spans="1:11" x14ac:dyDescent="0.25">
      <c r="A141" s="367" t="s">
        <v>1041</v>
      </c>
      <c r="B141" s="367"/>
      <c r="C141" s="367"/>
      <c r="D141" s="367"/>
      <c r="E141" s="367"/>
      <c r="G141" s="367" t="s">
        <v>1041</v>
      </c>
      <c r="H141" s="367"/>
      <c r="I141" s="367"/>
      <c r="J141" s="367"/>
      <c r="K141" s="367"/>
    </row>
    <row r="142" spans="1:11" x14ac:dyDescent="0.25">
      <c r="A142" s="365" t="s">
        <v>484</v>
      </c>
      <c r="B142" s="368" t="s">
        <v>466</v>
      </c>
      <c r="C142" s="369"/>
      <c r="D142" s="370"/>
      <c r="E142" s="365" t="s">
        <v>135</v>
      </c>
      <c r="G142" s="365" t="s">
        <v>484</v>
      </c>
      <c r="H142" s="368" t="s">
        <v>466</v>
      </c>
      <c r="I142" s="369"/>
      <c r="J142" s="370"/>
      <c r="K142" s="365" t="s">
        <v>135</v>
      </c>
    </row>
    <row r="143" spans="1:11" x14ac:dyDescent="0.25">
      <c r="A143" s="366"/>
      <c r="B143" s="288" t="s">
        <v>467</v>
      </c>
      <c r="C143" s="288" t="s">
        <v>468</v>
      </c>
      <c r="D143" s="288" t="s">
        <v>134</v>
      </c>
      <c r="E143" s="366"/>
      <c r="G143" s="366"/>
      <c r="H143" s="288" t="s">
        <v>467</v>
      </c>
      <c r="I143" s="288" t="s">
        <v>468</v>
      </c>
      <c r="J143" s="288" t="s">
        <v>134</v>
      </c>
      <c r="K143" s="366"/>
    </row>
    <row r="144" spans="1:11" x14ac:dyDescent="0.25">
      <c r="A144" s="289">
        <v>1</v>
      </c>
      <c r="B144" s="289">
        <v>2</v>
      </c>
      <c r="C144" s="289">
        <v>3</v>
      </c>
      <c r="D144" s="289">
        <v>4</v>
      </c>
      <c r="E144" s="289">
        <v>5</v>
      </c>
      <c r="G144" s="289">
        <v>1</v>
      </c>
      <c r="H144" s="289">
        <v>2</v>
      </c>
      <c r="I144" s="289">
        <v>3</v>
      </c>
      <c r="J144" s="289">
        <v>4</v>
      </c>
      <c r="K144" s="289">
        <v>5</v>
      </c>
    </row>
    <row r="145" spans="1:11" ht="30" x14ac:dyDescent="0.25">
      <c r="A145" s="38" t="s">
        <v>485</v>
      </c>
      <c r="B145" s="291"/>
      <c r="C145" s="291"/>
      <c r="D145" s="291"/>
      <c r="E145" s="299">
        <f>SUM(B145:D145)</f>
        <v>0</v>
      </c>
      <c r="G145" s="38" t="s">
        <v>485</v>
      </c>
      <c r="H145" s="292"/>
      <c r="I145" s="292"/>
      <c r="J145" s="292"/>
      <c r="K145" s="299">
        <f>SUM(H145:J145)</f>
        <v>0</v>
      </c>
    </row>
    <row r="146" spans="1:11" ht="75" x14ac:dyDescent="0.25">
      <c r="A146" s="38" t="s">
        <v>486</v>
      </c>
      <c r="B146" s="291"/>
      <c r="C146" s="291"/>
      <c r="D146" s="291"/>
      <c r="E146" s="299">
        <f t="shared" ref="E146:E148" si="18">SUM(B146:D146)</f>
        <v>0</v>
      </c>
      <c r="G146" s="38" t="s">
        <v>486</v>
      </c>
      <c r="H146" s="292"/>
      <c r="I146" s="292"/>
      <c r="J146" s="292"/>
      <c r="K146" s="299">
        <f t="shared" ref="K146:K148" si="19">SUM(H146:J146)</f>
        <v>0</v>
      </c>
    </row>
    <row r="147" spans="1:11" ht="75" x14ac:dyDescent="0.25">
      <c r="A147" s="38" t="s">
        <v>487</v>
      </c>
      <c r="B147" s="291"/>
      <c r="C147" s="291"/>
      <c r="D147" s="291"/>
      <c r="E147" s="299">
        <f t="shared" si="18"/>
        <v>0</v>
      </c>
      <c r="G147" s="38" t="s">
        <v>487</v>
      </c>
      <c r="H147" s="292"/>
      <c r="I147" s="292"/>
      <c r="J147" s="292"/>
      <c r="K147" s="299">
        <f t="shared" si="19"/>
        <v>0</v>
      </c>
    </row>
    <row r="148" spans="1:11" ht="30" x14ac:dyDescent="0.25">
      <c r="A148" s="38" t="s">
        <v>488</v>
      </c>
      <c r="B148" s="291"/>
      <c r="C148" s="291"/>
      <c r="D148" s="291"/>
      <c r="E148" s="299">
        <f t="shared" si="18"/>
        <v>0</v>
      </c>
      <c r="G148" s="38" t="s">
        <v>488</v>
      </c>
      <c r="H148" s="292"/>
      <c r="I148" s="292"/>
      <c r="J148" s="292"/>
      <c r="K148" s="299">
        <f t="shared" si="19"/>
        <v>0</v>
      </c>
    </row>
    <row r="150" spans="1:11" hidden="1" x14ac:dyDescent="0.25"/>
    <row r="151" spans="1:11" ht="30" hidden="1" customHeight="1" x14ac:dyDescent="0.25">
      <c r="A151" s="373" t="s">
        <v>253</v>
      </c>
      <c r="B151" s="373"/>
      <c r="C151" s="27" t="s">
        <v>951</v>
      </c>
    </row>
    <row r="152" spans="1:11" hidden="1" x14ac:dyDescent="0.25">
      <c r="A152" s="275" t="s">
        <v>166</v>
      </c>
      <c r="B152" s="275" t="s">
        <v>135</v>
      </c>
    </row>
    <row r="153" spans="1:11" ht="60" hidden="1" x14ac:dyDescent="0.25">
      <c r="A153" s="47" t="s">
        <v>256</v>
      </c>
      <c r="B153" s="312"/>
    </row>
    <row r="154" spans="1:11" ht="30" hidden="1" x14ac:dyDescent="0.25">
      <c r="A154" s="47" t="s">
        <v>257</v>
      </c>
      <c r="B154" s="312"/>
    </row>
    <row r="155" spans="1:11" hidden="1" x14ac:dyDescent="0.25">
      <c r="A155" s="317"/>
      <c r="B155" s="318"/>
    </row>
    <row r="156" spans="1:11" ht="30" customHeight="1" x14ac:dyDescent="0.25">
      <c r="A156" s="373" t="s">
        <v>1042</v>
      </c>
      <c r="B156" s="373"/>
      <c r="D156" s="372" t="s">
        <v>1126</v>
      </c>
      <c r="E156" s="372"/>
    </row>
    <row r="157" spans="1:11" x14ac:dyDescent="0.25">
      <c r="A157" s="275" t="s">
        <v>166</v>
      </c>
      <c r="B157" s="275" t="s">
        <v>135</v>
      </c>
      <c r="C157" s="107"/>
      <c r="D157" s="275" t="s">
        <v>166</v>
      </c>
      <c r="E157" s="275" t="s">
        <v>135</v>
      </c>
    </row>
    <row r="158" spans="1:11" ht="60" x14ac:dyDescent="0.25">
      <c r="A158" s="47" t="s">
        <v>990</v>
      </c>
      <c r="B158" s="312"/>
      <c r="D158" s="47" t="s">
        <v>990</v>
      </c>
      <c r="E158" s="313"/>
    </row>
    <row r="159" spans="1:11" x14ac:dyDescent="0.25">
      <c r="A159" s="47" t="s">
        <v>989</v>
      </c>
      <c r="B159" s="312"/>
      <c r="D159" s="47" t="s">
        <v>989</v>
      </c>
      <c r="E159" s="313"/>
    </row>
    <row r="161" spans="1:5" ht="30" customHeight="1" x14ac:dyDescent="0.25">
      <c r="A161" s="373" t="s">
        <v>1043</v>
      </c>
      <c r="B161" s="373"/>
      <c r="D161" s="372" t="s">
        <v>1126</v>
      </c>
      <c r="E161" s="372"/>
    </row>
    <row r="162" spans="1:5" x14ac:dyDescent="0.25">
      <c r="A162" s="275" t="s">
        <v>166</v>
      </c>
      <c r="B162" s="275" t="s">
        <v>421</v>
      </c>
      <c r="D162" s="275" t="s">
        <v>166</v>
      </c>
      <c r="E162" s="275" t="s">
        <v>421</v>
      </c>
    </row>
    <row r="163" spans="1:5" x14ac:dyDescent="0.25">
      <c r="A163" s="319" t="s">
        <v>281</v>
      </c>
      <c r="B163" s="319"/>
      <c r="D163" s="319" t="s">
        <v>281</v>
      </c>
      <c r="E163" s="319"/>
    </row>
    <row r="164" spans="1:5" x14ac:dyDescent="0.25">
      <c r="A164" s="320" t="s">
        <v>271</v>
      </c>
      <c r="B164" s="321"/>
      <c r="D164" s="320" t="s">
        <v>271</v>
      </c>
      <c r="E164" s="322"/>
    </row>
    <row r="165" spans="1:5" x14ac:dyDescent="0.25">
      <c r="A165" s="320" t="s">
        <v>272</v>
      </c>
      <c r="B165" s="321"/>
      <c r="D165" s="320" t="s">
        <v>272</v>
      </c>
      <c r="E165" s="322"/>
    </row>
    <row r="166" spans="1:5" x14ac:dyDescent="0.25">
      <c r="A166" s="320" t="s">
        <v>273</v>
      </c>
      <c r="B166" s="321"/>
      <c r="D166" s="320" t="s">
        <v>273</v>
      </c>
      <c r="E166" s="322"/>
    </row>
    <row r="167" spans="1:5" x14ac:dyDescent="0.25">
      <c r="A167" s="320" t="s">
        <v>274</v>
      </c>
      <c r="B167" s="321"/>
      <c r="D167" s="320" t="s">
        <v>274</v>
      </c>
      <c r="E167" s="322"/>
    </row>
    <row r="168" spans="1:5" ht="18" x14ac:dyDescent="0.25">
      <c r="A168" s="323" t="s">
        <v>275</v>
      </c>
      <c r="B168" s="93">
        <f>IF((4*B164+3*B165+2*B166+B167)/4&gt;100%,0,(4*B164+3*B165+2*B166+B167)/4)</f>
        <v>0</v>
      </c>
      <c r="D168" s="323" t="s">
        <v>275</v>
      </c>
      <c r="E168" s="93">
        <f>IF((4*E164+3*E165+2*E166+E167)/4&gt;100%,0,(4*E164+3*E165+2*E166+E167)/4)</f>
        <v>0</v>
      </c>
    </row>
    <row r="169" spans="1:5" x14ac:dyDescent="0.25">
      <c r="A169" s="319" t="s">
        <v>282</v>
      </c>
      <c r="B169" s="319"/>
      <c r="D169" s="319" t="s">
        <v>282</v>
      </c>
      <c r="E169" s="319"/>
    </row>
    <row r="170" spans="1:5" x14ac:dyDescent="0.25">
      <c r="A170" s="320" t="s">
        <v>271</v>
      </c>
      <c r="B170" s="321"/>
      <c r="D170" s="320" t="s">
        <v>271</v>
      </c>
      <c r="E170" s="322"/>
    </row>
    <row r="171" spans="1:5" x14ac:dyDescent="0.25">
      <c r="A171" s="320" t="s">
        <v>272</v>
      </c>
      <c r="B171" s="321"/>
      <c r="D171" s="320" t="s">
        <v>272</v>
      </c>
      <c r="E171" s="322"/>
    </row>
    <row r="172" spans="1:5" x14ac:dyDescent="0.25">
      <c r="A172" s="320" t="s">
        <v>273</v>
      </c>
      <c r="B172" s="321"/>
      <c r="D172" s="320" t="s">
        <v>273</v>
      </c>
      <c r="E172" s="322"/>
    </row>
    <row r="173" spans="1:5" x14ac:dyDescent="0.25">
      <c r="A173" s="320" t="s">
        <v>274</v>
      </c>
      <c r="B173" s="321"/>
      <c r="D173" s="320" t="s">
        <v>274</v>
      </c>
      <c r="E173" s="322"/>
    </row>
    <row r="174" spans="1:5" ht="18" x14ac:dyDescent="0.25">
      <c r="A174" s="323" t="s">
        <v>276</v>
      </c>
      <c r="B174" s="93">
        <f>IF((4*B170+3*B171+2*B172+B173)/4&gt;100%,0,(4*B170+3*B171+2*B172+B173)/4)</f>
        <v>0</v>
      </c>
      <c r="D174" s="323" t="s">
        <v>276</v>
      </c>
      <c r="E174" s="93">
        <f>IF((4*E170+3*E171+2*E172+E173)/4&gt;100%,0,(4*E170+3*E171+2*E172+E173)/4)</f>
        <v>0</v>
      </c>
    </row>
    <row r="175" spans="1:5" x14ac:dyDescent="0.25">
      <c r="A175" s="319" t="s">
        <v>283</v>
      </c>
      <c r="B175" s="319"/>
      <c r="D175" s="319" t="s">
        <v>283</v>
      </c>
      <c r="E175" s="319"/>
    </row>
    <row r="176" spans="1:5" x14ac:dyDescent="0.25">
      <c r="A176" s="320" t="s">
        <v>271</v>
      </c>
      <c r="B176" s="321"/>
      <c r="D176" s="320" t="s">
        <v>271</v>
      </c>
      <c r="E176" s="322"/>
    </row>
    <row r="177" spans="1:5" x14ac:dyDescent="0.25">
      <c r="A177" s="320" t="s">
        <v>272</v>
      </c>
      <c r="B177" s="321"/>
      <c r="D177" s="320" t="s">
        <v>272</v>
      </c>
      <c r="E177" s="322"/>
    </row>
    <row r="178" spans="1:5" x14ac:dyDescent="0.25">
      <c r="A178" s="320" t="s">
        <v>273</v>
      </c>
      <c r="B178" s="321"/>
      <c r="D178" s="320" t="s">
        <v>273</v>
      </c>
      <c r="E178" s="322"/>
    </row>
    <row r="179" spans="1:5" x14ac:dyDescent="0.25">
      <c r="A179" s="320" t="s">
        <v>274</v>
      </c>
      <c r="B179" s="321"/>
      <c r="D179" s="320" t="s">
        <v>274</v>
      </c>
      <c r="E179" s="322"/>
    </row>
    <row r="180" spans="1:5" ht="18" x14ac:dyDescent="0.25">
      <c r="A180" s="323" t="s">
        <v>277</v>
      </c>
      <c r="B180" s="93">
        <f>IF((4*B176+3*B177+2*B178+B179)/4&gt;100%,0,(4*B176+3*B177+2*B178+B179)/4)</f>
        <v>0</v>
      </c>
      <c r="D180" s="323" t="s">
        <v>277</v>
      </c>
      <c r="E180" s="93">
        <f>IF((4*E176+3*E177+2*E178+E179)/4&gt;100%,0,(4*E176+3*E177+2*E178+E179)/4)</f>
        <v>0</v>
      </c>
    </row>
    <row r="181" spans="1:5" x14ac:dyDescent="0.25">
      <c r="A181" s="319" t="s">
        <v>284</v>
      </c>
      <c r="B181" s="319"/>
      <c r="D181" s="319" t="s">
        <v>284</v>
      </c>
      <c r="E181" s="319"/>
    </row>
    <row r="182" spans="1:5" x14ac:dyDescent="0.25">
      <c r="A182" s="320" t="s">
        <v>271</v>
      </c>
      <c r="B182" s="321"/>
      <c r="D182" s="320" t="s">
        <v>271</v>
      </c>
      <c r="E182" s="322"/>
    </row>
    <row r="183" spans="1:5" x14ac:dyDescent="0.25">
      <c r="A183" s="320" t="s">
        <v>272</v>
      </c>
      <c r="B183" s="321"/>
      <c r="D183" s="320" t="s">
        <v>272</v>
      </c>
      <c r="E183" s="322"/>
    </row>
    <row r="184" spans="1:5" x14ac:dyDescent="0.25">
      <c r="A184" s="320" t="s">
        <v>273</v>
      </c>
      <c r="B184" s="321"/>
      <c r="D184" s="320" t="s">
        <v>273</v>
      </c>
      <c r="E184" s="322"/>
    </row>
    <row r="185" spans="1:5" x14ac:dyDescent="0.25">
      <c r="A185" s="320" t="s">
        <v>274</v>
      </c>
      <c r="B185" s="321"/>
      <c r="D185" s="320" t="s">
        <v>274</v>
      </c>
      <c r="E185" s="322"/>
    </row>
    <row r="186" spans="1:5" ht="18" x14ac:dyDescent="0.25">
      <c r="A186" s="323" t="s">
        <v>278</v>
      </c>
      <c r="B186" s="93">
        <f>IF((4*B182+3*B183+2*B184+B185)/4&gt;100%,0,(4*B182+3*B183+2*B184+B185)/4)</f>
        <v>0</v>
      </c>
      <c r="D186" s="323" t="s">
        <v>278</v>
      </c>
      <c r="E186" s="93">
        <f>IF((4*E182+3*E183+2*E184+E185)/4&gt;100%,0,(4*E182+3*E183+2*E184+E185)/4)</f>
        <v>0</v>
      </c>
    </row>
    <row r="187" spans="1:5" x14ac:dyDescent="0.25">
      <c r="A187" s="319" t="s">
        <v>279</v>
      </c>
      <c r="B187" s="319"/>
      <c r="D187" s="319" t="s">
        <v>279</v>
      </c>
      <c r="E187" s="319"/>
    </row>
    <row r="188" spans="1:5" x14ac:dyDescent="0.25">
      <c r="A188" s="320" t="s">
        <v>271</v>
      </c>
      <c r="B188" s="321"/>
      <c r="D188" s="320" t="s">
        <v>271</v>
      </c>
      <c r="E188" s="322"/>
    </row>
    <row r="189" spans="1:5" x14ac:dyDescent="0.25">
      <c r="A189" s="320" t="s">
        <v>272</v>
      </c>
      <c r="B189" s="321"/>
      <c r="D189" s="320" t="s">
        <v>272</v>
      </c>
      <c r="E189" s="322"/>
    </row>
    <row r="190" spans="1:5" x14ac:dyDescent="0.25">
      <c r="A190" s="320" t="s">
        <v>273</v>
      </c>
      <c r="B190" s="321"/>
      <c r="D190" s="320" t="s">
        <v>273</v>
      </c>
      <c r="E190" s="322"/>
    </row>
    <row r="191" spans="1:5" x14ac:dyDescent="0.25">
      <c r="A191" s="320" t="s">
        <v>274</v>
      </c>
      <c r="B191" s="321"/>
      <c r="D191" s="320" t="s">
        <v>274</v>
      </c>
      <c r="E191" s="322"/>
    </row>
    <row r="192" spans="1:5" ht="18" x14ac:dyDescent="0.25">
      <c r="A192" s="323" t="s">
        <v>280</v>
      </c>
      <c r="B192" s="93">
        <f>IF((4*B188+3*B189+2*B190+B191)/4&gt;100%,0,(4*B188+3*B189+2*B190+B191)/4)</f>
        <v>0</v>
      </c>
      <c r="D192" s="323" t="s">
        <v>280</v>
      </c>
      <c r="E192" s="93">
        <f>IF((4*E188+3*E189+2*E190+E191)/4&gt;100%,0,(4*E188+3*E189+2*E190+E191)/4)</f>
        <v>0</v>
      </c>
    </row>
    <row r="194" spans="1:7" ht="30" customHeight="1" x14ac:dyDescent="0.25">
      <c r="A194" s="373" t="s">
        <v>1044</v>
      </c>
      <c r="B194" s="373"/>
      <c r="C194" s="308" t="s">
        <v>950</v>
      </c>
      <c r="D194" s="372" t="s">
        <v>1126</v>
      </c>
      <c r="E194" s="372"/>
    </row>
    <row r="195" spans="1:7" x14ac:dyDescent="0.25">
      <c r="A195" s="275" t="s">
        <v>166</v>
      </c>
      <c r="B195" s="275" t="s">
        <v>135</v>
      </c>
      <c r="D195" s="275" t="s">
        <v>166</v>
      </c>
      <c r="E195" s="275" t="s">
        <v>135</v>
      </c>
    </row>
    <row r="196" spans="1:7" ht="75" x14ac:dyDescent="0.25">
      <c r="A196" s="38" t="s">
        <v>306</v>
      </c>
      <c r="B196" s="312"/>
      <c r="D196" s="38" t="s">
        <v>306</v>
      </c>
      <c r="E196" s="313"/>
    </row>
    <row r="197" spans="1:7" ht="30" x14ac:dyDescent="0.25">
      <c r="A197" s="38" t="s">
        <v>307</v>
      </c>
      <c r="B197" s="312"/>
      <c r="D197" s="38" t="s">
        <v>307</v>
      </c>
      <c r="E197" s="313"/>
    </row>
    <row r="198" spans="1:7" x14ac:dyDescent="0.25">
      <c r="A198" s="317"/>
      <c r="B198" s="318"/>
      <c r="D198" s="317"/>
      <c r="E198" s="318"/>
    </row>
    <row r="199" spans="1:7" ht="30" customHeight="1" x14ac:dyDescent="0.25">
      <c r="A199" s="373" t="s">
        <v>1045</v>
      </c>
      <c r="B199" s="373"/>
      <c r="C199" s="308" t="s">
        <v>953</v>
      </c>
      <c r="D199" s="372" t="s">
        <v>1126</v>
      </c>
      <c r="E199" s="372"/>
    </row>
    <row r="200" spans="1:7" ht="75" x14ac:dyDescent="0.25">
      <c r="A200" s="38" t="s">
        <v>920</v>
      </c>
      <c r="B200" s="312"/>
      <c r="D200" s="38" t="s">
        <v>920</v>
      </c>
      <c r="E200" s="313"/>
    </row>
    <row r="201" spans="1:7" x14ac:dyDescent="0.25">
      <c r="A201" s="317"/>
      <c r="B201" s="318"/>
    </row>
    <row r="202" spans="1:7" hidden="1" x14ac:dyDescent="0.25">
      <c r="A202" s="373" t="s">
        <v>952</v>
      </c>
      <c r="B202" s="373"/>
      <c r="C202" s="27" t="s">
        <v>951</v>
      </c>
    </row>
    <row r="203" spans="1:7" ht="45" hidden="1" x14ac:dyDescent="0.25">
      <c r="A203" s="47" t="s">
        <v>308</v>
      </c>
      <c r="B203" s="312"/>
    </row>
    <row r="204" spans="1:7" ht="45" hidden="1" x14ac:dyDescent="0.25">
      <c r="A204" s="47" t="s">
        <v>309</v>
      </c>
      <c r="B204" s="312"/>
    </row>
    <row r="205" spans="1:7" hidden="1" x14ac:dyDescent="0.25"/>
    <row r="206" spans="1:7" x14ac:dyDescent="0.25">
      <c r="A206" s="373" t="s">
        <v>1046</v>
      </c>
      <c r="B206" s="373"/>
      <c r="C206" s="373"/>
      <c r="E206" s="373" t="s">
        <v>1126</v>
      </c>
      <c r="F206" s="373"/>
      <c r="G206" s="373"/>
    </row>
    <row r="207" spans="1:7" ht="30" x14ac:dyDescent="0.25">
      <c r="A207" s="288" t="s">
        <v>122</v>
      </c>
      <c r="B207" s="288" t="s">
        <v>311</v>
      </c>
      <c r="C207" s="288" t="s">
        <v>312</v>
      </c>
      <c r="E207" s="288" t="s">
        <v>122</v>
      </c>
      <c r="F207" s="288" t="s">
        <v>311</v>
      </c>
      <c r="G207" s="288" t="s">
        <v>312</v>
      </c>
    </row>
    <row r="208" spans="1:7" x14ac:dyDescent="0.25">
      <c r="A208" s="289">
        <v>1</v>
      </c>
      <c r="B208" s="289"/>
      <c r="C208" s="289">
        <v>3</v>
      </c>
      <c r="E208" s="289">
        <v>1</v>
      </c>
      <c r="F208" s="289">
        <v>2</v>
      </c>
      <c r="G208" s="289">
        <v>3</v>
      </c>
    </row>
    <row r="209" spans="1:9" x14ac:dyDescent="0.25">
      <c r="A209" s="290" t="s">
        <v>132</v>
      </c>
      <c r="B209" s="291"/>
      <c r="C209" s="324"/>
      <c r="E209" s="290" t="s">
        <v>132</v>
      </c>
      <c r="F209" s="292"/>
      <c r="G209" s="325"/>
    </row>
    <row r="210" spans="1:9" x14ac:dyDescent="0.25">
      <c r="A210" s="290" t="s">
        <v>133</v>
      </c>
      <c r="B210" s="291"/>
      <c r="C210" s="324"/>
      <c r="E210" s="290" t="s">
        <v>133</v>
      </c>
      <c r="F210" s="292"/>
      <c r="G210" s="325"/>
    </row>
    <row r="211" spans="1:9" x14ac:dyDescent="0.25">
      <c r="A211" s="290" t="s">
        <v>134</v>
      </c>
      <c r="B211" s="291"/>
      <c r="C211" s="324"/>
      <c r="E211" s="290" t="s">
        <v>134</v>
      </c>
      <c r="F211" s="292"/>
      <c r="G211" s="325"/>
    </row>
    <row r="213" spans="1:9" x14ac:dyDescent="0.25">
      <c r="A213" s="398" t="s">
        <v>1047</v>
      </c>
      <c r="B213" s="398"/>
      <c r="C213" s="398"/>
      <c r="D213" s="398"/>
      <c r="F213" s="398" t="s">
        <v>1126</v>
      </c>
      <c r="G213" s="398"/>
      <c r="H213" s="398"/>
      <c r="I213" s="398"/>
    </row>
    <row r="214" spans="1:9" x14ac:dyDescent="0.25">
      <c r="A214" s="365" t="s">
        <v>122</v>
      </c>
      <c r="B214" s="368" t="s">
        <v>329</v>
      </c>
      <c r="C214" s="369"/>
      <c r="D214" s="370"/>
      <c r="F214" s="365" t="s">
        <v>122</v>
      </c>
      <c r="G214" s="368" t="s">
        <v>329</v>
      </c>
      <c r="H214" s="369"/>
      <c r="I214" s="370"/>
    </row>
    <row r="215" spans="1:9" x14ac:dyDescent="0.25">
      <c r="A215" s="366"/>
      <c r="B215" s="288" t="s">
        <v>162</v>
      </c>
      <c r="C215" s="288" t="s">
        <v>161</v>
      </c>
      <c r="D215" s="288" t="s">
        <v>160</v>
      </c>
      <c r="F215" s="366"/>
      <c r="G215" s="288" t="s">
        <v>162</v>
      </c>
      <c r="H215" s="288" t="s">
        <v>161</v>
      </c>
      <c r="I215" s="288" t="s">
        <v>160</v>
      </c>
    </row>
    <row r="216" spans="1:9" x14ac:dyDescent="0.25">
      <c r="A216" s="289">
        <v>1</v>
      </c>
      <c r="B216" s="289">
        <v>2</v>
      </c>
      <c r="C216" s="289">
        <v>3</v>
      </c>
      <c r="D216" s="289">
        <v>3</v>
      </c>
      <c r="F216" s="289">
        <v>1</v>
      </c>
      <c r="G216" s="289">
        <v>2</v>
      </c>
      <c r="H216" s="289">
        <v>3</v>
      </c>
      <c r="I216" s="289">
        <v>3</v>
      </c>
    </row>
    <row r="217" spans="1:9" x14ac:dyDescent="0.25">
      <c r="A217" s="290" t="s">
        <v>132</v>
      </c>
      <c r="B217" s="324"/>
      <c r="C217" s="324"/>
      <c r="D217" s="324"/>
      <c r="F217" s="290" t="s">
        <v>132</v>
      </c>
      <c r="G217" s="325"/>
      <c r="H217" s="325"/>
      <c r="I217" s="325"/>
    </row>
    <row r="218" spans="1:9" x14ac:dyDescent="0.25">
      <c r="A218" s="290" t="s">
        <v>133</v>
      </c>
      <c r="B218" s="324"/>
      <c r="C218" s="324"/>
      <c r="D218" s="324"/>
      <c r="F218" s="290" t="s">
        <v>133</v>
      </c>
      <c r="G218" s="325"/>
      <c r="H218" s="325"/>
      <c r="I218" s="325"/>
    </row>
    <row r="219" spans="1:9" x14ac:dyDescent="0.25">
      <c r="A219" s="290" t="s">
        <v>134</v>
      </c>
      <c r="B219" s="324"/>
      <c r="C219" s="324"/>
      <c r="D219" s="324"/>
      <c r="F219" s="290" t="s">
        <v>134</v>
      </c>
      <c r="G219" s="325"/>
      <c r="H219" s="325"/>
      <c r="I219" s="325"/>
    </row>
    <row r="220" spans="1:9" x14ac:dyDescent="0.25">
      <c r="A220" s="300" t="s">
        <v>135</v>
      </c>
      <c r="B220" s="326">
        <f>SUM(B217:B219)</f>
        <v>0</v>
      </c>
      <c r="C220" s="326">
        <f t="shared" ref="C220:D220" si="20">SUM(C217:C219)</f>
        <v>0</v>
      </c>
      <c r="D220" s="326">
        <f t="shared" si="20"/>
        <v>0</v>
      </c>
      <c r="F220" s="300" t="s">
        <v>135</v>
      </c>
      <c r="G220" s="326">
        <f>SUM(G217:G219)</f>
        <v>0</v>
      </c>
      <c r="H220" s="326">
        <f t="shared" ref="H220:I220" si="21">SUM(H217:H219)</f>
        <v>0</v>
      </c>
      <c r="I220" s="326">
        <f t="shared" si="21"/>
        <v>0</v>
      </c>
    </row>
    <row r="222" spans="1:9" hidden="1" x14ac:dyDescent="0.25">
      <c r="A222" s="398" t="s">
        <v>928</v>
      </c>
      <c r="B222" s="398"/>
      <c r="C222" s="398"/>
      <c r="D222" s="398"/>
      <c r="E222" s="27" t="s">
        <v>951</v>
      </c>
    </row>
    <row r="223" spans="1:9" ht="15" hidden="1" customHeight="1" x14ac:dyDescent="0.25">
      <c r="A223" s="365" t="s">
        <v>122</v>
      </c>
      <c r="B223" s="368" t="s">
        <v>330</v>
      </c>
      <c r="C223" s="369"/>
      <c r="D223" s="370"/>
    </row>
    <row r="224" spans="1:9" hidden="1" x14ac:dyDescent="0.25">
      <c r="A224" s="366"/>
      <c r="B224" s="288" t="s">
        <v>162</v>
      </c>
      <c r="C224" s="288" t="s">
        <v>161</v>
      </c>
      <c r="D224" s="288" t="s">
        <v>160</v>
      </c>
    </row>
    <row r="225" spans="1:23" hidden="1" x14ac:dyDescent="0.25">
      <c r="A225" s="289">
        <v>1</v>
      </c>
      <c r="B225" s="289">
        <v>2</v>
      </c>
      <c r="C225" s="289">
        <v>3</v>
      </c>
      <c r="D225" s="289">
        <v>3</v>
      </c>
    </row>
    <row r="226" spans="1:23" hidden="1" x14ac:dyDescent="0.25">
      <c r="A226" s="290" t="s">
        <v>132</v>
      </c>
      <c r="B226" s="324"/>
      <c r="C226" s="324"/>
      <c r="D226" s="324"/>
    </row>
    <row r="227" spans="1:23" hidden="1" x14ac:dyDescent="0.25">
      <c r="A227" s="290" t="s">
        <v>133</v>
      </c>
      <c r="B227" s="324"/>
      <c r="C227" s="324"/>
      <c r="D227" s="324"/>
    </row>
    <row r="228" spans="1:23" hidden="1" x14ac:dyDescent="0.25">
      <c r="A228" s="290" t="s">
        <v>134</v>
      </c>
      <c r="B228" s="324"/>
      <c r="C228" s="324"/>
      <c r="D228" s="324"/>
    </row>
    <row r="229" spans="1:23" hidden="1" x14ac:dyDescent="0.25">
      <c r="A229" s="300" t="s">
        <v>135</v>
      </c>
      <c r="B229" s="326">
        <f>SUM(B226:B228)</f>
        <v>0</v>
      </c>
      <c r="C229" s="326">
        <f t="shared" ref="C229" si="22">SUM(C226:C228)</f>
        <v>0</v>
      </c>
      <c r="D229" s="326">
        <f t="shared" ref="D229" si="23">SUM(D226:D228)</f>
        <v>0</v>
      </c>
    </row>
    <row r="230" spans="1:23" hidden="1" x14ac:dyDescent="0.25"/>
    <row r="231" spans="1:23" x14ac:dyDescent="0.25">
      <c r="A231" s="367" t="s">
        <v>1048</v>
      </c>
      <c r="B231" s="367"/>
      <c r="C231" s="367"/>
      <c r="D231" s="367"/>
      <c r="E231" s="367"/>
      <c r="F231" s="367"/>
      <c r="G231" s="367"/>
      <c r="H231" s="367"/>
      <c r="I231" s="367"/>
      <c r="J231" s="367"/>
      <c r="K231" s="367"/>
      <c r="M231" s="367" t="s">
        <v>1126</v>
      </c>
      <c r="N231" s="367"/>
      <c r="O231" s="367"/>
      <c r="P231" s="367"/>
      <c r="Q231" s="367"/>
      <c r="R231" s="367"/>
      <c r="S231" s="367"/>
      <c r="T231" s="367"/>
      <c r="U231" s="367"/>
      <c r="V231" s="367"/>
      <c r="W231" s="367"/>
    </row>
    <row r="232" spans="1:23" ht="30" customHeight="1" x14ac:dyDescent="0.25">
      <c r="A232" s="371" t="s">
        <v>335</v>
      </c>
      <c r="B232" s="371" t="s">
        <v>336</v>
      </c>
      <c r="C232" s="368" t="s">
        <v>346</v>
      </c>
      <c r="D232" s="369"/>
      <c r="E232" s="369"/>
      <c r="F232" s="369"/>
      <c r="G232" s="369"/>
      <c r="H232" s="369"/>
      <c r="I232" s="370"/>
      <c r="J232" s="371" t="s">
        <v>344</v>
      </c>
      <c r="K232" s="371" t="s">
        <v>345</v>
      </c>
      <c r="M232" s="371" t="s">
        <v>335</v>
      </c>
      <c r="N232" s="371" t="s">
        <v>336</v>
      </c>
      <c r="O232" s="368" t="s">
        <v>346</v>
      </c>
      <c r="P232" s="369"/>
      <c r="Q232" s="369"/>
      <c r="R232" s="369"/>
      <c r="S232" s="369"/>
      <c r="T232" s="369"/>
      <c r="U232" s="370"/>
      <c r="V232" s="371" t="s">
        <v>344</v>
      </c>
      <c r="W232" s="371" t="s">
        <v>345</v>
      </c>
    </row>
    <row r="233" spans="1:23" ht="30" customHeight="1" x14ac:dyDescent="0.25">
      <c r="A233" s="371"/>
      <c r="B233" s="371"/>
      <c r="C233" s="288" t="s">
        <v>337</v>
      </c>
      <c r="D233" s="288" t="s">
        <v>338</v>
      </c>
      <c r="E233" s="288" t="s">
        <v>339</v>
      </c>
      <c r="F233" s="288" t="s">
        <v>340</v>
      </c>
      <c r="G233" s="288" t="s">
        <v>341</v>
      </c>
      <c r="H233" s="288" t="s">
        <v>342</v>
      </c>
      <c r="I233" s="288" t="s">
        <v>343</v>
      </c>
      <c r="J233" s="371"/>
      <c r="K233" s="371"/>
      <c r="M233" s="371"/>
      <c r="N233" s="371"/>
      <c r="O233" s="288" t="s">
        <v>337</v>
      </c>
      <c r="P233" s="288" t="s">
        <v>338</v>
      </c>
      <c r="Q233" s="288" t="s">
        <v>339</v>
      </c>
      <c r="R233" s="288" t="s">
        <v>340</v>
      </c>
      <c r="S233" s="288" t="s">
        <v>341</v>
      </c>
      <c r="T233" s="288" t="s">
        <v>342</v>
      </c>
      <c r="U233" s="288" t="s">
        <v>343</v>
      </c>
      <c r="V233" s="371"/>
      <c r="W233" s="371"/>
    </row>
    <row r="234" spans="1:23" x14ac:dyDescent="0.25">
      <c r="A234" s="289">
        <v>1</v>
      </c>
      <c r="B234" s="289">
        <v>2</v>
      </c>
      <c r="C234" s="289">
        <v>3</v>
      </c>
      <c r="D234" s="289">
        <v>4</v>
      </c>
      <c r="E234" s="289">
        <v>5</v>
      </c>
      <c r="F234" s="289">
        <v>6</v>
      </c>
      <c r="G234" s="289">
        <v>7</v>
      </c>
      <c r="H234" s="289">
        <v>8</v>
      </c>
      <c r="I234" s="289">
        <v>9</v>
      </c>
      <c r="J234" s="289">
        <v>10</v>
      </c>
      <c r="K234" s="289">
        <v>11</v>
      </c>
      <c r="M234" s="289">
        <v>1</v>
      </c>
      <c r="N234" s="289">
        <v>2</v>
      </c>
      <c r="O234" s="289">
        <v>3</v>
      </c>
      <c r="P234" s="289">
        <v>4</v>
      </c>
      <c r="Q234" s="289">
        <v>5</v>
      </c>
      <c r="R234" s="289">
        <v>6</v>
      </c>
      <c r="S234" s="289">
        <v>7</v>
      </c>
      <c r="T234" s="289">
        <v>8</v>
      </c>
      <c r="U234" s="289">
        <v>9</v>
      </c>
      <c r="V234" s="289">
        <v>10</v>
      </c>
      <c r="W234" s="289">
        <v>11</v>
      </c>
    </row>
    <row r="235" spans="1:23" x14ac:dyDescent="0.25">
      <c r="A235" s="290" t="s">
        <v>131</v>
      </c>
      <c r="B235" s="291"/>
      <c r="C235" s="327"/>
      <c r="D235" s="327"/>
      <c r="E235" s="327"/>
      <c r="F235" s="327"/>
      <c r="G235" s="291"/>
      <c r="H235" s="291"/>
      <c r="I235" s="291"/>
      <c r="J235" s="299">
        <f>SUM(F235:I235)</f>
        <v>0</v>
      </c>
      <c r="K235" s="324"/>
      <c r="M235" s="290" t="s">
        <v>131</v>
      </c>
      <c r="N235" s="292"/>
      <c r="O235" s="327"/>
      <c r="P235" s="327"/>
      <c r="Q235" s="327"/>
      <c r="R235" s="327"/>
      <c r="S235" s="292"/>
      <c r="T235" s="292"/>
      <c r="U235" s="292"/>
      <c r="V235" s="299">
        <f>SUM(R235:U235)</f>
        <v>0</v>
      </c>
      <c r="W235" s="325"/>
    </row>
    <row r="236" spans="1:23" x14ac:dyDescent="0.25">
      <c r="A236" s="290" t="s">
        <v>132</v>
      </c>
      <c r="B236" s="291"/>
      <c r="C236" s="327"/>
      <c r="D236" s="327"/>
      <c r="E236" s="327"/>
      <c r="F236" s="327"/>
      <c r="G236" s="327"/>
      <c r="H236" s="291"/>
      <c r="I236" s="291"/>
      <c r="J236" s="299">
        <f>SUM(H236:I236)</f>
        <v>0</v>
      </c>
      <c r="K236" s="324"/>
      <c r="M236" s="290" t="s">
        <v>132</v>
      </c>
      <c r="N236" s="292"/>
      <c r="O236" s="327"/>
      <c r="P236" s="327"/>
      <c r="Q236" s="327"/>
      <c r="R236" s="327"/>
      <c r="S236" s="327"/>
      <c r="T236" s="292"/>
      <c r="U236" s="292"/>
      <c r="V236" s="299">
        <f>SUM(T236:U236)</f>
        <v>0</v>
      </c>
      <c r="W236" s="325"/>
    </row>
    <row r="237" spans="1:23" x14ac:dyDescent="0.25">
      <c r="A237" s="290" t="s">
        <v>133</v>
      </c>
      <c r="B237" s="291"/>
      <c r="C237" s="327"/>
      <c r="D237" s="327"/>
      <c r="E237" s="327"/>
      <c r="F237" s="327"/>
      <c r="G237" s="327"/>
      <c r="H237" s="327"/>
      <c r="I237" s="291"/>
      <c r="J237" s="299">
        <f>SUM(I237)</f>
        <v>0</v>
      </c>
      <c r="K237" s="324"/>
      <c r="M237" s="290" t="s">
        <v>133</v>
      </c>
      <c r="N237" s="292"/>
      <c r="O237" s="327"/>
      <c r="P237" s="327"/>
      <c r="Q237" s="327"/>
      <c r="R237" s="327"/>
      <c r="S237" s="327"/>
      <c r="T237" s="327"/>
      <c r="U237" s="292"/>
      <c r="V237" s="299">
        <f>SUM(U237)</f>
        <v>0</v>
      </c>
      <c r="W237" s="325"/>
    </row>
    <row r="238" spans="1:23" x14ac:dyDescent="0.25">
      <c r="A238" s="300" t="s">
        <v>135</v>
      </c>
      <c r="B238" s="293">
        <f>SUM(B235:B237)</f>
        <v>0</v>
      </c>
      <c r="C238" s="327"/>
      <c r="D238" s="327"/>
      <c r="E238" s="327"/>
      <c r="F238" s="327"/>
      <c r="G238" s="293">
        <f>SUM(G235:G237)</f>
        <v>0</v>
      </c>
      <c r="H238" s="293">
        <f>SUM(H235:H237)</f>
        <v>0</v>
      </c>
      <c r="I238" s="293">
        <f>SUM(I235:I237)</f>
        <v>0</v>
      </c>
      <c r="J238" s="293">
        <f>SUM(J235:J237)</f>
        <v>0</v>
      </c>
      <c r="K238" s="293"/>
      <c r="M238" s="300" t="s">
        <v>135</v>
      </c>
      <c r="N238" s="293">
        <f>SUM(N235:N237)</f>
        <v>0</v>
      </c>
      <c r="O238" s="327"/>
      <c r="P238" s="327"/>
      <c r="Q238" s="327"/>
      <c r="R238" s="327"/>
      <c r="S238" s="293">
        <f>SUM(S235:S237)</f>
        <v>0</v>
      </c>
      <c r="T238" s="293">
        <f>SUM(T235:T237)</f>
        <v>0</v>
      </c>
      <c r="U238" s="293">
        <f>SUM(U235:U237)</f>
        <v>0</v>
      </c>
      <c r="V238" s="293">
        <f>SUM(V235:V237)</f>
        <v>0</v>
      </c>
      <c r="W238" s="293"/>
    </row>
    <row r="240" spans="1:23" hidden="1" x14ac:dyDescent="0.25">
      <c r="A240" s="367" t="s">
        <v>356</v>
      </c>
      <c r="B240" s="367"/>
      <c r="C240" s="367"/>
      <c r="D240" s="367"/>
      <c r="E240" s="367"/>
      <c r="F240" s="367"/>
      <c r="G240" s="308" t="s">
        <v>954</v>
      </c>
    </row>
    <row r="241" spans="1:13" ht="30" hidden="1" customHeight="1" x14ac:dyDescent="0.25">
      <c r="A241" s="371" t="s">
        <v>400</v>
      </c>
      <c r="B241" s="371" t="s">
        <v>311</v>
      </c>
      <c r="C241" s="371" t="s">
        <v>357</v>
      </c>
      <c r="D241" s="371" t="s">
        <v>358</v>
      </c>
      <c r="E241" s="371"/>
      <c r="F241" s="371"/>
    </row>
    <row r="242" spans="1:13" ht="30" hidden="1" x14ac:dyDescent="0.25">
      <c r="A242" s="371"/>
      <c r="B242" s="371"/>
      <c r="C242" s="371"/>
      <c r="D242" s="288" t="s">
        <v>359</v>
      </c>
      <c r="E242" s="288" t="s">
        <v>361</v>
      </c>
      <c r="F242" s="288" t="s">
        <v>360</v>
      </c>
    </row>
    <row r="243" spans="1:13" hidden="1" x14ac:dyDescent="0.25">
      <c r="A243" s="289">
        <v>1</v>
      </c>
      <c r="B243" s="289">
        <v>2</v>
      </c>
      <c r="C243" s="289">
        <v>3</v>
      </c>
      <c r="D243" s="289">
        <v>4</v>
      </c>
      <c r="E243" s="289">
        <v>5</v>
      </c>
      <c r="F243" s="289">
        <v>6</v>
      </c>
    </row>
    <row r="244" spans="1:13" hidden="1" x14ac:dyDescent="0.25">
      <c r="A244" s="290" t="s">
        <v>130</v>
      </c>
      <c r="B244" s="291"/>
      <c r="C244" s="291"/>
      <c r="D244" s="291"/>
      <c r="E244" s="291"/>
      <c r="F244" s="291"/>
    </row>
    <row r="245" spans="1:13" hidden="1" x14ac:dyDescent="0.25">
      <c r="A245" s="290" t="s">
        <v>131</v>
      </c>
      <c r="B245" s="291"/>
      <c r="C245" s="291"/>
      <c r="D245" s="291"/>
      <c r="E245" s="291"/>
      <c r="F245" s="291"/>
    </row>
    <row r="246" spans="1:13" hidden="1" x14ac:dyDescent="0.25">
      <c r="A246" s="290" t="s">
        <v>132</v>
      </c>
      <c r="B246" s="291"/>
      <c r="C246" s="291"/>
      <c r="D246" s="291"/>
      <c r="E246" s="291"/>
      <c r="F246" s="291"/>
    </row>
    <row r="247" spans="1:13" hidden="1" x14ac:dyDescent="0.25">
      <c r="A247" s="300" t="s">
        <v>135</v>
      </c>
      <c r="B247" s="293">
        <f>SUM(B244:B246)</f>
        <v>0</v>
      </c>
      <c r="C247" s="293">
        <f t="shared" ref="C247:E247" si="24">SUM(C244:C246)</f>
        <v>0</v>
      </c>
      <c r="D247" s="293">
        <f t="shared" si="24"/>
        <v>0</v>
      </c>
      <c r="E247" s="293">
        <f t="shared" si="24"/>
        <v>0</v>
      </c>
      <c r="F247" s="293">
        <f>SUM(F244:F246)</f>
        <v>0</v>
      </c>
    </row>
    <row r="248" spans="1:13" hidden="1" x14ac:dyDescent="0.25"/>
    <row r="249" spans="1:13" x14ac:dyDescent="0.25">
      <c r="A249" s="367" t="s">
        <v>1049</v>
      </c>
      <c r="B249" s="367"/>
      <c r="C249" s="367"/>
      <c r="D249" s="367"/>
      <c r="E249" s="367"/>
      <c r="F249" s="367"/>
      <c r="G249" s="308" t="s">
        <v>955</v>
      </c>
      <c r="H249" s="367" t="s">
        <v>1126</v>
      </c>
      <c r="I249" s="367"/>
      <c r="J249" s="367"/>
      <c r="K249" s="367"/>
      <c r="L249" s="367"/>
      <c r="M249" s="367"/>
    </row>
    <row r="250" spans="1:13" ht="30" customHeight="1" x14ac:dyDescent="0.25">
      <c r="A250" s="371" t="s">
        <v>400</v>
      </c>
      <c r="B250" s="371" t="s">
        <v>311</v>
      </c>
      <c r="C250" s="371" t="s">
        <v>357</v>
      </c>
      <c r="D250" s="371" t="s">
        <v>389</v>
      </c>
      <c r="E250" s="371"/>
      <c r="F250" s="371"/>
      <c r="H250" s="371" t="s">
        <v>400</v>
      </c>
      <c r="I250" s="371" t="s">
        <v>311</v>
      </c>
      <c r="J250" s="371" t="s">
        <v>357</v>
      </c>
      <c r="K250" s="371" t="s">
        <v>389</v>
      </c>
      <c r="L250" s="371"/>
      <c r="M250" s="371"/>
    </row>
    <row r="251" spans="1:13" x14ac:dyDescent="0.25">
      <c r="A251" s="371"/>
      <c r="B251" s="371"/>
      <c r="C251" s="371"/>
      <c r="D251" s="288" t="s">
        <v>390</v>
      </c>
      <c r="E251" s="288" t="s">
        <v>391</v>
      </c>
      <c r="F251" s="288" t="s">
        <v>392</v>
      </c>
      <c r="H251" s="371"/>
      <c r="I251" s="371"/>
      <c r="J251" s="371"/>
      <c r="K251" s="288" t="s">
        <v>390</v>
      </c>
      <c r="L251" s="288" t="s">
        <v>391</v>
      </c>
      <c r="M251" s="288" t="s">
        <v>392</v>
      </c>
    </row>
    <row r="252" spans="1:13" x14ac:dyDescent="0.25">
      <c r="A252" s="289">
        <v>1</v>
      </c>
      <c r="B252" s="289">
        <v>2</v>
      </c>
      <c r="C252" s="289">
        <v>3</v>
      </c>
      <c r="D252" s="289">
        <v>4</v>
      </c>
      <c r="E252" s="289">
        <v>5</v>
      </c>
      <c r="F252" s="289">
        <v>6</v>
      </c>
      <c r="H252" s="289">
        <v>1</v>
      </c>
      <c r="I252" s="289">
        <v>2</v>
      </c>
      <c r="J252" s="289">
        <v>3</v>
      </c>
      <c r="K252" s="289">
        <v>4</v>
      </c>
      <c r="L252" s="289">
        <v>5</v>
      </c>
      <c r="M252" s="289">
        <v>6</v>
      </c>
    </row>
    <row r="253" spans="1:13" x14ac:dyDescent="0.25">
      <c r="A253" s="290" t="s">
        <v>130</v>
      </c>
      <c r="B253" s="291"/>
      <c r="C253" s="291"/>
      <c r="D253" s="291"/>
      <c r="E253" s="291"/>
      <c r="F253" s="291"/>
      <c r="H253" s="290" t="s">
        <v>130</v>
      </c>
      <c r="I253" s="292"/>
      <c r="J253" s="292"/>
      <c r="K253" s="292"/>
      <c r="L253" s="292"/>
      <c r="M253" s="292"/>
    </row>
    <row r="254" spans="1:13" x14ac:dyDescent="0.25">
      <c r="A254" s="290" t="s">
        <v>131</v>
      </c>
      <c r="B254" s="291"/>
      <c r="C254" s="291"/>
      <c r="D254" s="291"/>
      <c r="E254" s="291"/>
      <c r="F254" s="291"/>
      <c r="H254" s="290" t="s">
        <v>131</v>
      </c>
      <c r="I254" s="292"/>
      <c r="J254" s="292"/>
      <c r="K254" s="292"/>
      <c r="L254" s="292"/>
      <c r="M254" s="292"/>
    </row>
    <row r="255" spans="1:13" x14ac:dyDescent="0.25">
      <c r="A255" s="290" t="s">
        <v>132</v>
      </c>
      <c r="B255" s="291"/>
      <c r="C255" s="291"/>
      <c r="D255" s="291"/>
      <c r="E255" s="291"/>
      <c r="F255" s="291"/>
      <c r="H255" s="290" t="s">
        <v>132</v>
      </c>
      <c r="I255" s="292"/>
      <c r="J255" s="292"/>
      <c r="K255" s="292"/>
      <c r="L255" s="292"/>
      <c r="M255" s="292"/>
    </row>
    <row r="256" spans="1:13" x14ac:dyDescent="0.25">
      <c r="A256" s="300" t="s">
        <v>135</v>
      </c>
      <c r="B256" s="293">
        <f>SUM(B253:B255)</f>
        <v>0</v>
      </c>
      <c r="C256" s="293">
        <f t="shared" ref="C256:E256" si="25">SUM(C253:C255)</f>
        <v>0</v>
      </c>
      <c r="D256" s="293">
        <f t="shared" si="25"/>
        <v>0</v>
      </c>
      <c r="E256" s="293">
        <f t="shared" si="25"/>
        <v>0</v>
      </c>
      <c r="F256" s="293">
        <f>SUM(F253:F255)</f>
        <v>0</v>
      </c>
      <c r="H256" s="300" t="s">
        <v>135</v>
      </c>
      <c r="I256" s="293">
        <f>SUM(I253:I255)</f>
        <v>0</v>
      </c>
      <c r="J256" s="293">
        <f t="shared" ref="J256:L256" si="26">SUM(J253:J255)</f>
        <v>0</v>
      </c>
      <c r="K256" s="293">
        <f t="shared" si="26"/>
        <v>0</v>
      </c>
      <c r="L256" s="293">
        <f t="shared" si="26"/>
        <v>0</v>
      </c>
      <c r="M256" s="293">
        <f>SUM(M253:M255)</f>
        <v>0</v>
      </c>
    </row>
    <row r="258" spans="1:17" hidden="1" x14ac:dyDescent="0.25">
      <c r="A258" s="398" t="s">
        <v>416</v>
      </c>
      <c r="B258" s="398"/>
      <c r="C258" s="398"/>
      <c r="D258" s="398"/>
      <c r="E258" s="398"/>
      <c r="F258" s="398"/>
      <c r="G258" s="308" t="s">
        <v>951</v>
      </c>
      <c r="H258" s="308" t="s">
        <v>999</v>
      </c>
    </row>
    <row r="259" spans="1:17" ht="45" hidden="1" customHeight="1" x14ac:dyDescent="0.25">
      <c r="A259" s="371" t="s">
        <v>393</v>
      </c>
      <c r="B259" s="371" t="s">
        <v>394</v>
      </c>
      <c r="C259" s="371" t="s">
        <v>395</v>
      </c>
      <c r="D259" s="371" t="s">
        <v>396</v>
      </c>
      <c r="E259" s="371"/>
      <c r="F259" s="371"/>
    </row>
    <row r="260" spans="1:17" ht="60" hidden="1" x14ac:dyDescent="0.25">
      <c r="A260" s="371"/>
      <c r="B260" s="371"/>
      <c r="C260" s="371"/>
      <c r="D260" s="288" t="s">
        <v>397</v>
      </c>
      <c r="E260" s="288" t="s">
        <v>398</v>
      </c>
      <c r="F260" s="288" t="s">
        <v>399</v>
      </c>
    </row>
    <row r="261" spans="1:17" hidden="1" x14ac:dyDescent="0.25">
      <c r="A261" s="289">
        <v>1</v>
      </c>
      <c r="B261" s="289">
        <v>2</v>
      </c>
      <c r="C261" s="289">
        <v>3</v>
      </c>
      <c r="D261" s="289">
        <v>4</v>
      </c>
      <c r="E261" s="289">
        <v>5</v>
      </c>
      <c r="F261" s="289">
        <v>6</v>
      </c>
    </row>
    <row r="262" spans="1:17" hidden="1" x14ac:dyDescent="0.25">
      <c r="A262" s="290" t="s">
        <v>130</v>
      </c>
      <c r="B262" s="291"/>
      <c r="C262" s="291"/>
      <c r="D262" s="291"/>
      <c r="E262" s="291"/>
      <c r="F262" s="291"/>
    </row>
    <row r="263" spans="1:17" hidden="1" x14ac:dyDescent="0.25">
      <c r="A263" s="290" t="s">
        <v>131</v>
      </c>
      <c r="B263" s="291"/>
      <c r="C263" s="291"/>
      <c r="D263" s="291"/>
      <c r="E263" s="291"/>
      <c r="F263" s="291"/>
    </row>
    <row r="264" spans="1:17" hidden="1" x14ac:dyDescent="0.25">
      <c r="A264" s="290" t="s">
        <v>132</v>
      </c>
      <c r="B264" s="291"/>
      <c r="C264" s="291"/>
      <c r="D264" s="291"/>
      <c r="E264" s="291"/>
      <c r="F264" s="291"/>
    </row>
    <row r="265" spans="1:17" hidden="1" x14ac:dyDescent="0.25">
      <c r="A265" s="300" t="s">
        <v>135</v>
      </c>
      <c r="B265" s="293">
        <f>SUM(B262:B264)</f>
        <v>0</v>
      </c>
      <c r="C265" s="293">
        <f t="shared" ref="C265:E265" si="27">SUM(C262:C264)</f>
        <v>0</v>
      </c>
      <c r="D265" s="293">
        <f t="shared" si="27"/>
        <v>0</v>
      </c>
      <c r="E265" s="293">
        <f t="shared" si="27"/>
        <v>0</v>
      </c>
      <c r="F265" s="293">
        <f>SUM(F262:F264)</f>
        <v>0</v>
      </c>
    </row>
    <row r="266" spans="1:17" hidden="1" x14ac:dyDescent="0.25"/>
    <row r="267" spans="1:17" x14ac:dyDescent="0.25">
      <c r="A267" s="367" t="s">
        <v>1050</v>
      </c>
      <c r="B267" s="367"/>
      <c r="C267" s="367"/>
      <c r="D267" s="367"/>
      <c r="E267" s="367"/>
      <c r="F267" s="367"/>
      <c r="G267" s="367"/>
      <c r="H267" s="367"/>
      <c r="I267" s="308" t="s">
        <v>955</v>
      </c>
      <c r="J267" s="367" t="s">
        <v>1126</v>
      </c>
      <c r="K267" s="367"/>
      <c r="L267" s="367"/>
      <c r="M267" s="367"/>
      <c r="N267" s="367"/>
      <c r="O267" s="367"/>
      <c r="P267" s="367"/>
      <c r="Q267" s="367"/>
    </row>
    <row r="268" spans="1:17" ht="45" customHeight="1" x14ac:dyDescent="0.25">
      <c r="A268" s="365" t="s">
        <v>393</v>
      </c>
      <c r="B268" s="365" t="s">
        <v>394</v>
      </c>
      <c r="C268" s="365" t="s">
        <v>448</v>
      </c>
      <c r="D268" s="365" t="s">
        <v>417</v>
      </c>
      <c r="E268" s="368" t="s">
        <v>443</v>
      </c>
      <c r="F268" s="369"/>
      <c r="G268" s="369"/>
      <c r="H268" s="370"/>
      <c r="J268" s="365" t="s">
        <v>393</v>
      </c>
      <c r="K268" s="365" t="s">
        <v>394</v>
      </c>
      <c r="L268" s="365" t="s">
        <v>448</v>
      </c>
      <c r="M268" s="365" t="s">
        <v>417</v>
      </c>
      <c r="N268" s="368" t="s">
        <v>443</v>
      </c>
      <c r="O268" s="369"/>
      <c r="P268" s="369"/>
      <c r="Q268" s="370"/>
    </row>
    <row r="269" spans="1:17" ht="30" customHeight="1" x14ac:dyDescent="0.25">
      <c r="A269" s="366"/>
      <c r="B269" s="366"/>
      <c r="C269" s="366"/>
      <c r="D269" s="366"/>
      <c r="E269" s="288" t="s">
        <v>444</v>
      </c>
      <c r="F269" s="288" t="s">
        <v>445</v>
      </c>
      <c r="G269" s="288" t="s">
        <v>446</v>
      </c>
      <c r="H269" s="288" t="s">
        <v>447</v>
      </c>
      <c r="J269" s="366"/>
      <c r="K269" s="366"/>
      <c r="L269" s="366"/>
      <c r="M269" s="366"/>
      <c r="N269" s="288" t="s">
        <v>444</v>
      </c>
      <c r="O269" s="288" t="s">
        <v>445</v>
      </c>
      <c r="P269" s="288" t="s">
        <v>446</v>
      </c>
      <c r="Q269" s="288" t="s">
        <v>447</v>
      </c>
    </row>
    <row r="270" spans="1:17" x14ac:dyDescent="0.25">
      <c r="A270" s="289">
        <v>1</v>
      </c>
      <c r="B270" s="289">
        <v>2</v>
      </c>
      <c r="C270" s="289">
        <v>3</v>
      </c>
      <c r="D270" s="289">
        <v>4</v>
      </c>
      <c r="E270" s="289">
        <v>5</v>
      </c>
      <c r="F270" s="289">
        <v>6</v>
      </c>
      <c r="G270" s="289">
        <v>7</v>
      </c>
      <c r="H270" s="289">
        <v>8</v>
      </c>
      <c r="J270" s="289">
        <v>1</v>
      </c>
      <c r="K270" s="289">
        <v>2</v>
      </c>
      <c r="L270" s="289">
        <v>3</v>
      </c>
      <c r="M270" s="289">
        <v>4</v>
      </c>
      <c r="N270" s="289">
        <v>5</v>
      </c>
      <c r="O270" s="289">
        <v>6</v>
      </c>
      <c r="P270" s="289">
        <v>7</v>
      </c>
      <c r="Q270" s="289">
        <v>8</v>
      </c>
    </row>
    <row r="271" spans="1:17" x14ac:dyDescent="0.25">
      <c r="A271" s="290" t="s">
        <v>130</v>
      </c>
      <c r="B271" s="291"/>
      <c r="C271" s="291"/>
      <c r="D271" s="328" t="s">
        <v>418</v>
      </c>
      <c r="E271" s="329"/>
      <c r="F271" s="329"/>
      <c r="G271" s="329"/>
      <c r="H271" s="329"/>
      <c r="J271" s="290" t="s">
        <v>130</v>
      </c>
      <c r="K271" s="292"/>
      <c r="L271" s="292"/>
      <c r="M271" s="330" t="s">
        <v>418</v>
      </c>
      <c r="N271" s="331"/>
      <c r="O271" s="331"/>
      <c r="P271" s="331"/>
      <c r="Q271" s="331"/>
    </row>
    <row r="272" spans="1:17" x14ac:dyDescent="0.25">
      <c r="A272" s="290" t="s">
        <v>131</v>
      </c>
      <c r="B272" s="291"/>
      <c r="C272" s="291"/>
      <c r="D272" s="328" t="s">
        <v>422</v>
      </c>
      <c r="E272" s="329"/>
      <c r="F272" s="329"/>
      <c r="G272" s="329"/>
      <c r="H272" s="329"/>
      <c r="J272" s="290" t="s">
        <v>131</v>
      </c>
      <c r="K272" s="292"/>
      <c r="L272" s="292"/>
      <c r="M272" s="330" t="s">
        <v>422</v>
      </c>
      <c r="N272" s="331"/>
      <c r="O272" s="331"/>
      <c r="P272" s="331"/>
      <c r="Q272" s="331"/>
    </row>
    <row r="273" spans="1:17" ht="30" x14ac:dyDescent="0.25">
      <c r="A273" s="290" t="s">
        <v>132</v>
      </c>
      <c r="B273" s="291"/>
      <c r="C273" s="291"/>
      <c r="D273" s="328" t="s">
        <v>428</v>
      </c>
      <c r="E273" s="329"/>
      <c r="F273" s="329"/>
      <c r="G273" s="329"/>
      <c r="H273" s="329"/>
      <c r="J273" s="290" t="s">
        <v>132</v>
      </c>
      <c r="K273" s="292"/>
      <c r="L273" s="292"/>
      <c r="M273" s="330" t="s">
        <v>428</v>
      </c>
      <c r="N273" s="331"/>
      <c r="O273" s="331"/>
      <c r="P273" s="331"/>
      <c r="Q273" s="331"/>
    </row>
    <row r="274" spans="1:17" ht="30" x14ac:dyDescent="0.25">
      <c r="A274" s="332"/>
      <c r="B274" s="332"/>
      <c r="C274" s="332"/>
      <c r="D274" s="328" t="s">
        <v>429</v>
      </c>
      <c r="E274" s="329"/>
      <c r="F274" s="329"/>
      <c r="G274" s="329"/>
      <c r="H274" s="329"/>
      <c r="J274" s="332"/>
      <c r="K274" s="332"/>
      <c r="L274" s="332"/>
      <c r="M274" s="330" t="s">
        <v>429</v>
      </c>
      <c r="N274" s="331"/>
      <c r="O274" s="331"/>
      <c r="P274" s="331"/>
      <c r="Q274" s="331"/>
    </row>
    <row r="275" spans="1:17" ht="30" x14ac:dyDescent="0.25">
      <c r="A275" s="332"/>
      <c r="B275" s="332"/>
      <c r="C275" s="332"/>
      <c r="D275" s="328" t="s">
        <v>430</v>
      </c>
      <c r="E275" s="329"/>
      <c r="F275" s="329"/>
      <c r="G275" s="329"/>
      <c r="H275" s="329"/>
      <c r="J275" s="332"/>
      <c r="K275" s="332"/>
      <c r="L275" s="332"/>
      <c r="M275" s="330" t="s">
        <v>430</v>
      </c>
      <c r="N275" s="331"/>
      <c r="O275" s="331"/>
      <c r="P275" s="331"/>
      <c r="Q275" s="331"/>
    </row>
    <row r="276" spans="1:17" x14ac:dyDescent="0.25">
      <c r="A276" s="332"/>
      <c r="B276" s="332"/>
      <c r="C276" s="332"/>
      <c r="D276" s="328" t="s">
        <v>419</v>
      </c>
      <c r="E276" s="329"/>
      <c r="F276" s="329"/>
      <c r="G276" s="329"/>
      <c r="H276" s="329"/>
      <c r="J276" s="332"/>
      <c r="K276" s="332"/>
      <c r="L276" s="332"/>
      <c r="M276" s="330" t="s">
        <v>419</v>
      </c>
      <c r="N276" s="331"/>
      <c r="O276" s="331"/>
      <c r="P276" s="331"/>
      <c r="Q276" s="331"/>
    </row>
    <row r="277" spans="1:17" x14ac:dyDescent="0.25">
      <c r="A277" s="332"/>
      <c r="B277" s="332"/>
      <c r="C277" s="332"/>
      <c r="D277" s="328" t="s">
        <v>420</v>
      </c>
      <c r="E277" s="329"/>
      <c r="F277" s="329"/>
      <c r="G277" s="329"/>
      <c r="H277" s="329"/>
      <c r="J277" s="332"/>
      <c r="K277" s="332"/>
      <c r="L277" s="332"/>
      <c r="M277" s="328" t="s">
        <v>420</v>
      </c>
      <c r="N277" s="331"/>
      <c r="O277" s="331"/>
      <c r="P277" s="331"/>
      <c r="Q277" s="331"/>
    </row>
    <row r="279" spans="1:17" x14ac:dyDescent="0.25">
      <c r="A279" s="367" t="s">
        <v>1051</v>
      </c>
      <c r="B279" s="367"/>
      <c r="C279" s="367"/>
      <c r="D279" s="367"/>
      <c r="E279" s="367"/>
      <c r="F279" s="308" t="s">
        <v>956</v>
      </c>
      <c r="G279" s="367" t="s">
        <v>1126</v>
      </c>
      <c r="H279" s="367"/>
      <c r="I279" s="367"/>
      <c r="J279" s="367"/>
      <c r="K279" s="367"/>
    </row>
    <row r="280" spans="1:17" x14ac:dyDescent="0.25">
      <c r="A280" s="365" t="s">
        <v>465</v>
      </c>
      <c r="B280" s="288" t="s">
        <v>466</v>
      </c>
      <c r="C280" s="288"/>
      <c r="D280" s="288"/>
      <c r="E280" s="365" t="s">
        <v>135</v>
      </c>
      <c r="G280" s="365" t="s">
        <v>465</v>
      </c>
      <c r="H280" s="288" t="s">
        <v>466</v>
      </c>
      <c r="I280" s="288"/>
      <c r="J280" s="288"/>
      <c r="K280" s="365" t="s">
        <v>135</v>
      </c>
    </row>
    <row r="281" spans="1:17" x14ac:dyDescent="0.25">
      <c r="A281" s="366"/>
      <c r="B281" s="288" t="s">
        <v>467</v>
      </c>
      <c r="C281" s="288" t="s">
        <v>468</v>
      </c>
      <c r="D281" s="288" t="s">
        <v>134</v>
      </c>
      <c r="E281" s="366"/>
      <c r="G281" s="366"/>
      <c r="H281" s="288" t="s">
        <v>467</v>
      </c>
      <c r="I281" s="288" t="s">
        <v>468</v>
      </c>
      <c r="J281" s="288" t="s">
        <v>134</v>
      </c>
      <c r="K281" s="366"/>
    </row>
    <row r="282" spans="1:17" x14ac:dyDescent="0.25">
      <c r="A282" s="289">
        <v>1</v>
      </c>
      <c r="B282" s="289">
        <v>2</v>
      </c>
      <c r="C282" s="289">
        <v>3</v>
      </c>
      <c r="D282" s="289">
        <v>4</v>
      </c>
      <c r="E282" s="289">
        <v>5</v>
      </c>
      <c r="G282" s="289">
        <v>1</v>
      </c>
      <c r="H282" s="289">
        <v>2</v>
      </c>
      <c r="I282" s="289">
        <v>3</v>
      </c>
      <c r="J282" s="289">
        <v>4</v>
      </c>
      <c r="K282" s="289">
        <v>5</v>
      </c>
    </row>
    <row r="283" spans="1:17" ht="30" x14ac:dyDescent="0.25">
      <c r="A283" s="38" t="s">
        <v>958</v>
      </c>
      <c r="B283" s="291"/>
      <c r="C283" s="291"/>
      <c r="D283" s="291"/>
      <c r="E283" s="299">
        <f>SUM(B283:D283)</f>
        <v>0</v>
      </c>
      <c r="G283" s="38" t="s">
        <v>958</v>
      </c>
      <c r="H283" s="292"/>
      <c r="I283" s="292"/>
      <c r="J283" s="292"/>
      <c r="K283" s="299">
        <f>SUM(H283:J283)</f>
        <v>0</v>
      </c>
    </row>
    <row r="284" spans="1:17" ht="30" x14ac:dyDescent="0.25">
      <c r="A284" s="38" t="s">
        <v>959</v>
      </c>
      <c r="B284" s="291"/>
      <c r="C284" s="291"/>
      <c r="D284" s="291"/>
      <c r="E284" s="299">
        <f t="shared" ref="E284:E292" si="28">SUM(B284:D284)</f>
        <v>0</v>
      </c>
      <c r="G284" s="38" t="s">
        <v>959</v>
      </c>
      <c r="H284" s="292"/>
      <c r="I284" s="292"/>
      <c r="J284" s="292"/>
      <c r="K284" s="299">
        <f t="shared" ref="K284:K292" si="29">SUM(H284:J284)</f>
        <v>0</v>
      </c>
    </row>
    <row r="285" spans="1:17" x14ac:dyDescent="0.25">
      <c r="A285" s="38" t="s">
        <v>960</v>
      </c>
      <c r="B285" s="291"/>
      <c r="C285" s="291"/>
      <c r="D285" s="291"/>
      <c r="E285" s="299">
        <f t="shared" si="28"/>
        <v>0</v>
      </c>
      <c r="G285" s="38" t="s">
        <v>960</v>
      </c>
      <c r="H285" s="292"/>
      <c r="I285" s="292"/>
      <c r="J285" s="292"/>
      <c r="K285" s="299">
        <f t="shared" si="29"/>
        <v>0</v>
      </c>
    </row>
    <row r="286" spans="1:17" ht="30" x14ac:dyDescent="0.25">
      <c r="A286" s="38" t="s">
        <v>961</v>
      </c>
      <c r="B286" s="291"/>
      <c r="C286" s="291"/>
      <c r="D286" s="291"/>
      <c r="E286" s="299">
        <f t="shared" si="28"/>
        <v>0</v>
      </c>
      <c r="G286" s="38" t="s">
        <v>961</v>
      </c>
      <c r="H286" s="292"/>
      <c r="I286" s="292"/>
      <c r="J286" s="292"/>
      <c r="K286" s="299">
        <f t="shared" si="29"/>
        <v>0</v>
      </c>
    </row>
    <row r="287" spans="1:17" ht="30" x14ac:dyDescent="0.25">
      <c r="A287" s="38" t="s">
        <v>473</v>
      </c>
      <c r="B287" s="291"/>
      <c r="C287" s="291"/>
      <c r="D287" s="291"/>
      <c r="E287" s="299">
        <f t="shared" si="28"/>
        <v>0</v>
      </c>
      <c r="G287" s="38" t="s">
        <v>473</v>
      </c>
      <c r="H287" s="292"/>
      <c r="I287" s="292"/>
      <c r="J287" s="292"/>
      <c r="K287" s="299">
        <f t="shared" si="29"/>
        <v>0</v>
      </c>
    </row>
    <row r="288" spans="1:17" x14ac:dyDescent="0.25">
      <c r="A288" s="38" t="s">
        <v>474</v>
      </c>
      <c r="B288" s="291"/>
      <c r="C288" s="291"/>
      <c r="D288" s="291"/>
      <c r="E288" s="299">
        <f t="shared" si="28"/>
        <v>0</v>
      </c>
      <c r="G288" s="38" t="s">
        <v>474</v>
      </c>
      <c r="H288" s="292"/>
      <c r="I288" s="292"/>
      <c r="J288" s="292"/>
      <c r="K288" s="299">
        <f t="shared" si="29"/>
        <v>0</v>
      </c>
    </row>
    <row r="289" spans="1:11" x14ac:dyDescent="0.25">
      <c r="A289" s="38" t="s">
        <v>475</v>
      </c>
      <c r="B289" s="291"/>
      <c r="C289" s="291"/>
      <c r="D289" s="291"/>
      <c r="E289" s="299">
        <f t="shared" si="28"/>
        <v>0</v>
      </c>
      <c r="G289" s="38" t="s">
        <v>475</v>
      </c>
      <c r="H289" s="292"/>
      <c r="I289" s="292"/>
      <c r="J289" s="292"/>
      <c r="K289" s="299">
        <f t="shared" si="29"/>
        <v>0</v>
      </c>
    </row>
    <row r="290" spans="1:11" ht="30" x14ac:dyDescent="0.25">
      <c r="A290" s="38" t="s">
        <v>476</v>
      </c>
      <c r="B290" s="291"/>
      <c r="C290" s="291"/>
      <c r="D290" s="291"/>
      <c r="E290" s="299">
        <f t="shared" si="28"/>
        <v>0</v>
      </c>
      <c r="G290" s="38" t="s">
        <v>476</v>
      </c>
      <c r="H290" s="292"/>
      <c r="I290" s="292"/>
      <c r="J290" s="292"/>
      <c r="K290" s="299">
        <f t="shared" si="29"/>
        <v>0</v>
      </c>
    </row>
    <row r="291" spans="1:11" ht="30" x14ac:dyDescent="0.25">
      <c r="A291" s="38" t="s">
        <v>477</v>
      </c>
      <c r="B291" s="291"/>
      <c r="C291" s="291"/>
      <c r="D291" s="291"/>
      <c r="E291" s="299">
        <f t="shared" si="28"/>
        <v>0</v>
      </c>
      <c r="G291" s="38" t="s">
        <v>477</v>
      </c>
      <c r="H291" s="292"/>
      <c r="I291" s="292"/>
      <c r="J291" s="292"/>
      <c r="K291" s="299">
        <f t="shared" si="29"/>
        <v>0</v>
      </c>
    </row>
    <row r="292" spans="1:11" ht="30" x14ac:dyDescent="0.25">
      <c r="A292" s="38" t="s">
        <v>478</v>
      </c>
      <c r="B292" s="291"/>
      <c r="C292" s="291"/>
      <c r="D292" s="291"/>
      <c r="E292" s="299">
        <f t="shared" si="28"/>
        <v>0</v>
      </c>
      <c r="G292" s="38" t="s">
        <v>478</v>
      </c>
      <c r="H292" s="292"/>
      <c r="I292" s="292"/>
      <c r="J292" s="292"/>
      <c r="K292" s="299">
        <f t="shared" si="29"/>
        <v>0</v>
      </c>
    </row>
    <row r="294" spans="1:11" hidden="1" x14ac:dyDescent="0.25">
      <c r="A294" s="367" t="s">
        <v>957</v>
      </c>
      <c r="B294" s="367"/>
      <c r="C294" s="367"/>
      <c r="D294" s="367"/>
      <c r="E294" s="367"/>
      <c r="F294" s="27" t="s">
        <v>858</v>
      </c>
    </row>
    <row r="295" spans="1:11" hidden="1" x14ac:dyDescent="0.25">
      <c r="A295" s="365" t="s">
        <v>465</v>
      </c>
      <c r="B295" s="288" t="s">
        <v>466</v>
      </c>
      <c r="C295" s="288"/>
      <c r="D295" s="288"/>
      <c r="E295" s="365" t="s">
        <v>135</v>
      </c>
    </row>
    <row r="296" spans="1:11" hidden="1" x14ac:dyDescent="0.25">
      <c r="A296" s="366"/>
      <c r="B296" s="288" t="s">
        <v>467</v>
      </c>
      <c r="C296" s="288" t="s">
        <v>468</v>
      </c>
      <c r="D296" s="288" t="s">
        <v>134</v>
      </c>
      <c r="E296" s="366"/>
    </row>
    <row r="297" spans="1:11" hidden="1" x14ac:dyDescent="0.25">
      <c r="A297" s="289">
        <v>1</v>
      </c>
      <c r="B297" s="289">
        <v>2</v>
      </c>
      <c r="C297" s="289">
        <v>3</v>
      </c>
      <c r="D297" s="289">
        <v>4</v>
      </c>
      <c r="E297" s="289">
        <v>5</v>
      </c>
    </row>
    <row r="298" spans="1:11" ht="30" hidden="1" x14ac:dyDescent="0.25">
      <c r="A298" s="38" t="s">
        <v>469</v>
      </c>
      <c r="B298" s="291"/>
      <c r="C298" s="291"/>
      <c r="D298" s="291"/>
      <c r="E298" s="299">
        <f>SUM(B298:D298)</f>
        <v>0</v>
      </c>
    </row>
    <row r="299" spans="1:11" ht="30" hidden="1" x14ac:dyDescent="0.25">
      <c r="A299" s="38" t="s">
        <v>470</v>
      </c>
      <c r="B299" s="291"/>
      <c r="C299" s="291"/>
      <c r="D299" s="291"/>
      <c r="E299" s="299">
        <f t="shared" ref="E299:E301" si="30">SUM(B299:D299)</f>
        <v>0</v>
      </c>
    </row>
    <row r="300" spans="1:11" ht="30" hidden="1" x14ac:dyDescent="0.25">
      <c r="A300" s="38" t="s">
        <v>471</v>
      </c>
      <c r="B300" s="291"/>
      <c r="C300" s="291"/>
      <c r="D300" s="291"/>
      <c r="E300" s="299">
        <f t="shared" si="30"/>
        <v>0</v>
      </c>
    </row>
    <row r="301" spans="1:11" ht="30" hidden="1" x14ac:dyDescent="0.25">
      <c r="A301" s="38" t="s">
        <v>472</v>
      </c>
      <c r="B301" s="291"/>
      <c r="C301" s="291"/>
      <c r="D301" s="291"/>
      <c r="E301" s="299">
        <f t="shared" si="30"/>
        <v>0</v>
      </c>
    </row>
    <row r="302" spans="1:11" ht="45" hidden="1" x14ac:dyDescent="0.25">
      <c r="A302" s="38" t="s">
        <v>962</v>
      </c>
      <c r="B302" s="291"/>
      <c r="C302" s="291"/>
      <c r="D302" s="291"/>
      <c r="E302" s="299">
        <f t="shared" ref="E302:E307" si="31">SUM(B302:D302)</f>
        <v>0</v>
      </c>
    </row>
    <row r="303" spans="1:11" ht="30" hidden="1" x14ac:dyDescent="0.25">
      <c r="A303" s="38" t="s">
        <v>963</v>
      </c>
      <c r="B303" s="291"/>
      <c r="C303" s="291"/>
      <c r="D303" s="291"/>
      <c r="E303" s="299">
        <f t="shared" si="31"/>
        <v>0</v>
      </c>
    </row>
    <row r="304" spans="1:11" ht="30" hidden="1" x14ac:dyDescent="0.25">
      <c r="A304" s="38" t="s">
        <v>964</v>
      </c>
      <c r="B304" s="291"/>
      <c r="C304" s="291"/>
      <c r="D304" s="291"/>
      <c r="E304" s="299">
        <f t="shared" si="31"/>
        <v>0</v>
      </c>
    </row>
    <row r="305" spans="1:11" ht="45" hidden="1" x14ac:dyDescent="0.25">
      <c r="A305" s="38" t="s">
        <v>965</v>
      </c>
      <c r="B305" s="291"/>
      <c r="C305" s="291"/>
      <c r="D305" s="291"/>
      <c r="E305" s="299">
        <f t="shared" si="31"/>
        <v>0</v>
      </c>
    </row>
    <row r="306" spans="1:11" ht="45" hidden="1" x14ac:dyDescent="0.25">
      <c r="A306" s="38" t="s">
        <v>966</v>
      </c>
      <c r="B306" s="291"/>
      <c r="C306" s="291"/>
      <c r="D306" s="291"/>
      <c r="E306" s="299">
        <f t="shared" si="31"/>
        <v>0</v>
      </c>
    </row>
    <row r="307" spans="1:11" ht="45" hidden="1" x14ac:dyDescent="0.25">
      <c r="A307" s="38" t="s">
        <v>967</v>
      </c>
      <c r="B307" s="291"/>
      <c r="C307" s="291"/>
      <c r="D307" s="291"/>
      <c r="E307" s="299">
        <f t="shared" si="31"/>
        <v>0</v>
      </c>
    </row>
    <row r="308" spans="1:11" hidden="1" x14ac:dyDescent="0.25">
      <c r="A308" s="83"/>
      <c r="B308" s="333"/>
      <c r="C308" s="333"/>
      <c r="D308" s="333"/>
      <c r="E308" s="333"/>
    </row>
    <row r="309" spans="1:11" x14ac:dyDescent="0.25">
      <c r="A309" s="367" t="s">
        <v>1052</v>
      </c>
      <c r="B309" s="367"/>
      <c r="C309" s="334" t="s">
        <v>953</v>
      </c>
      <c r="D309" s="367" t="s">
        <v>1126</v>
      </c>
      <c r="E309" s="367"/>
    </row>
    <row r="310" spans="1:11" x14ac:dyDescent="0.25">
      <c r="A310" s="275" t="s">
        <v>166</v>
      </c>
      <c r="B310" s="275" t="s">
        <v>135</v>
      </c>
      <c r="C310" s="333"/>
      <c r="D310" s="275" t="s">
        <v>166</v>
      </c>
      <c r="E310" s="275" t="s">
        <v>135</v>
      </c>
    </row>
    <row r="311" spans="1:11" ht="90" x14ac:dyDescent="0.25">
      <c r="A311" s="47" t="s">
        <v>924</v>
      </c>
      <c r="B311" s="312"/>
      <c r="C311" s="333"/>
      <c r="D311" s="47" t="s">
        <v>924</v>
      </c>
      <c r="E311" s="313"/>
    </row>
    <row r="313" spans="1:11" hidden="1" x14ac:dyDescent="0.25">
      <c r="A313" s="379" t="s">
        <v>969</v>
      </c>
      <c r="B313" s="379"/>
      <c r="C313" s="379"/>
      <c r="D313" s="379"/>
      <c r="E313" s="379"/>
      <c r="F313" s="27" t="s">
        <v>968</v>
      </c>
    </row>
    <row r="314" spans="1:11" hidden="1" x14ac:dyDescent="0.25">
      <c r="A314" s="374" t="s">
        <v>166</v>
      </c>
      <c r="B314" s="376" t="s">
        <v>514</v>
      </c>
      <c r="C314" s="377"/>
      <c r="D314" s="378"/>
      <c r="E314" s="374" t="s">
        <v>135</v>
      </c>
    </row>
    <row r="315" spans="1:11" hidden="1" x14ac:dyDescent="0.25">
      <c r="A315" s="375"/>
      <c r="B315" s="275" t="s">
        <v>132</v>
      </c>
      <c r="C315" s="275" t="s">
        <v>133</v>
      </c>
      <c r="D315" s="275" t="s">
        <v>134</v>
      </c>
      <c r="E315" s="375"/>
    </row>
    <row r="316" spans="1:11" ht="45" hidden="1" x14ac:dyDescent="0.25">
      <c r="A316" s="47" t="s">
        <v>899</v>
      </c>
      <c r="B316" s="312"/>
      <c r="C316" s="312"/>
      <c r="D316" s="312"/>
      <c r="E316" s="314">
        <f>SUM(B316:D316)</f>
        <v>0</v>
      </c>
    </row>
    <row r="317" spans="1:11" hidden="1" x14ac:dyDescent="0.25"/>
    <row r="318" spans="1:11" x14ac:dyDescent="0.25">
      <c r="A318" s="367" t="s">
        <v>1053</v>
      </c>
      <c r="B318" s="367"/>
      <c r="C318" s="367"/>
      <c r="D318" s="367"/>
      <c r="E318" s="367"/>
      <c r="F318" s="308" t="s">
        <v>950</v>
      </c>
      <c r="G318" s="367" t="s">
        <v>1126</v>
      </c>
      <c r="H318" s="367"/>
      <c r="I318" s="367"/>
      <c r="J318" s="367"/>
      <c r="K318" s="367"/>
    </row>
    <row r="319" spans="1:11" x14ac:dyDescent="0.25">
      <c r="A319" s="365" t="s">
        <v>484</v>
      </c>
      <c r="B319" s="368" t="s">
        <v>466</v>
      </c>
      <c r="C319" s="369"/>
      <c r="D319" s="370"/>
      <c r="E319" s="365" t="s">
        <v>135</v>
      </c>
      <c r="G319" s="365" t="s">
        <v>484</v>
      </c>
      <c r="H319" s="368" t="s">
        <v>466</v>
      </c>
      <c r="I319" s="369"/>
      <c r="J319" s="370"/>
      <c r="K319" s="365" t="s">
        <v>135</v>
      </c>
    </row>
    <row r="320" spans="1:11" x14ac:dyDescent="0.25">
      <c r="A320" s="366"/>
      <c r="B320" s="288" t="s">
        <v>467</v>
      </c>
      <c r="C320" s="288" t="s">
        <v>468</v>
      </c>
      <c r="D320" s="288" t="s">
        <v>134</v>
      </c>
      <c r="E320" s="366"/>
      <c r="G320" s="366"/>
      <c r="H320" s="288" t="s">
        <v>467</v>
      </c>
      <c r="I320" s="288" t="s">
        <v>468</v>
      </c>
      <c r="J320" s="288" t="s">
        <v>134</v>
      </c>
      <c r="K320" s="366"/>
    </row>
    <row r="321" spans="1:11" x14ac:dyDescent="0.25">
      <c r="A321" s="289">
        <v>1</v>
      </c>
      <c r="B321" s="289">
        <v>2</v>
      </c>
      <c r="C321" s="289">
        <v>3</v>
      </c>
      <c r="D321" s="289">
        <v>4</v>
      </c>
      <c r="E321" s="289">
        <v>5</v>
      </c>
      <c r="G321" s="289">
        <v>1</v>
      </c>
      <c r="H321" s="289">
        <v>2</v>
      </c>
      <c r="I321" s="289">
        <v>3</v>
      </c>
      <c r="J321" s="289">
        <v>4</v>
      </c>
      <c r="K321" s="289">
        <v>5</v>
      </c>
    </row>
    <row r="322" spans="1:11" ht="30" x14ac:dyDescent="0.25">
      <c r="A322" s="38" t="s">
        <v>485</v>
      </c>
      <c r="B322" s="291"/>
      <c r="C322" s="291"/>
      <c r="D322" s="291"/>
      <c r="E322" s="299">
        <f>SUM(B322:D322)</f>
        <v>0</v>
      </c>
      <c r="G322" s="38" t="s">
        <v>485</v>
      </c>
      <c r="H322" s="292"/>
      <c r="I322" s="292"/>
      <c r="J322" s="292"/>
      <c r="K322" s="299">
        <f>SUM(H322:J322)</f>
        <v>0</v>
      </c>
    </row>
    <row r="323" spans="1:11" ht="75" x14ac:dyDescent="0.25">
      <c r="A323" s="38" t="s">
        <v>486</v>
      </c>
      <c r="B323" s="291"/>
      <c r="C323" s="291"/>
      <c r="D323" s="291"/>
      <c r="E323" s="299">
        <f t="shared" ref="E323:E325" si="32">SUM(B323:D323)</f>
        <v>0</v>
      </c>
      <c r="G323" s="38" t="s">
        <v>486</v>
      </c>
      <c r="H323" s="292"/>
      <c r="I323" s="292"/>
      <c r="J323" s="292"/>
      <c r="K323" s="299">
        <f t="shared" ref="K323:K325" si="33">SUM(H323:J323)</f>
        <v>0</v>
      </c>
    </row>
    <row r="324" spans="1:11" ht="75" x14ac:dyDescent="0.25">
      <c r="A324" s="38" t="s">
        <v>487</v>
      </c>
      <c r="B324" s="291"/>
      <c r="C324" s="291"/>
      <c r="D324" s="291"/>
      <c r="E324" s="299">
        <f t="shared" si="32"/>
        <v>0</v>
      </c>
      <c r="G324" s="38" t="s">
        <v>487</v>
      </c>
      <c r="H324" s="292"/>
      <c r="I324" s="292"/>
      <c r="J324" s="292"/>
      <c r="K324" s="299">
        <f t="shared" si="33"/>
        <v>0</v>
      </c>
    </row>
    <row r="325" spans="1:11" ht="30" x14ac:dyDescent="0.25">
      <c r="A325" s="38" t="s">
        <v>488</v>
      </c>
      <c r="B325" s="291"/>
      <c r="C325" s="291"/>
      <c r="D325" s="291"/>
      <c r="E325" s="299">
        <f t="shared" si="32"/>
        <v>0</v>
      </c>
      <c r="G325" s="38" t="s">
        <v>488</v>
      </c>
      <c r="H325" s="292"/>
      <c r="I325" s="292"/>
      <c r="J325" s="292"/>
      <c r="K325" s="299">
        <f t="shared" si="33"/>
        <v>0</v>
      </c>
    </row>
  </sheetData>
  <sheetProtection algorithmName="SHA-512" hashValue="BFVrruPNITcD4417rWD0/ICuidQxGWnumF+Y+CS0YxbKZd0Kxn/wp4IfelzNWfsX4qBmLPjyRUrblG31mXfr1A==" saltValue="oQZhjIIFWEgI5o14P19Qww==" spinCount="100000" sheet="1" objects="1" scenarios="1" formatCells="0" formatColumns="0" formatRows="0"/>
  <mergeCells count="211">
    <mergeCell ref="A240:F240"/>
    <mergeCell ref="A249:F249"/>
    <mergeCell ref="A258:F258"/>
    <mergeCell ref="A267:H267"/>
    <mergeCell ref="A259:A260"/>
    <mergeCell ref="B259:B260"/>
    <mergeCell ref="C259:C260"/>
    <mergeCell ref="D259:F259"/>
    <mergeCell ref="A250:A251"/>
    <mergeCell ref="B250:B251"/>
    <mergeCell ref="C250:C251"/>
    <mergeCell ref="D250:F250"/>
    <mergeCell ref="A57:C57"/>
    <mergeCell ref="A96:E96"/>
    <mergeCell ref="A89:E89"/>
    <mergeCell ref="A117:E117"/>
    <mergeCell ref="A131:E131"/>
    <mergeCell ref="B241:B242"/>
    <mergeCell ref="C241:C242"/>
    <mergeCell ref="D241:F241"/>
    <mergeCell ref="A241:A242"/>
    <mergeCell ref="A90:A91"/>
    <mergeCell ref="E90:E91"/>
    <mergeCell ref="A97:A98"/>
    <mergeCell ref="B97:D97"/>
    <mergeCell ref="E97:E98"/>
    <mergeCell ref="A63:B63"/>
    <mergeCell ref="A64:B64"/>
    <mergeCell ref="A104:A105"/>
    <mergeCell ref="B104:D104"/>
    <mergeCell ref="E104:E105"/>
    <mergeCell ref="A103:E103"/>
    <mergeCell ref="A156:B156"/>
    <mergeCell ref="A161:B161"/>
    <mergeCell ref="A202:B202"/>
    <mergeCell ref="A199:B199"/>
    <mergeCell ref="A137:A138"/>
    <mergeCell ref="B137:D137"/>
    <mergeCell ref="E137:E138"/>
    <mergeCell ref="A136:E136"/>
    <mergeCell ref="A141:E141"/>
    <mergeCell ref="B118:D118"/>
    <mergeCell ref="E118:E119"/>
    <mergeCell ref="A58:B58"/>
    <mergeCell ref="A59:B59"/>
    <mergeCell ref="A60:B60"/>
    <mergeCell ref="A61:B61"/>
    <mergeCell ref="A62:B62"/>
    <mergeCell ref="A65:B65"/>
    <mergeCell ref="A66:B66"/>
    <mergeCell ref="A69:B69"/>
    <mergeCell ref="A67:B67"/>
    <mergeCell ref="A68:B68"/>
    <mergeCell ref="A70:A76"/>
    <mergeCell ref="B90:D90"/>
    <mergeCell ref="A132:A133"/>
    <mergeCell ref="B132:D132"/>
    <mergeCell ref="E132:E133"/>
    <mergeCell ref="A118:A119"/>
    <mergeCell ref="E63:F63"/>
    <mergeCell ref="A232:A233"/>
    <mergeCell ref="B232:B233"/>
    <mergeCell ref="B142:D142"/>
    <mergeCell ref="E142:E143"/>
    <mergeCell ref="B214:D214"/>
    <mergeCell ref="A214:A215"/>
    <mergeCell ref="A223:A224"/>
    <mergeCell ref="A151:B151"/>
    <mergeCell ref="A194:B194"/>
    <mergeCell ref="A206:C206"/>
    <mergeCell ref="A213:D213"/>
    <mergeCell ref="B223:D223"/>
    <mergeCell ref="A222:D222"/>
    <mergeCell ref="C232:I232"/>
    <mergeCell ref="A142:A143"/>
    <mergeCell ref="A231:K231"/>
    <mergeCell ref="F213:I213"/>
    <mergeCell ref="F214:F215"/>
    <mergeCell ref="G214:I214"/>
    <mergeCell ref="A1:H1"/>
    <mergeCell ref="A11:E11"/>
    <mergeCell ref="A48:B48"/>
    <mergeCell ref="A38:C38"/>
    <mergeCell ref="B14:B16"/>
    <mergeCell ref="B18:B20"/>
    <mergeCell ref="B22:B24"/>
    <mergeCell ref="A25:B25"/>
    <mergeCell ref="A17:B17"/>
    <mergeCell ref="A21:B21"/>
    <mergeCell ref="G36:H36"/>
    <mergeCell ref="A27:H27"/>
    <mergeCell ref="G28:H28"/>
    <mergeCell ref="A28:A29"/>
    <mergeCell ref="B28:B29"/>
    <mergeCell ref="C28:D28"/>
    <mergeCell ref="A3:M3"/>
    <mergeCell ref="A5:B5"/>
    <mergeCell ref="A8:B8"/>
    <mergeCell ref="E28:F28"/>
    <mergeCell ref="A9:B9"/>
    <mergeCell ref="A6:B6"/>
    <mergeCell ref="A7:B7"/>
    <mergeCell ref="G11:K11"/>
    <mergeCell ref="A319:A320"/>
    <mergeCell ref="E319:E320"/>
    <mergeCell ref="A268:A269"/>
    <mergeCell ref="B268:B269"/>
    <mergeCell ref="C268:C269"/>
    <mergeCell ref="D268:D269"/>
    <mergeCell ref="E268:H268"/>
    <mergeCell ref="A295:A296"/>
    <mergeCell ref="E295:E296"/>
    <mergeCell ref="B319:D319"/>
    <mergeCell ref="A314:A315"/>
    <mergeCell ref="B314:D314"/>
    <mergeCell ref="E314:E315"/>
    <mergeCell ref="A294:E294"/>
    <mergeCell ref="A309:B309"/>
    <mergeCell ref="A313:E313"/>
    <mergeCell ref="A318:E318"/>
    <mergeCell ref="A280:A281"/>
    <mergeCell ref="E280:E281"/>
    <mergeCell ref="A279:E279"/>
    <mergeCell ref="D309:E309"/>
    <mergeCell ref="G318:K318"/>
    <mergeCell ref="G319:G320"/>
    <mergeCell ref="H319:J319"/>
    <mergeCell ref="H14:H16"/>
    <mergeCell ref="G17:H17"/>
    <mergeCell ref="H18:H20"/>
    <mergeCell ref="G21:H21"/>
    <mergeCell ref="H22:H24"/>
    <mergeCell ref="G25:H25"/>
    <mergeCell ref="J27:Q27"/>
    <mergeCell ref="J28:J29"/>
    <mergeCell ref="K28:K29"/>
    <mergeCell ref="L28:M28"/>
    <mergeCell ref="N28:O28"/>
    <mergeCell ref="P28:Q28"/>
    <mergeCell ref="P36:Q36"/>
    <mergeCell ref="E38:G38"/>
    <mergeCell ref="E48:F48"/>
    <mergeCell ref="E57:G57"/>
    <mergeCell ref="E58:F58"/>
    <mergeCell ref="E59:F59"/>
    <mergeCell ref="E60:F60"/>
    <mergeCell ref="E61:F61"/>
    <mergeCell ref="E62:F62"/>
    <mergeCell ref="E64:F64"/>
    <mergeCell ref="E65:F65"/>
    <mergeCell ref="E66:F66"/>
    <mergeCell ref="E67:F67"/>
    <mergeCell ref="E68:F68"/>
    <mergeCell ref="E69:F69"/>
    <mergeCell ref="E70:E76"/>
    <mergeCell ref="G89:K89"/>
    <mergeCell ref="G90:G91"/>
    <mergeCell ref="H90:J90"/>
    <mergeCell ref="K90:K91"/>
    <mergeCell ref="G96:K96"/>
    <mergeCell ref="G97:G98"/>
    <mergeCell ref="H97:J97"/>
    <mergeCell ref="K97:K98"/>
    <mergeCell ref="G103:K103"/>
    <mergeCell ref="G104:G105"/>
    <mergeCell ref="H104:J104"/>
    <mergeCell ref="K104:K105"/>
    <mergeCell ref="G117:K117"/>
    <mergeCell ref="G118:G119"/>
    <mergeCell ref="H118:J118"/>
    <mergeCell ref="K118:K119"/>
    <mergeCell ref="G131:K131"/>
    <mergeCell ref="G132:G133"/>
    <mergeCell ref="H132:J132"/>
    <mergeCell ref="K132:K133"/>
    <mergeCell ref="G136:K136"/>
    <mergeCell ref="G137:G138"/>
    <mergeCell ref="H137:J137"/>
    <mergeCell ref="K137:K138"/>
    <mergeCell ref="G141:K141"/>
    <mergeCell ref="G142:G143"/>
    <mergeCell ref="H142:J142"/>
    <mergeCell ref="K142:K143"/>
    <mergeCell ref="D156:E156"/>
    <mergeCell ref="D161:E161"/>
    <mergeCell ref="D194:E194"/>
    <mergeCell ref="D199:E199"/>
    <mergeCell ref="E206:G206"/>
    <mergeCell ref="M231:W231"/>
    <mergeCell ref="M232:M233"/>
    <mergeCell ref="N232:N233"/>
    <mergeCell ref="O232:U232"/>
    <mergeCell ref="V232:V233"/>
    <mergeCell ref="W232:W233"/>
    <mergeCell ref="H249:M249"/>
    <mergeCell ref="H250:H251"/>
    <mergeCell ref="I250:I251"/>
    <mergeCell ref="J250:J251"/>
    <mergeCell ref="K250:M250"/>
    <mergeCell ref="J232:J233"/>
    <mergeCell ref="K232:K233"/>
    <mergeCell ref="K319:K320"/>
    <mergeCell ref="J267:Q267"/>
    <mergeCell ref="J268:J269"/>
    <mergeCell ref="K268:K269"/>
    <mergeCell ref="L268:L269"/>
    <mergeCell ref="M268:M269"/>
    <mergeCell ref="N268:Q268"/>
    <mergeCell ref="G279:K279"/>
    <mergeCell ref="G280:G281"/>
    <mergeCell ref="K280:K281"/>
  </mergeCells>
  <dataValidations count="8">
    <dataValidation type="list" allowBlank="1" showInputMessage="1" showErrorMessage="1" promptTitle="Keterangan" prompt="1 : Prodi sains teknologi_x000a_2 : Prodi sosial humaniora" sqref="C8" xr:uid="{00000000-0002-0000-0000-000000000000}">
      <formula1>"1,2"</formula1>
    </dataValidation>
    <dataValidation type="list" allowBlank="1" showInputMessage="1" showErrorMessage="1" promptTitle="Keterangan" prompt="1 : Tinggi_x000a_2 : Rendah" sqref="C9" xr:uid="{00000000-0002-0000-0000-000001000000}">
      <formula1>"1,2"</formula1>
    </dataValidation>
    <dataValidation allowBlank="1" showInputMessage="1" showErrorMessage="1" promptTitle="Penjelasan" prompt="Bukti Kerjasama berupa : _x000a_Surat Penugasan, Surat Perjanjian Kerjasama (SPK), Bukti Pelaksanaan (laporan, hasil kerjasama, luaran kerjasama)_x000a_Dokumen Memorandum of Understanding (MoU) dan Memorandum of Agreement (MoA) tidak dapat dijadikan bukti kerjasama" sqref="A11:E11 C14:E14 G11:K11 I14:K14" xr:uid="{00000000-0002-0000-0000-000002000000}"/>
    <dataValidation allowBlank="1" showInputMessage="1" showErrorMessage="1" promptTitle="Penjelasan" prompt="TS = Tahun akademik penuh terakhir (2019/2020)" sqref="A27:H27 N235 B235 J27:Q27 K35" xr:uid="{00000000-0002-0000-0000-000003000000}"/>
    <dataValidation allowBlank="1" showInputMessage="1" showErrorMessage="1" promptTitle="Penjelasan" prompt="DTPS : Dosen homebase dan dosen prodi lain yang mengajar mata kuliah inti prodi" sqref="A60:C60 E60:G60" xr:uid="{00000000-0002-0000-0000-000004000000}"/>
    <dataValidation allowBlank="1" showInputMessage="1" showErrorMessage="1" promptTitle="Penjelasan" prompt="Rekognisi dosen dihitung per DTPS. 1 DTPS hanya bisa dihitung di salah satu rekognisi. Bisa memilih a, b, c, d, atau e" sqref="C70 G70" xr:uid="{00000000-0002-0000-0000-000005000000}"/>
    <dataValidation allowBlank="1" showInputMessage="1" showErrorMessage="1" promptTitle="Penjelasan" prompt="Jurnal terdaftar di SINTA 1 - 6" sqref="A107 G107" xr:uid="{00000000-0002-0000-0000-000006000000}"/>
    <dataValidation allowBlank="1" showInputMessage="1" showErrorMessage="1" promptTitle="Penjelasan" prompt="TS = Tahun akademik penuh terakhir (2020/2021)" sqref="B35" xr:uid="{209BFB69-1E1C-40EE-B44F-8E043FE92845}"/>
  </dataValidation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C908"/>
  <sheetViews>
    <sheetView tabSelected="1" topLeftCell="A903" zoomScale="90" zoomScaleNormal="90" workbookViewId="0">
      <selection activeCell="E902" sqref="E902:E907"/>
    </sheetView>
  </sheetViews>
  <sheetFormatPr defaultColWidth="9.140625" defaultRowHeight="15" x14ac:dyDescent="0.25"/>
  <cols>
    <col min="1" max="1" width="6.42578125" style="27" customWidth="1"/>
    <col min="2" max="2" width="14.7109375" style="27" customWidth="1"/>
    <col min="3" max="3" width="5.28515625" style="27" customWidth="1"/>
    <col min="4" max="4" width="58.5703125" style="27" customWidth="1"/>
    <col min="5" max="5" width="35.7109375" style="27" customWidth="1"/>
    <col min="6" max="7" width="32.7109375" style="27" customWidth="1"/>
    <col min="8" max="8" width="16.28515625" style="27" customWidth="1"/>
    <col min="9" max="9" width="12.28515625" style="27" bestFit="1" customWidth="1"/>
    <col min="10" max="10" width="12.7109375" style="27" customWidth="1"/>
    <col min="11" max="11" width="15.5703125" style="27" customWidth="1"/>
    <col min="12" max="12" width="41.7109375" style="27" customWidth="1"/>
    <col min="13" max="13" width="41.7109375" style="1" customWidth="1"/>
    <col min="14" max="14" width="41.7109375" style="27" customWidth="1"/>
    <col min="15" max="15" width="9.140625" style="27"/>
    <col min="16" max="24" width="9.140625" style="27" hidden="1" customWidth="1"/>
    <col min="25" max="16384" width="9.140625" style="27"/>
  </cols>
  <sheetData>
    <row r="1" spans="1:29" ht="15.75" x14ac:dyDescent="0.25">
      <c r="A1" s="519" t="s">
        <v>879</v>
      </c>
      <c r="B1" s="519"/>
      <c r="C1" s="519"/>
      <c r="D1" s="519"/>
      <c r="E1" s="519"/>
      <c r="F1" s="519"/>
      <c r="G1" s="519"/>
      <c r="H1" s="519"/>
      <c r="I1" s="519"/>
      <c r="J1" s="519"/>
      <c r="K1" s="519"/>
      <c r="L1" s="519"/>
      <c r="M1" s="519"/>
      <c r="N1" s="519"/>
    </row>
    <row r="2" spans="1:29" ht="15.75" x14ac:dyDescent="0.25">
      <c r="A2" s="519" t="s">
        <v>1001</v>
      </c>
      <c r="B2" s="519"/>
      <c r="C2" s="519"/>
      <c r="D2" s="519"/>
      <c r="E2" s="519"/>
      <c r="F2" s="519"/>
      <c r="G2" s="519"/>
      <c r="H2" s="519"/>
      <c r="I2" s="519"/>
      <c r="J2" s="519"/>
      <c r="K2" s="519"/>
      <c r="L2" s="519"/>
      <c r="M2" s="519"/>
      <c r="N2" s="519"/>
    </row>
    <row r="3" spans="1:29" ht="15.75" x14ac:dyDescent="0.25">
      <c r="A3" s="28"/>
      <c r="B3" s="28"/>
      <c r="C3" s="28"/>
      <c r="D3" s="28"/>
      <c r="E3" s="28"/>
      <c r="F3" s="28"/>
      <c r="G3" s="28"/>
      <c r="H3" s="28"/>
      <c r="I3" s="28"/>
      <c r="J3" s="28"/>
      <c r="K3" s="28"/>
      <c r="M3" s="27"/>
    </row>
    <row r="4" spans="1:29" ht="15.75" x14ac:dyDescent="0.25">
      <c r="A4" s="520" t="s">
        <v>1060</v>
      </c>
      <c r="B4" s="520"/>
      <c r="C4" s="520"/>
      <c r="D4" s="520"/>
      <c r="E4" s="520"/>
      <c r="F4" s="520"/>
      <c r="G4" s="520"/>
      <c r="H4" s="520"/>
      <c r="I4" s="520"/>
      <c r="J4" s="520"/>
      <c r="K4" s="520"/>
      <c r="L4" s="520"/>
      <c r="M4" s="520"/>
      <c r="N4" s="520"/>
    </row>
    <row r="5" spans="1:29" x14ac:dyDescent="0.25">
      <c r="A5" s="29"/>
      <c r="B5" s="30"/>
      <c r="C5" s="30"/>
      <c r="D5" s="31"/>
      <c r="E5" s="31"/>
      <c r="F5" s="31"/>
      <c r="G5" s="31"/>
      <c r="H5" s="31"/>
      <c r="I5" s="31"/>
      <c r="J5" s="31"/>
      <c r="K5" s="30"/>
      <c r="M5" s="27"/>
    </row>
    <row r="6" spans="1:29" ht="15" customHeight="1" x14ac:dyDescent="0.25">
      <c r="A6" s="505" t="s">
        <v>0</v>
      </c>
      <c r="B6" s="505" t="s">
        <v>575</v>
      </c>
      <c r="C6" s="501" t="s">
        <v>1</v>
      </c>
      <c r="D6" s="502"/>
      <c r="E6" s="500" t="s">
        <v>5</v>
      </c>
      <c r="F6" s="500" t="s">
        <v>163</v>
      </c>
      <c r="G6" s="500" t="s">
        <v>665</v>
      </c>
      <c r="H6" s="500"/>
      <c r="I6" s="500"/>
      <c r="J6" s="500"/>
      <c r="K6" s="500" t="s">
        <v>1019</v>
      </c>
      <c r="L6" s="500" t="s">
        <v>1020</v>
      </c>
      <c r="M6" s="500" t="s">
        <v>1021</v>
      </c>
      <c r="N6" s="500" t="s">
        <v>1129</v>
      </c>
    </row>
    <row r="7" spans="1:29" ht="30" x14ac:dyDescent="0.25">
      <c r="A7" s="506"/>
      <c r="B7" s="506"/>
      <c r="C7" s="503"/>
      <c r="D7" s="504"/>
      <c r="E7" s="500"/>
      <c r="F7" s="500"/>
      <c r="G7" s="32" t="s">
        <v>664</v>
      </c>
      <c r="H7" s="32" t="s">
        <v>802</v>
      </c>
      <c r="I7" s="32" t="s">
        <v>803</v>
      </c>
      <c r="J7" s="32" t="s">
        <v>663</v>
      </c>
      <c r="K7" s="500"/>
      <c r="L7" s="500"/>
      <c r="M7" s="500"/>
      <c r="N7" s="500"/>
      <c r="Z7" s="33"/>
      <c r="AA7" s="33"/>
      <c r="AB7" s="33"/>
      <c r="AC7" s="33"/>
    </row>
    <row r="8" spans="1:29" ht="45" customHeight="1" x14ac:dyDescent="0.25">
      <c r="A8" s="448">
        <v>1</v>
      </c>
      <c r="B8" s="451" t="s">
        <v>582</v>
      </c>
      <c r="C8" s="395" t="s">
        <v>576</v>
      </c>
      <c r="D8" s="395"/>
      <c r="E8" s="454" t="s">
        <v>1719</v>
      </c>
      <c r="F8" s="414" t="s">
        <v>1130</v>
      </c>
      <c r="G8" s="414" t="s">
        <v>1131</v>
      </c>
      <c r="H8" s="34" t="s">
        <v>582</v>
      </c>
      <c r="I8" s="34">
        <v>1</v>
      </c>
      <c r="J8" s="109" t="str">
        <f>IF((IF(OR((H8&amp;"."&amp;I8)=$R$8,(H8&amp;"."&amp;I8)=$S$8,(H8&amp;"."&amp;I8)=$T$8,(H8&amp;"."&amp;I8)=$U$8,(H8&amp;"."&amp;I8)=$V$8,(H8&amp;"."&amp;I8)=$W$8),1,0))=1,"EKSTREM",IF((IF(OR((H8&amp;"."&amp;I8)=$R$9,(H8&amp;"."&amp;I8)=$S$9,(H8&amp;"."&amp;I8)=$T$9,(H8&amp;"."&amp;I8)=$U$9,(H8&amp;"."&amp;I8)=$V$9,(H8&amp;"."&amp;I8)=$W$9,(H8&amp;"."&amp;I8)=$X$9),1,0))=1,"TINGGI",IF((IF(OR((H8&amp;"."&amp;I8)=$R$10,(H8&amp;"."&amp;I8)=$S$10,(H8&amp;"."&amp;I8)=$T$10,(H8&amp;"."&amp;I8)=$U$10,(H8&amp;"."&amp;I8)=$V$10,(H8&amp;"."&amp;I8)=$W$10),1,0))=1,"MODERAT",IF((IF(OR((H8&amp;"."&amp;I8)=$R$11,(H8&amp;"."&amp;I8)=$S$11,(H8&amp;"."&amp;I8)=$T$11,(H8&amp;"."&amp;I8)=$U$11,(H8&amp;"."&amp;I8)=$V$11,(H8&amp;"."&amp;I8)=$W$11),1,0))=1,"RENDAH","-"))))</f>
        <v>RENDAH</v>
      </c>
      <c r="K8" s="36">
        <v>0</v>
      </c>
      <c r="L8" s="440" t="s">
        <v>1132</v>
      </c>
      <c r="M8" s="440" t="s">
        <v>1133</v>
      </c>
      <c r="N8" s="514"/>
      <c r="P8" s="277" t="s">
        <v>804</v>
      </c>
      <c r="Q8" s="278" t="s">
        <v>805</v>
      </c>
      <c r="R8" s="277" t="s">
        <v>812</v>
      </c>
      <c r="S8" s="277" t="s">
        <v>813</v>
      </c>
      <c r="T8" s="277" t="s">
        <v>814</v>
      </c>
      <c r="U8" s="277" t="s">
        <v>815</v>
      </c>
      <c r="V8" s="277" t="s">
        <v>816</v>
      </c>
      <c r="W8" s="277" t="s">
        <v>817</v>
      </c>
      <c r="X8" s="277"/>
    </row>
    <row r="9" spans="1:29" ht="165" x14ac:dyDescent="0.25">
      <c r="A9" s="449"/>
      <c r="B9" s="405"/>
      <c r="C9" s="37">
        <v>4</v>
      </c>
      <c r="D9" s="38" t="s">
        <v>577</v>
      </c>
      <c r="E9" s="455"/>
      <c r="F9" s="415"/>
      <c r="G9" s="415"/>
      <c r="H9" s="401"/>
      <c r="I9" s="401"/>
      <c r="J9" s="401"/>
      <c r="K9" s="401"/>
      <c r="L9" s="441"/>
      <c r="M9" s="441"/>
      <c r="N9" s="515"/>
      <c r="P9" s="279" t="s">
        <v>806</v>
      </c>
      <c r="Q9" s="280" t="s">
        <v>807</v>
      </c>
      <c r="R9" s="279" t="s">
        <v>818</v>
      </c>
      <c r="S9" s="279" t="s">
        <v>819</v>
      </c>
      <c r="T9" s="279" t="s">
        <v>820</v>
      </c>
      <c r="U9" s="279" t="s">
        <v>821</v>
      </c>
      <c r="V9" s="279" t="s">
        <v>822</v>
      </c>
      <c r="W9" s="279" t="s">
        <v>823</v>
      </c>
      <c r="X9" s="279" t="s">
        <v>824</v>
      </c>
    </row>
    <row r="10" spans="1:29" ht="120" x14ac:dyDescent="0.25">
      <c r="A10" s="449"/>
      <c r="B10" s="405"/>
      <c r="C10" s="37">
        <v>3</v>
      </c>
      <c r="D10" s="38" t="s">
        <v>578</v>
      </c>
      <c r="E10" s="455"/>
      <c r="F10" s="415"/>
      <c r="G10" s="415"/>
      <c r="H10" s="402"/>
      <c r="I10" s="402"/>
      <c r="J10" s="402"/>
      <c r="K10" s="402"/>
      <c r="L10" s="441"/>
      <c r="M10" s="441"/>
      <c r="N10" s="515"/>
      <c r="P10" s="281" t="s">
        <v>808</v>
      </c>
      <c r="Q10" s="282" t="s">
        <v>809</v>
      </c>
      <c r="R10" s="281" t="s">
        <v>825</v>
      </c>
      <c r="S10" s="281" t="s">
        <v>826</v>
      </c>
      <c r="T10" s="281" t="s">
        <v>827</v>
      </c>
      <c r="U10" s="281" t="s">
        <v>828</v>
      </c>
      <c r="V10" s="281" t="s">
        <v>829</v>
      </c>
      <c r="W10" s="281" t="s">
        <v>830</v>
      </c>
      <c r="X10" s="281"/>
    </row>
    <row r="11" spans="1:29" ht="75" x14ac:dyDescent="0.25">
      <c r="A11" s="449"/>
      <c r="B11" s="405"/>
      <c r="C11" s="37">
        <v>2</v>
      </c>
      <c r="D11" s="38" t="s">
        <v>579</v>
      </c>
      <c r="E11" s="455"/>
      <c r="F11" s="415"/>
      <c r="G11" s="415"/>
      <c r="H11" s="402"/>
      <c r="I11" s="402"/>
      <c r="J11" s="402"/>
      <c r="K11" s="402"/>
      <c r="L11" s="441"/>
      <c r="M11" s="441"/>
      <c r="N11" s="515"/>
      <c r="P11" s="283" t="s">
        <v>810</v>
      </c>
      <c r="Q11" s="284" t="s">
        <v>811</v>
      </c>
      <c r="R11" s="283" t="s">
        <v>831</v>
      </c>
      <c r="S11" s="283" t="s">
        <v>832</v>
      </c>
      <c r="T11" s="283" t="s">
        <v>833</v>
      </c>
      <c r="U11" s="283" t="s">
        <v>834</v>
      </c>
      <c r="V11" s="283" t="s">
        <v>835</v>
      </c>
      <c r="W11" s="283" t="s">
        <v>836</v>
      </c>
      <c r="X11" s="283"/>
    </row>
    <row r="12" spans="1:29" ht="75" x14ac:dyDescent="0.25">
      <c r="A12" s="449"/>
      <c r="B12" s="405"/>
      <c r="C12" s="37">
        <v>1</v>
      </c>
      <c r="D12" s="38" t="s">
        <v>580</v>
      </c>
      <c r="E12" s="455"/>
      <c r="F12" s="415"/>
      <c r="G12" s="415"/>
      <c r="H12" s="402"/>
      <c r="I12" s="402"/>
      <c r="J12" s="402"/>
      <c r="K12" s="402"/>
      <c r="L12" s="441"/>
      <c r="M12" s="441"/>
      <c r="N12" s="515"/>
    </row>
    <row r="13" spans="1:29" ht="75" x14ac:dyDescent="0.25">
      <c r="A13" s="449"/>
      <c r="B13" s="405"/>
      <c r="C13" s="37">
        <v>0</v>
      </c>
      <c r="D13" s="38" t="s">
        <v>581</v>
      </c>
      <c r="E13" s="456"/>
      <c r="F13" s="416"/>
      <c r="G13" s="416"/>
      <c r="H13" s="403"/>
      <c r="I13" s="403"/>
      <c r="J13" s="403"/>
      <c r="K13" s="403"/>
      <c r="L13" s="441"/>
      <c r="M13" s="441"/>
      <c r="N13" s="515"/>
    </row>
    <row r="14" spans="1:29" x14ac:dyDescent="0.25">
      <c r="A14" s="450"/>
      <c r="B14" s="406"/>
      <c r="C14" s="434" t="s">
        <v>6</v>
      </c>
      <c r="D14" s="482"/>
      <c r="E14" s="482"/>
      <c r="F14" s="435"/>
      <c r="G14" s="39"/>
      <c r="H14" s="40"/>
      <c r="I14" s="40"/>
      <c r="J14" s="40"/>
      <c r="K14" s="110">
        <f>IF(OR(ISBLANK(K8),K8&lt;0,K8&gt;4),0,K8)</f>
        <v>0</v>
      </c>
      <c r="L14" s="442"/>
      <c r="M14" s="442"/>
      <c r="N14" s="516"/>
    </row>
    <row r="15" spans="1:29" ht="15.75" thickBot="1" x14ac:dyDescent="0.3">
      <c r="M15" s="27"/>
    </row>
    <row r="16" spans="1:29" ht="60" customHeight="1" x14ac:dyDescent="0.25">
      <c r="A16" s="448">
        <f>A8+1</f>
        <v>2</v>
      </c>
      <c r="B16" s="451" t="s">
        <v>583</v>
      </c>
      <c r="C16" s="452" t="s">
        <v>977</v>
      </c>
      <c r="D16" s="453"/>
      <c r="E16" s="454" t="s">
        <v>1720</v>
      </c>
      <c r="F16" s="414" t="s">
        <v>1130</v>
      </c>
      <c r="G16" s="414" t="s">
        <v>1131</v>
      </c>
      <c r="H16" s="34" t="s">
        <v>582</v>
      </c>
      <c r="I16" s="34">
        <v>1</v>
      </c>
      <c r="J16" s="109" t="str">
        <f>IF((IF(OR((H16&amp;"."&amp;I16)=$R$8,(H16&amp;"."&amp;I16)=$S$8,(H16&amp;"."&amp;I16)=$T$8,(H16&amp;"."&amp;I16)=$U$8,(H16&amp;"."&amp;I16)=$V$8,(H16&amp;"."&amp;I16)=$W$8),1,0))=1,"EKSTREM",IF((IF(OR((H16&amp;"."&amp;I16)=$R$9,(H16&amp;"."&amp;I16)=$S$9,(H16&amp;"."&amp;I16)=$T$9,(H16&amp;"."&amp;I16)=$U$9,(H16&amp;"."&amp;I16)=$V$9,(H16&amp;"."&amp;I16)=$W$9,(H16&amp;"."&amp;I16)=$X$9),1,0))=1,"TINGGI",IF((IF(OR((H16&amp;"."&amp;I16)=$R$10,(H16&amp;"."&amp;I16)=$S$10,(H16&amp;"."&amp;I16)=$T$10,(H16&amp;"."&amp;I16)=$U$10,(H16&amp;"."&amp;I16)=$V$10,(H16&amp;"."&amp;I16)=$W$10),1,0))=1,"MODERAT",IF((IF(OR((H16&amp;"."&amp;I16)=$R$11,(H16&amp;"."&amp;I16)=$S$11,(H16&amp;"."&amp;I16)=$T$11,(H16&amp;"."&amp;I16)=$U$11,(H16&amp;"."&amp;I16)=$V$11,(H16&amp;"."&amp;I16)=$W$11),1,0))=1,"RENDAH","-"))))</f>
        <v>RENDAH</v>
      </c>
      <c r="K16" s="36">
        <v>0</v>
      </c>
      <c r="L16" s="440" t="s">
        <v>1132</v>
      </c>
      <c r="M16" s="440" t="s">
        <v>1133</v>
      </c>
      <c r="N16" s="514"/>
    </row>
    <row r="17" spans="1:14" ht="150" x14ac:dyDescent="0.25">
      <c r="A17" s="449"/>
      <c r="B17" s="405"/>
      <c r="C17" s="37">
        <v>4</v>
      </c>
      <c r="D17" s="41" t="s">
        <v>489</v>
      </c>
      <c r="E17" s="455"/>
      <c r="F17" s="415"/>
      <c r="G17" s="415"/>
      <c r="H17" s="401"/>
      <c r="I17" s="401"/>
      <c r="J17" s="401"/>
      <c r="K17" s="401"/>
      <c r="L17" s="441"/>
      <c r="M17" s="441"/>
      <c r="N17" s="515"/>
    </row>
    <row r="18" spans="1:14" ht="120" x14ac:dyDescent="0.25">
      <c r="A18" s="449"/>
      <c r="B18" s="405"/>
      <c r="C18" s="37">
        <v>3</v>
      </c>
      <c r="D18" s="41" t="s">
        <v>490</v>
      </c>
      <c r="E18" s="455"/>
      <c r="F18" s="415"/>
      <c r="G18" s="415"/>
      <c r="H18" s="402"/>
      <c r="I18" s="402"/>
      <c r="J18" s="402"/>
      <c r="K18" s="402"/>
      <c r="L18" s="441"/>
      <c r="M18" s="441"/>
      <c r="N18" s="515"/>
    </row>
    <row r="19" spans="1:14" ht="90" x14ac:dyDescent="0.25">
      <c r="A19" s="449"/>
      <c r="B19" s="405"/>
      <c r="C19" s="37">
        <v>2</v>
      </c>
      <c r="D19" s="41" t="s">
        <v>491</v>
      </c>
      <c r="E19" s="455"/>
      <c r="F19" s="415"/>
      <c r="G19" s="415"/>
      <c r="H19" s="402"/>
      <c r="I19" s="402"/>
      <c r="J19" s="402"/>
      <c r="K19" s="402"/>
      <c r="L19" s="441"/>
      <c r="M19" s="441"/>
      <c r="N19" s="515"/>
    </row>
    <row r="20" spans="1:14" ht="90" x14ac:dyDescent="0.25">
      <c r="A20" s="449"/>
      <c r="B20" s="405"/>
      <c r="C20" s="37">
        <v>1</v>
      </c>
      <c r="D20" s="41" t="s">
        <v>492</v>
      </c>
      <c r="E20" s="455"/>
      <c r="F20" s="415"/>
      <c r="G20" s="415"/>
      <c r="H20" s="402"/>
      <c r="I20" s="402"/>
      <c r="J20" s="402"/>
      <c r="K20" s="402"/>
      <c r="L20" s="441"/>
      <c r="M20" s="441"/>
      <c r="N20" s="515"/>
    </row>
    <row r="21" spans="1:14" ht="45" x14ac:dyDescent="0.25">
      <c r="A21" s="449"/>
      <c r="B21" s="405"/>
      <c r="C21" s="37">
        <v>0</v>
      </c>
      <c r="D21" s="41" t="s">
        <v>493</v>
      </c>
      <c r="E21" s="456"/>
      <c r="F21" s="416"/>
      <c r="G21" s="416"/>
      <c r="H21" s="403"/>
      <c r="I21" s="403"/>
      <c r="J21" s="403"/>
      <c r="K21" s="403"/>
      <c r="L21" s="441"/>
      <c r="M21" s="441"/>
      <c r="N21" s="515"/>
    </row>
    <row r="22" spans="1:14" x14ac:dyDescent="0.25">
      <c r="A22" s="450"/>
      <c r="B22" s="406"/>
      <c r="C22" s="457" t="s">
        <v>6</v>
      </c>
      <c r="D22" s="458"/>
      <c r="E22" s="459"/>
      <c r="F22" s="42"/>
      <c r="G22" s="42"/>
      <c r="H22" s="42"/>
      <c r="I22" s="42"/>
      <c r="J22" s="42"/>
      <c r="K22" s="110">
        <f>IF(OR(ISBLANK(K16),K16&lt;0,K16&gt;4),0,K16)</f>
        <v>0</v>
      </c>
      <c r="L22" s="442"/>
      <c r="M22" s="442"/>
      <c r="N22" s="516"/>
    </row>
    <row r="23" spans="1:14" x14ac:dyDescent="0.25">
      <c r="M23" s="27"/>
    </row>
    <row r="24" spans="1:14" ht="45" customHeight="1" x14ac:dyDescent="0.25">
      <c r="A24" s="448">
        <f>A16+1</f>
        <v>3</v>
      </c>
      <c r="B24" s="404" t="s">
        <v>584</v>
      </c>
      <c r="C24" s="395" t="s">
        <v>585</v>
      </c>
      <c r="D24" s="395"/>
      <c r="E24" s="454" t="s">
        <v>1721</v>
      </c>
      <c r="F24" s="414" t="s">
        <v>1130</v>
      </c>
      <c r="G24" s="414" t="s">
        <v>1131</v>
      </c>
      <c r="H24" s="34" t="s">
        <v>582</v>
      </c>
      <c r="I24" s="34">
        <v>1</v>
      </c>
      <c r="J24" s="109" t="str">
        <f>IF((IF(OR((H24&amp;"."&amp;I24)=$R$8,(H24&amp;"."&amp;I24)=$S$8,(H24&amp;"."&amp;I24)=$T$8,(H24&amp;"."&amp;I24)=$U$8,(H24&amp;"."&amp;I24)=$V$8,(H24&amp;"."&amp;I24)=$W$8),1,0))=1,"EKSTREM",IF((IF(OR((H24&amp;"."&amp;I24)=$R$9,(H24&amp;"."&amp;I24)=$S$9,(H24&amp;"."&amp;I24)=$T$9,(H24&amp;"."&amp;I24)=$U$9,(H24&amp;"."&amp;I24)=$V$9,(H24&amp;"."&amp;I24)=$W$9,(H24&amp;"."&amp;I24)=$X$9),1,0))=1,"TINGGI",IF((IF(OR((H24&amp;"."&amp;I24)=$R$10,(H24&amp;"."&amp;I24)=$S$10,(H24&amp;"."&amp;I24)=$T$10,(H24&amp;"."&amp;I24)=$U$10,(H24&amp;"."&amp;I24)=$V$10,(H24&amp;"."&amp;I24)=$W$10),1,0))=1,"MODERAT",IF((IF(OR((H24&amp;"."&amp;I24)=$R$11,(H24&amp;"."&amp;I24)=$S$11,(H24&amp;"."&amp;I24)=$T$11,(H24&amp;"."&amp;I24)=$U$11,(H24&amp;"."&amp;I24)=$V$11,(H24&amp;"."&amp;I24)=$W$11),1,0))=1,"RENDAH","-"))))</f>
        <v>RENDAH</v>
      </c>
      <c r="K24" s="36">
        <v>0</v>
      </c>
      <c r="L24" s="440" t="s">
        <v>1132</v>
      </c>
      <c r="M24" s="440" t="s">
        <v>1133</v>
      </c>
      <c r="N24" s="514"/>
    </row>
    <row r="25" spans="1:14" ht="120" x14ac:dyDescent="0.25">
      <c r="A25" s="449"/>
      <c r="B25" s="407"/>
      <c r="C25" s="37">
        <v>4</v>
      </c>
      <c r="D25" s="41" t="s">
        <v>586</v>
      </c>
      <c r="E25" s="455"/>
      <c r="F25" s="415"/>
      <c r="G25" s="415"/>
      <c r="H25" s="401"/>
      <c r="I25" s="401"/>
      <c r="J25" s="401"/>
      <c r="K25" s="401"/>
      <c r="L25" s="441"/>
      <c r="M25" s="441"/>
      <c r="N25" s="515"/>
    </row>
    <row r="26" spans="1:14" ht="90" x14ac:dyDescent="0.25">
      <c r="A26" s="449"/>
      <c r="B26" s="407"/>
      <c r="C26" s="37">
        <v>3</v>
      </c>
      <c r="D26" s="41" t="s">
        <v>587</v>
      </c>
      <c r="E26" s="455"/>
      <c r="F26" s="415"/>
      <c r="G26" s="415"/>
      <c r="H26" s="402"/>
      <c r="I26" s="402"/>
      <c r="J26" s="402"/>
      <c r="K26" s="402"/>
      <c r="L26" s="441"/>
      <c r="M26" s="441"/>
      <c r="N26" s="515"/>
    </row>
    <row r="27" spans="1:14" ht="90" x14ac:dyDescent="0.25">
      <c r="A27" s="449"/>
      <c r="B27" s="407"/>
      <c r="C27" s="37">
        <v>2</v>
      </c>
      <c r="D27" s="41" t="s">
        <v>588</v>
      </c>
      <c r="E27" s="455"/>
      <c r="F27" s="415"/>
      <c r="G27" s="415"/>
      <c r="H27" s="402"/>
      <c r="I27" s="402"/>
      <c r="J27" s="402"/>
      <c r="K27" s="402"/>
      <c r="L27" s="441"/>
      <c r="M27" s="441"/>
      <c r="N27" s="515"/>
    </row>
    <row r="28" spans="1:14" ht="90" x14ac:dyDescent="0.25">
      <c r="A28" s="449"/>
      <c r="B28" s="407"/>
      <c r="C28" s="37">
        <v>1</v>
      </c>
      <c r="D28" s="41" t="s">
        <v>589</v>
      </c>
      <c r="E28" s="455"/>
      <c r="F28" s="415"/>
      <c r="G28" s="415"/>
      <c r="H28" s="402"/>
      <c r="I28" s="402"/>
      <c r="J28" s="402"/>
      <c r="K28" s="402"/>
      <c r="L28" s="441"/>
      <c r="M28" s="441"/>
      <c r="N28" s="515"/>
    </row>
    <row r="29" spans="1:14" ht="45" x14ac:dyDescent="0.25">
      <c r="A29" s="449"/>
      <c r="B29" s="407"/>
      <c r="C29" s="37">
        <v>0</v>
      </c>
      <c r="D29" s="41" t="s">
        <v>590</v>
      </c>
      <c r="E29" s="456"/>
      <c r="F29" s="416"/>
      <c r="G29" s="416"/>
      <c r="H29" s="403"/>
      <c r="I29" s="403"/>
      <c r="J29" s="403"/>
      <c r="K29" s="403"/>
      <c r="L29" s="441"/>
      <c r="M29" s="441"/>
      <c r="N29" s="515"/>
    </row>
    <row r="30" spans="1:14" x14ac:dyDescent="0.25">
      <c r="A30" s="450"/>
      <c r="B30" s="408"/>
      <c r="C30" s="457" t="s">
        <v>6</v>
      </c>
      <c r="D30" s="458"/>
      <c r="E30" s="459"/>
      <c r="F30" s="42"/>
      <c r="G30" s="42"/>
      <c r="H30" s="42"/>
      <c r="I30" s="42"/>
      <c r="J30" s="42"/>
      <c r="K30" s="110">
        <f>IF(OR(ISBLANK(K24),K24&lt;0,K24&gt;4),0,K24)</f>
        <v>0</v>
      </c>
      <c r="L30" s="442"/>
      <c r="M30" s="442"/>
      <c r="N30" s="516"/>
    </row>
    <row r="31" spans="1:14" x14ac:dyDescent="0.25">
      <c r="B31" s="1"/>
      <c r="L31" s="43"/>
      <c r="M31" s="43"/>
      <c r="N31" s="43"/>
    </row>
    <row r="32" spans="1:14" ht="30" customHeight="1" x14ac:dyDescent="0.25">
      <c r="A32" s="448">
        <f>A24+1</f>
        <v>4</v>
      </c>
      <c r="B32" s="451"/>
      <c r="C32" s="395" t="s">
        <v>30</v>
      </c>
      <c r="D32" s="395"/>
      <c r="E32" s="454" t="s">
        <v>1722</v>
      </c>
      <c r="F32" s="414" t="s">
        <v>1130</v>
      </c>
      <c r="G32" s="414" t="s">
        <v>1131</v>
      </c>
      <c r="H32" s="34" t="s">
        <v>582</v>
      </c>
      <c r="I32" s="34">
        <v>1</v>
      </c>
      <c r="J32" s="109" t="str">
        <f>IF((IF(OR((H32&amp;"."&amp;I32)=$R$8,(H32&amp;"."&amp;I32)=$S$8,(H32&amp;"."&amp;I32)=$T$8,(H32&amp;"."&amp;I32)=$U$8,(H32&amp;"."&amp;I32)=$V$8,(H32&amp;"."&amp;I32)=$W$8),1,0))=1,"EKSTREM",IF((IF(OR((H32&amp;"."&amp;I32)=$R$9,(H32&amp;"."&amp;I32)=$S$9,(H32&amp;"."&amp;I32)=$T$9,(H32&amp;"."&amp;I32)=$U$9,(H32&amp;"."&amp;I32)=$V$9,(H32&amp;"."&amp;I32)=$W$9,(H32&amp;"."&amp;I32)=$X$9),1,0))=1,"TINGGI",IF((IF(OR((H32&amp;"."&amp;I32)=$R$10,(H32&amp;"."&amp;I32)=$S$10,(H32&amp;"."&amp;I32)=$T$10,(H32&amp;"."&amp;I32)=$U$10,(H32&amp;"."&amp;I32)=$V$10,(H32&amp;"."&amp;I32)=$W$10),1,0))=1,"MODERAT",IF((IF(OR((H32&amp;"."&amp;I32)=$R$11,(H32&amp;"."&amp;I32)=$S$11,(H32&amp;"."&amp;I32)=$T$11,(H32&amp;"."&amp;I32)=$U$11,(H32&amp;"."&amp;I32)=$V$11,(H32&amp;"."&amp;I32)=$W$11),1,0))=1,"RENDAH","-"))))</f>
        <v>RENDAH</v>
      </c>
      <c r="K32" s="36">
        <v>0</v>
      </c>
      <c r="L32" s="440" t="s">
        <v>1132</v>
      </c>
      <c r="M32" s="440" t="s">
        <v>1133</v>
      </c>
      <c r="N32" s="514"/>
    </row>
    <row r="33" spans="1:14" ht="75" x14ac:dyDescent="0.25">
      <c r="A33" s="449"/>
      <c r="B33" s="405"/>
      <c r="C33" s="37">
        <v>4</v>
      </c>
      <c r="D33" s="41" t="s">
        <v>2</v>
      </c>
      <c r="E33" s="455"/>
      <c r="F33" s="415"/>
      <c r="G33" s="415"/>
      <c r="H33" s="401"/>
      <c r="I33" s="401"/>
      <c r="J33" s="401"/>
      <c r="K33" s="401"/>
      <c r="L33" s="441"/>
      <c r="M33" s="441"/>
      <c r="N33" s="515"/>
    </row>
    <row r="34" spans="1:14" ht="75" x14ac:dyDescent="0.25">
      <c r="A34" s="449"/>
      <c r="B34" s="405"/>
      <c r="C34" s="37">
        <v>3</v>
      </c>
      <c r="D34" s="41" t="s">
        <v>591</v>
      </c>
      <c r="E34" s="455"/>
      <c r="F34" s="415"/>
      <c r="G34" s="415"/>
      <c r="H34" s="402"/>
      <c r="I34" s="402"/>
      <c r="J34" s="402"/>
      <c r="K34" s="402"/>
      <c r="L34" s="441"/>
      <c r="M34" s="441"/>
      <c r="N34" s="515"/>
    </row>
    <row r="35" spans="1:14" ht="60" x14ac:dyDescent="0.25">
      <c r="A35" s="449"/>
      <c r="B35" s="405"/>
      <c r="C35" s="37">
        <v>2</v>
      </c>
      <c r="D35" s="41" t="s">
        <v>592</v>
      </c>
      <c r="E35" s="455"/>
      <c r="F35" s="415"/>
      <c r="G35" s="415"/>
      <c r="H35" s="402"/>
      <c r="I35" s="402"/>
      <c r="J35" s="402"/>
      <c r="K35" s="402"/>
      <c r="L35" s="441"/>
      <c r="M35" s="441"/>
      <c r="N35" s="515"/>
    </row>
    <row r="36" spans="1:14" ht="45" x14ac:dyDescent="0.25">
      <c r="A36" s="449"/>
      <c r="B36" s="405"/>
      <c r="C36" s="37">
        <v>1</v>
      </c>
      <c r="D36" s="41" t="s">
        <v>3</v>
      </c>
      <c r="E36" s="455"/>
      <c r="F36" s="415"/>
      <c r="G36" s="415"/>
      <c r="H36" s="402"/>
      <c r="I36" s="402"/>
      <c r="J36" s="402"/>
      <c r="K36" s="402"/>
      <c r="L36" s="441"/>
      <c r="M36" s="441"/>
      <c r="N36" s="515"/>
    </row>
    <row r="37" spans="1:14" ht="30" x14ac:dyDescent="0.25">
      <c r="A37" s="449"/>
      <c r="B37" s="405"/>
      <c r="C37" s="37">
        <v>0</v>
      </c>
      <c r="D37" s="41" t="s">
        <v>4</v>
      </c>
      <c r="E37" s="456"/>
      <c r="F37" s="416"/>
      <c r="G37" s="416"/>
      <c r="H37" s="403"/>
      <c r="I37" s="403"/>
      <c r="J37" s="403"/>
      <c r="K37" s="403"/>
      <c r="L37" s="441"/>
      <c r="M37" s="441"/>
      <c r="N37" s="515"/>
    </row>
    <row r="38" spans="1:14" x14ac:dyDescent="0.25">
      <c r="A38" s="450"/>
      <c r="B38" s="406"/>
      <c r="C38" s="457" t="s">
        <v>6</v>
      </c>
      <c r="D38" s="458"/>
      <c r="E38" s="459"/>
      <c r="F38" s="44"/>
      <c r="G38" s="44"/>
      <c r="H38" s="44"/>
      <c r="I38" s="44"/>
      <c r="J38" s="44"/>
      <c r="K38" s="110">
        <f>IF(OR(ISBLANK(K32),K32&lt;0,K32&gt;4),0,K32)</f>
        <v>0</v>
      </c>
      <c r="L38" s="442"/>
      <c r="M38" s="442"/>
      <c r="N38" s="516"/>
    </row>
    <row r="39" spans="1:14" x14ac:dyDescent="0.25">
      <c r="L39" s="43"/>
      <c r="M39" s="43"/>
      <c r="N39" s="43"/>
    </row>
    <row r="40" spans="1:14" ht="60" customHeight="1" x14ac:dyDescent="0.25">
      <c r="A40" s="448">
        <f>A32+1</f>
        <v>5</v>
      </c>
      <c r="B40" s="451"/>
      <c r="C40" s="395" t="s">
        <v>31</v>
      </c>
      <c r="D40" s="395"/>
      <c r="E40" s="454" t="s">
        <v>1723</v>
      </c>
      <c r="F40" s="414" t="s">
        <v>1130</v>
      </c>
      <c r="G40" s="414" t="s">
        <v>1131</v>
      </c>
      <c r="H40" s="34" t="s">
        <v>582</v>
      </c>
      <c r="I40" s="34">
        <v>1</v>
      </c>
      <c r="J40" s="109" t="str">
        <f>IF((IF(OR((H40&amp;"."&amp;I40)=$R$8,(H40&amp;"."&amp;I40)=$S$8,(H40&amp;"."&amp;I40)=$T$8,(H40&amp;"."&amp;I40)=$U$8,(H40&amp;"."&amp;I40)=$V$8,(H40&amp;"."&amp;I40)=$W$8),1,0))=1,"EKSTREM",IF((IF(OR((H40&amp;"."&amp;I40)=$R$9,(H40&amp;"."&amp;I40)=$S$9,(H40&amp;"."&amp;I40)=$T$9,(H40&amp;"."&amp;I40)=$U$9,(H40&amp;"."&amp;I40)=$V$9,(H40&amp;"."&amp;I40)=$W$9,(H40&amp;"."&amp;I40)=$X$9),1,0))=1,"TINGGI",IF((IF(OR((H40&amp;"."&amp;I40)=$R$10,(H40&amp;"."&amp;I40)=$S$10,(H40&amp;"."&amp;I40)=$T$10,(H40&amp;"."&amp;I40)=$U$10,(H40&amp;"."&amp;I40)=$V$10,(H40&amp;"."&amp;I40)=$W$10),1,0))=1,"MODERAT",IF((IF(OR((H40&amp;"."&amp;I40)=$R$11,(H40&amp;"."&amp;I40)=$S$11,(H40&amp;"."&amp;I40)=$T$11,(H40&amp;"."&amp;I40)=$U$11,(H40&amp;"."&amp;I40)=$V$11,(H40&amp;"."&amp;I40)=$W$11),1,0))=1,"RENDAH","-"))))</f>
        <v>RENDAH</v>
      </c>
      <c r="K40" s="36">
        <v>0</v>
      </c>
      <c r="L40" s="440" t="s">
        <v>1132</v>
      </c>
      <c r="M40" s="440" t="s">
        <v>1133</v>
      </c>
      <c r="N40" s="514"/>
    </row>
    <row r="41" spans="1:14" ht="60" customHeight="1" x14ac:dyDescent="0.25">
      <c r="A41" s="449"/>
      <c r="B41" s="405"/>
      <c r="C41" s="37">
        <v>4</v>
      </c>
      <c r="D41" s="41" t="s">
        <v>593</v>
      </c>
      <c r="E41" s="483"/>
      <c r="F41" s="415"/>
      <c r="G41" s="415"/>
      <c r="H41" s="401"/>
      <c r="I41" s="401"/>
      <c r="J41" s="401"/>
      <c r="K41" s="401"/>
      <c r="L41" s="441"/>
      <c r="M41" s="441"/>
      <c r="N41" s="515"/>
    </row>
    <row r="42" spans="1:14" ht="60" x14ac:dyDescent="0.25">
      <c r="A42" s="449"/>
      <c r="B42" s="405"/>
      <c r="C42" s="37">
        <v>3</v>
      </c>
      <c r="D42" s="41" t="s">
        <v>594</v>
      </c>
      <c r="E42" s="483"/>
      <c r="F42" s="415"/>
      <c r="G42" s="415"/>
      <c r="H42" s="402"/>
      <c r="I42" s="402"/>
      <c r="J42" s="402"/>
      <c r="K42" s="402"/>
      <c r="L42" s="441"/>
      <c r="M42" s="441"/>
      <c r="N42" s="515"/>
    </row>
    <row r="43" spans="1:14" ht="60" x14ac:dyDescent="0.25">
      <c r="A43" s="449"/>
      <c r="B43" s="405"/>
      <c r="C43" s="37">
        <v>2</v>
      </c>
      <c r="D43" s="41" t="s">
        <v>595</v>
      </c>
      <c r="E43" s="483"/>
      <c r="F43" s="415"/>
      <c r="G43" s="415"/>
      <c r="H43" s="402"/>
      <c r="I43" s="402"/>
      <c r="J43" s="402"/>
      <c r="K43" s="402"/>
      <c r="L43" s="441"/>
      <c r="M43" s="441"/>
      <c r="N43" s="515"/>
    </row>
    <row r="44" spans="1:14" ht="45" x14ac:dyDescent="0.25">
      <c r="A44" s="449"/>
      <c r="B44" s="405"/>
      <c r="C44" s="37">
        <v>1</v>
      </c>
      <c r="D44" s="41" t="s">
        <v>596</v>
      </c>
      <c r="E44" s="483"/>
      <c r="F44" s="415"/>
      <c r="G44" s="415"/>
      <c r="H44" s="402"/>
      <c r="I44" s="402"/>
      <c r="J44" s="402"/>
      <c r="K44" s="402"/>
      <c r="L44" s="441"/>
      <c r="M44" s="441"/>
      <c r="N44" s="515"/>
    </row>
    <row r="45" spans="1:14" x14ac:dyDescent="0.25">
      <c r="A45" s="449"/>
      <c r="B45" s="405"/>
      <c r="C45" s="37">
        <v>0</v>
      </c>
      <c r="D45" s="41" t="s">
        <v>597</v>
      </c>
      <c r="E45" s="484"/>
      <c r="F45" s="416"/>
      <c r="G45" s="416"/>
      <c r="H45" s="403"/>
      <c r="I45" s="403"/>
      <c r="J45" s="403"/>
      <c r="K45" s="403"/>
      <c r="L45" s="441"/>
      <c r="M45" s="441"/>
      <c r="N45" s="515"/>
    </row>
    <row r="46" spans="1:14" x14ac:dyDescent="0.25">
      <c r="A46" s="450"/>
      <c r="B46" s="406"/>
      <c r="C46" s="457" t="s">
        <v>6</v>
      </c>
      <c r="D46" s="458"/>
      <c r="E46" s="459"/>
      <c r="F46" s="44"/>
      <c r="G46" s="44"/>
      <c r="H46" s="44"/>
      <c r="I46" s="44"/>
      <c r="J46" s="44"/>
      <c r="K46" s="110">
        <f>IF(OR(ISBLANK(K40),K40&lt;0,K40&gt;4),0,K40)</f>
        <v>0</v>
      </c>
      <c r="L46" s="442"/>
      <c r="M46" s="442"/>
      <c r="N46" s="516"/>
    </row>
    <row r="47" spans="1:14" x14ac:dyDescent="0.25">
      <c r="L47" s="43"/>
      <c r="M47" s="43"/>
      <c r="N47" s="43"/>
    </row>
    <row r="48" spans="1:14" ht="45" customHeight="1" x14ac:dyDescent="0.25">
      <c r="A48" s="417">
        <f>A40+1</f>
        <v>6</v>
      </c>
      <c r="B48" s="404" t="s">
        <v>978</v>
      </c>
      <c r="C48" s="395" t="s">
        <v>598</v>
      </c>
      <c r="D48" s="395"/>
      <c r="E48" s="382" t="s">
        <v>1724</v>
      </c>
      <c r="F48" s="414" t="s">
        <v>1130</v>
      </c>
      <c r="G48" s="414" t="s">
        <v>1131</v>
      </c>
      <c r="H48" s="34" t="s">
        <v>582</v>
      </c>
      <c r="I48" s="34">
        <v>1</v>
      </c>
      <c r="J48" s="109" t="str">
        <f>IF((IF(OR((H48&amp;"."&amp;I48)=$R$8,(H48&amp;"."&amp;I48)=$S$8,(H48&amp;"."&amp;I48)=$T$8,(H48&amp;"."&amp;I48)=$U$8,(H48&amp;"."&amp;I48)=$V$8,(H48&amp;"."&amp;I48)=$W$8),1,0))=1,"EKSTREM",IF((IF(OR((H48&amp;"."&amp;I48)=$R$9,(H48&amp;"."&amp;I48)=$S$9,(H48&amp;"."&amp;I48)=$T$9,(H48&amp;"."&amp;I48)=$U$9,(H48&amp;"."&amp;I48)=$V$9,(H48&amp;"."&amp;I48)=$W$9,(H48&amp;"."&amp;I48)=$X$9),1,0))=1,"TINGGI",IF((IF(OR((H48&amp;"."&amp;I48)=$R$10,(H48&amp;"."&amp;I48)=$S$10,(H48&amp;"."&amp;I48)=$T$10,(H48&amp;"."&amp;I48)=$U$10,(H48&amp;"."&amp;I48)=$V$10,(H48&amp;"."&amp;I48)=$W$10),1,0))=1,"MODERAT",IF((IF(OR((H48&amp;"."&amp;I48)=$R$11,(H48&amp;"."&amp;I48)=$S$11,(H48&amp;"."&amp;I48)=$T$11,(H48&amp;"."&amp;I48)=$U$11,(H48&amp;"."&amp;I48)=$V$11,(H48&amp;"."&amp;I48)=$W$11),1,0))=1,"RENDAH","-"))))</f>
        <v>RENDAH</v>
      </c>
      <c r="K48" s="36">
        <v>0</v>
      </c>
      <c r="L48" s="440" t="s">
        <v>1132</v>
      </c>
      <c r="M48" s="440" t="s">
        <v>1133</v>
      </c>
      <c r="N48" s="514"/>
    </row>
    <row r="49" spans="1:14" ht="60" x14ac:dyDescent="0.25">
      <c r="A49" s="417"/>
      <c r="B49" s="405"/>
      <c r="C49" s="37">
        <v>4</v>
      </c>
      <c r="D49" s="41" t="s">
        <v>599</v>
      </c>
      <c r="E49" s="411"/>
      <c r="F49" s="415"/>
      <c r="G49" s="415"/>
      <c r="H49" s="401"/>
      <c r="I49" s="401"/>
      <c r="J49" s="401"/>
      <c r="K49" s="45"/>
      <c r="L49" s="441"/>
      <c r="M49" s="441"/>
      <c r="N49" s="515"/>
    </row>
    <row r="50" spans="1:14" ht="45" x14ac:dyDescent="0.25">
      <c r="A50" s="417"/>
      <c r="B50" s="405"/>
      <c r="C50" s="37">
        <v>3</v>
      </c>
      <c r="D50" s="41" t="s">
        <v>600</v>
      </c>
      <c r="E50" s="411"/>
      <c r="F50" s="415"/>
      <c r="G50" s="415"/>
      <c r="H50" s="402"/>
      <c r="I50" s="402"/>
      <c r="J50" s="402"/>
      <c r="K50" s="46"/>
      <c r="L50" s="441"/>
      <c r="M50" s="441"/>
      <c r="N50" s="515"/>
    </row>
    <row r="51" spans="1:14" ht="45" x14ac:dyDescent="0.25">
      <c r="A51" s="417"/>
      <c r="B51" s="405"/>
      <c r="C51" s="37">
        <v>2</v>
      </c>
      <c r="D51" s="41" t="s">
        <v>601</v>
      </c>
      <c r="E51" s="411"/>
      <c r="F51" s="415"/>
      <c r="G51" s="415"/>
      <c r="H51" s="402"/>
      <c r="I51" s="402"/>
      <c r="J51" s="402"/>
      <c r="K51" s="46"/>
      <c r="L51" s="441"/>
      <c r="M51" s="441"/>
      <c r="N51" s="515"/>
    </row>
    <row r="52" spans="1:14" ht="30" x14ac:dyDescent="0.25">
      <c r="A52" s="417"/>
      <c r="B52" s="405"/>
      <c r="C52" s="37">
        <v>1</v>
      </c>
      <c r="D52" s="41" t="s">
        <v>602</v>
      </c>
      <c r="E52" s="411"/>
      <c r="F52" s="415"/>
      <c r="G52" s="415"/>
      <c r="H52" s="402"/>
      <c r="I52" s="402"/>
      <c r="J52" s="402"/>
      <c r="K52" s="46"/>
      <c r="L52" s="441"/>
      <c r="M52" s="441"/>
      <c r="N52" s="515"/>
    </row>
    <row r="53" spans="1:14" x14ac:dyDescent="0.25">
      <c r="A53" s="417"/>
      <c r="B53" s="405"/>
      <c r="C53" s="37">
        <v>0</v>
      </c>
      <c r="D53" s="41" t="s">
        <v>603</v>
      </c>
      <c r="E53" s="411"/>
      <c r="F53" s="415"/>
      <c r="G53" s="415"/>
      <c r="H53" s="402"/>
      <c r="I53" s="402"/>
      <c r="J53" s="402"/>
      <c r="K53" s="46"/>
      <c r="L53" s="441"/>
      <c r="M53" s="441"/>
      <c r="N53" s="515"/>
    </row>
    <row r="54" spans="1:14" ht="105" customHeight="1" x14ac:dyDescent="0.25">
      <c r="A54" s="417"/>
      <c r="B54" s="405"/>
      <c r="C54" s="395" t="s">
        <v>908</v>
      </c>
      <c r="D54" s="395"/>
      <c r="E54" s="382" t="s">
        <v>1778</v>
      </c>
      <c r="F54" s="415"/>
      <c r="G54" s="415"/>
      <c r="H54" s="402"/>
      <c r="I54" s="402"/>
      <c r="J54" s="402"/>
      <c r="K54" s="36">
        <v>0</v>
      </c>
      <c r="L54" s="441"/>
      <c r="M54" s="441"/>
      <c r="N54" s="515"/>
    </row>
    <row r="55" spans="1:14" ht="60" customHeight="1" x14ac:dyDescent="0.25">
      <c r="A55" s="417"/>
      <c r="B55" s="405"/>
      <c r="C55" s="37">
        <v>4</v>
      </c>
      <c r="D55" s="47" t="s">
        <v>604</v>
      </c>
      <c r="E55" s="382"/>
      <c r="F55" s="415"/>
      <c r="G55" s="415"/>
      <c r="H55" s="402"/>
      <c r="I55" s="402"/>
      <c r="J55" s="402"/>
      <c r="K55" s="46"/>
      <c r="L55" s="441"/>
      <c r="M55" s="441"/>
      <c r="N55" s="515"/>
    </row>
    <row r="56" spans="1:14" ht="60" customHeight="1" x14ac:dyDescent="0.25">
      <c r="A56" s="417"/>
      <c r="B56" s="405"/>
      <c r="C56" s="37">
        <v>3</v>
      </c>
      <c r="D56" s="47" t="s">
        <v>605</v>
      </c>
      <c r="E56" s="382"/>
      <c r="F56" s="415"/>
      <c r="G56" s="415"/>
      <c r="H56" s="402"/>
      <c r="I56" s="402"/>
      <c r="J56" s="402"/>
      <c r="K56" s="46"/>
      <c r="L56" s="441"/>
      <c r="M56" s="441"/>
      <c r="N56" s="515"/>
    </row>
    <row r="57" spans="1:14" ht="60" customHeight="1" x14ac:dyDescent="0.25">
      <c r="A57" s="417"/>
      <c r="B57" s="405"/>
      <c r="C57" s="37">
        <v>2</v>
      </c>
      <c r="D57" s="47" t="s">
        <v>606</v>
      </c>
      <c r="E57" s="382"/>
      <c r="F57" s="415"/>
      <c r="G57" s="415"/>
      <c r="H57" s="402"/>
      <c r="I57" s="402"/>
      <c r="J57" s="402"/>
      <c r="K57" s="46"/>
      <c r="L57" s="441"/>
      <c r="M57" s="441"/>
      <c r="N57" s="515"/>
    </row>
    <row r="58" spans="1:14" ht="60" customHeight="1" x14ac:dyDescent="0.25">
      <c r="A58" s="417"/>
      <c r="B58" s="405"/>
      <c r="C58" s="37">
        <v>1</v>
      </c>
      <c r="D58" s="47" t="s">
        <v>607</v>
      </c>
      <c r="E58" s="382"/>
      <c r="F58" s="415"/>
      <c r="G58" s="415"/>
      <c r="H58" s="402"/>
      <c r="I58" s="402"/>
      <c r="J58" s="402"/>
      <c r="K58" s="46"/>
      <c r="L58" s="441"/>
      <c r="M58" s="441"/>
      <c r="N58" s="515"/>
    </row>
    <row r="59" spans="1:14" ht="45" customHeight="1" x14ac:dyDescent="0.25">
      <c r="A59" s="417"/>
      <c r="B59" s="405"/>
      <c r="C59" s="37">
        <v>0</v>
      </c>
      <c r="D59" s="48" t="s">
        <v>7</v>
      </c>
      <c r="E59" s="382"/>
      <c r="F59" s="416"/>
      <c r="G59" s="416"/>
      <c r="H59" s="403"/>
      <c r="I59" s="403"/>
      <c r="J59" s="403"/>
      <c r="K59" s="49"/>
      <c r="L59" s="441"/>
      <c r="M59" s="441"/>
      <c r="N59" s="515"/>
    </row>
    <row r="60" spans="1:14" x14ac:dyDescent="0.25">
      <c r="A60" s="417"/>
      <c r="B60" s="406"/>
      <c r="C60" s="457" t="s">
        <v>8</v>
      </c>
      <c r="D60" s="458"/>
      <c r="E60" s="459"/>
      <c r="F60" s="44"/>
      <c r="G60" s="44"/>
      <c r="H60" s="44"/>
      <c r="I60" s="44"/>
      <c r="J60" s="44"/>
      <c r="K60" s="110">
        <f>IF(OR(ISBLANK(K48),K48&lt;0,K48&gt;4,ISBLANK(K54),K54&lt;0,K54&gt;4),0,(K48+2*K54)/3)</f>
        <v>0</v>
      </c>
      <c r="L60" s="442"/>
      <c r="M60" s="442"/>
      <c r="N60" s="516"/>
    </row>
    <row r="61" spans="1:14" x14ac:dyDescent="0.25">
      <c r="L61" s="43"/>
      <c r="M61" s="43"/>
      <c r="N61" s="43"/>
    </row>
    <row r="62" spans="1:14" ht="30" customHeight="1" x14ac:dyDescent="0.25">
      <c r="A62" s="417">
        <f>A48+1</f>
        <v>7</v>
      </c>
      <c r="B62" s="404" t="s">
        <v>979</v>
      </c>
      <c r="C62" s="395" t="s">
        <v>608</v>
      </c>
      <c r="D62" s="395"/>
      <c r="E62" s="454" t="s">
        <v>1725</v>
      </c>
      <c r="F62" s="414" t="s">
        <v>1130</v>
      </c>
      <c r="G62" s="414" t="s">
        <v>1131</v>
      </c>
      <c r="H62" s="34" t="s">
        <v>582</v>
      </c>
      <c r="I62" s="34">
        <v>1</v>
      </c>
      <c r="J62" s="109" t="str">
        <f>IF((IF(OR((H62&amp;"."&amp;I62)=$R$8,(H62&amp;"."&amp;I62)=$S$8,(H62&amp;"."&amp;I62)=$T$8,(H62&amp;"."&amp;I62)=$U$8,(H62&amp;"."&amp;I62)=$V$8,(H62&amp;"."&amp;I62)=$W$8),1,0))=1,"EKSTREM",IF((IF(OR((H62&amp;"."&amp;I62)=$R$9,(H62&amp;"."&amp;I62)=$S$9,(H62&amp;"."&amp;I62)=$T$9,(H62&amp;"."&amp;I62)=$U$9,(H62&amp;"."&amp;I62)=$V$9,(H62&amp;"."&amp;I62)=$W$9,(H62&amp;"."&amp;I62)=$X$9),1,0))=1,"TINGGI",IF((IF(OR((H62&amp;"."&amp;I62)=$R$10,(H62&amp;"."&amp;I62)=$S$10,(H62&amp;"."&amp;I62)=$T$10,(H62&amp;"."&amp;I62)=$U$10,(H62&amp;"."&amp;I62)=$V$10,(H62&amp;"."&amp;I62)=$W$10),1,0))=1,"MODERAT",IF((IF(OR((H62&amp;"."&amp;I62)=$R$11,(H62&amp;"."&amp;I62)=$S$11,(H62&amp;"."&amp;I62)=$T$11,(H62&amp;"."&amp;I62)=$U$11,(H62&amp;"."&amp;I62)=$V$11,(H62&amp;"."&amp;I62)=$W$11),1,0))=1,"RENDAH","-"))))</f>
        <v>RENDAH</v>
      </c>
      <c r="K62" s="36">
        <v>0</v>
      </c>
      <c r="L62" s="440" t="s">
        <v>1132</v>
      </c>
      <c r="M62" s="440" t="s">
        <v>1133</v>
      </c>
      <c r="N62" s="514"/>
    </row>
    <row r="63" spans="1:14" ht="45" x14ac:dyDescent="0.25">
      <c r="A63" s="417"/>
      <c r="B63" s="407"/>
      <c r="C63" s="37">
        <v>4</v>
      </c>
      <c r="D63" s="47" t="s">
        <v>609</v>
      </c>
      <c r="E63" s="488"/>
      <c r="F63" s="415"/>
      <c r="G63" s="415"/>
      <c r="H63" s="401"/>
      <c r="I63" s="401"/>
      <c r="J63" s="401"/>
      <c r="K63" s="45"/>
      <c r="L63" s="441"/>
      <c r="M63" s="441"/>
      <c r="N63" s="515"/>
    </row>
    <row r="64" spans="1:14" ht="45" x14ac:dyDescent="0.25">
      <c r="A64" s="417"/>
      <c r="B64" s="407"/>
      <c r="C64" s="37">
        <v>3</v>
      </c>
      <c r="D64" s="47" t="s">
        <v>610</v>
      </c>
      <c r="E64" s="488"/>
      <c r="F64" s="415"/>
      <c r="G64" s="415"/>
      <c r="H64" s="402"/>
      <c r="I64" s="402"/>
      <c r="J64" s="402"/>
      <c r="K64" s="46"/>
      <c r="L64" s="441"/>
      <c r="M64" s="441"/>
      <c r="N64" s="515"/>
    </row>
    <row r="65" spans="1:14" ht="45" x14ac:dyDescent="0.25">
      <c r="A65" s="417"/>
      <c r="B65" s="407"/>
      <c r="C65" s="37">
        <v>2</v>
      </c>
      <c r="D65" s="47" t="s">
        <v>611</v>
      </c>
      <c r="E65" s="488"/>
      <c r="F65" s="415"/>
      <c r="G65" s="415"/>
      <c r="H65" s="402"/>
      <c r="I65" s="402"/>
      <c r="J65" s="402"/>
      <c r="K65" s="46"/>
      <c r="L65" s="441"/>
      <c r="M65" s="441"/>
      <c r="N65" s="515"/>
    </row>
    <row r="66" spans="1:14" x14ac:dyDescent="0.25">
      <c r="A66" s="417"/>
      <c r="B66" s="407"/>
      <c r="C66" s="37">
        <v>1</v>
      </c>
      <c r="D66" s="478" t="s">
        <v>9</v>
      </c>
      <c r="E66" s="488"/>
      <c r="F66" s="415"/>
      <c r="G66" s="415"/>
      <c r="H66" s="402"/>
      <c r="I66" s="402"/>
      <c r="J66" s="402"/>
      <c r="K66" s="46"/>
      <c r="L66" s="441"/>
      <c r="M66" s="441"/>
      <c r="N66" s="515"/>
    </row>
    <row r="67" spans="1:14" x14ac:dyDescent="0.25">
      <c r="A67" s="417"/>
      <c r="B67" s="407"/>
      <c r="C67" s="37">
        <v>0</v>
      </c>
      <c r="D67" s="478"/>
      <c r="E67" s="489"/>
      <c r="F67" s="415"/>
      <c r="G67" s="415"/>
      <c r="H67" s="402"/>
      <c r="I67" s="402"/>
      <c r="J67" s="402"/>
      <c r="K67" s="46"/>
      <c r="L67" s="441"/>
      <c r="M67" s="441"/>
      <c r="N67" s="515"/>
    </row>
    <row r="68" spans="1:14" ht="61.5" customHeight="1" x14ac:dyDescent="0.25">
      <c r="A68" s="417"/>
      <c r="B68" s="407"/>
      <c r="C68" s="395" t="s">
        <v>612</v>
      </c>
      <c r="D68" s="395"/>
      <c r="E68" s="382" t="s">
        <v>1726</v>
      </c>
      <c r="F68" s="415"/>
      <c r="G68" s="415"/>
      <c r="H68" s="402"/>
      <c r="I68" s="402"/>
      <c r="J68" s="402"/>
      <c r="K68" s="36">
        <v>0</v>
      </c>
      <c r="L68" s="441"/>
      <c r="M68" s="441"/>
      <c r="N68" s="515"/>
    </row>
    <row r="69" spans="1:14" ht="75" customHeight="1" x14ac:dyDescent="0.25">
      <c r="A69" s="417"/>
      <c r="B69" s="407"/>
      <c r="C69" s="37">
        <v>4</v>
      </c>
      <c r="D69" s="41" t="s">
        <v>613</v>
      </c>
      <c r="E69" s="382"/>
      <c r="F69" s="415"/>
      <c r="G69" s="415"/>
      <c r="H69" s="402"/>
      <c r="I69" s="402"/>
      <c r="J69" s="402"/>
      <c r="K69" s="46"/>
      <c r="L69" s="441"/>
      <c r="M69" s="441"/>
      <c r="N69" s="515"/>
    </row>
    <row r="70" spans="1:14" ht="60" customHeight="1" x14ac:dyDescent="0.25">
      <c r="A70" s="417"/>
      <c r="B70" s="407"/>
      <c r="C70" s="37">
        <v>3</v>
      </c>
      <c r="D70" s="41" t="s">
        <v>614</v>
      </c>
      <c r="E70" s="382"/>
      <c r="F70" s="415"/>
      <c r="G70" s="415"/>
      <c r="H70" s="402"/>
      <c r="I70" s="402"/>
      <c r="J70" s="402"/>
      <c r="K70" s="46"/>
      <c r="L70" s="441"/>
      <c r="M70" s="441"/>
      <c r="N70" s="515"/>
    </row>
    <row r="71" spans="1:14" ht="30" x14ac:dyDescent="0.25">
      <c r="A71" s="417"/>
      <c r="B71" s="407"/>
      <c r="C71" s="37">
        <v>2</v>
      </c>
      <c r="D71" s="41" t="s">
        <v>615</v>
      </c>
      <c r="E71" s="382"/>
      <c r="F71" s="415"/>
      <c r="G71" s="415"/>
      <c r="H71" s="402"/>
      <c r="I71" s="402"/>
      <c r="J71" s="402"/>
      <c r="K71" s="46"/>
      <c r="L71" s="441"/>
      <c r="M71" s="441"/>
      <c r="N71" s="515"/>
    </row>
    <row r="72" spans="1:14" ht="30" x14ac:dyDescent="0.25">
      <c r="A72" s="417"/>
      <c r="B72" s="407"/>
      <c r="C72" s="37">
        <v>1</v>
      </c>
      <c r="D72" s="41" t="s">
        <v>616</v>
      </c>
      <c r="E72" s="382"/>
      <c r="F72" s="415"/>
      <c r="G72" s="415"/>
      <c r="H72" s="402"/>
      <c r="I72" s="402"/>
      <c r="J72" s="402"/>
      <c r="K72" s="46"/>
      <c r="L72" s="441"/>
      <c r="M72" s="441"/>
      <c r="N72" s="515"/>
    </row>
    <row r="73" spans="1:14" x14ac:dyDescent="0.25">
      <c r="A73" s="417"/>
      <c r="B73" s="407"/>
      <c r="C73" s="37">
        <v>0</v>
      </c>
      <c r="D73" s="41" t="s">
        <v>7</v>
      </c>
      <c r="E73" s="382"/>
      <c r="F73" s="416"/>
      <c r="G73" s="416"/>
      <c r="H73" s="403"/>
      <c r="I73" s="403"/>
      <c r="J73" s="403"/>
      <c r="K73" s="49"/>
      <c r="L73" s="441"/>
      <c r="M73" s="441"/>
      <c r="N73" s="515"/>
    </row>
    <row r="74" spans="1:14" x14ac:dyDescent="0.25">
      <c r="A74" s="417"/>
      <c r="B74" s="408"/>
      <c r="C74" s="457" t="s">
        <v>8</v>
      </c>
      <c r="D74" s="458"/>
      <c r="E74" s="458"/>
      <c r="F74" s="459"/>
      <c r="G74" s="42"/>
      <c r="H74" s="42"/>
      <c r="I74" s="42"/>
      <c r="J74" s="42"/>
      <c r="K74" s="110">
        <f>IF(OR(ISBLANK(K62),K62&lt;0,K62&gt;4,ISBLANK(K68),K68&lt;0,K68&gt;4),0,(K62+2*K68)/3)</f>
        <v>0</v>
      </c>
      <c r="L74" s="442"/>
      <c r="M74" s="442"/>
      <c r="N74" s="516"/>
    </row>
    <row r="75" spans="1:14" ht="15.75" thickBot="1" x14ac:dyDescent="0.3">
      <c r="L75" s="43"/>
      <c r="M75" s="43"/>
      <c r="N75" s="43"/>
    </row>
    <row r="76" spans="1:14" ht="120" customHeight="1" x14ac:dyDescent="0.25">
      <c r="A76" s="417">
        <f>A62+1</f>
        <v>8</v>
      </c>
      <c r="B76" s="479" t="s">
        <v>980</v>
      </c>
      <c r="C76" s="395" t="s">
        <v>617</v>
      </c>
      <c r="D76" s="395"/>
      <c r="E76" s="454" t="s">
        <v>1727</v>
      </c>
      <c r="F76" s="414" t="s">
        <v>1130</v>
      </c>
      <c r="G76" s="414" t="s">
        <v>1131</v>
      </c>
      <c r="H76" s="34" t="s">
        <v>582</v>
      </c>
      <c r="I76" s="34">
        <v>1</v>
      </c>
      <c r="J76" s="109" t="str">
        <f>IF((IF(OR((H76&amp;"."&amp;I76)=$R$8,(H76&amp;"."&amp;I76)=$S$8,(H76&amp;"."&amp;I76)=$T$8,(H76&amp;"."&amp;I76)=$U$8,(H76&amp;"."&amp;I76)=$V$8,(H76&amp;"."&amp;I76)=$W$8),1,0))=1,"EKSTREM",IF((IF(OR((H76&amp;"."&amp;I76)=$R$9,(H76&amp;"."&amp;I76)=$S$9,(H76&amp;"."&amp;I76)=$T$9,(H76&amp;"."&amp;I76)=$U$9,(H76&amp;"."&amp;I76)=$V$9,(H76&amp;"."&amp;I76)=$W$9,(H76&amp;"."&amp;I76)=$X$9),1,0))=1,"TINGGI",IF((IF(OR((H76&amp;"."&amp;I76)=$R$10,(H76&amp;"."&amp;I76)=$S$10,(H76&amp;"."&amp;I76)=$T$10,(H76&amp;"."&amp;I76)=$U$10,(H76&amp;"."&amp;I76)=$V$10,(H76&amp;"."&amp;I76)=$W$10),1,0))=1,"MODERAT",IF((IF(OR((H76&amp;"."&amp;I76)=$R$11,(H76&amp;"."&amp;I76)=$S$11,(H76&amp;"."&amp;I76)=$T$11,(H76&amp;"."&amp;I76)=$U$11,(H76&amp;"."&amp;I76)=$V$11,(H76&amp;"."&amp;I76)=$W$11),1,0))=1,"RENDAH","-"))))</f>
        <v>RENDAH</v>
      </c>
      <c r="K76" s="36">
        <v>0</v>
      </c>
      <c r="L76" s="413" t="s">
        <v>1132</v>
      </c>
      <c r="M76" s="413" t="s">
        <v>1133</v>
      </c>
      <c r="N76" s="517"/>
    </row>
    <row r="77" spans="1:14" ht="30" x14ac:dyDescent="0.25">
      <c r="A77" s="417"/>
      <c r="B77" s="480"/>
      <c r="C77" s="37">
        <v>4</v>
      </c>
      <c r="D77" s="47" t="s">
        <v>618</v>
      </c>
      <c r="E77" s="455"/>
      <c r="F77" s="415"/>
      <c r="G77" s="415"/>
      <c r="H77" s="401"/>
      <c r="I77" s="401"/>
      <c r="J77" s="401"/>
      <c r="K77" s="401"/>
      <c r="L77" s="413"/>
      <c r="M77" s="413"/>
      <c r="N77" s="517"/>
    </row>
    <row r="78" spans="1:14" ht="30" x14ac:dyDescent="0.25">
      <c r="A78" s="417"/>
      <c r="B78" s="480"/>
      <c r="C78" s="37">
        <v>3</v>
      </c>
      <c r="D78" s="47" t="s">
        <v>619</v>
      </c>
      <c r="E78" s="455"/>
      <c r="F78" s="415"/>
      <c r="G78" s="415"/>
      <c r="H78" s="402"/>
      <c r="I78" s="402"/>
      <c r="J78" s="402"/>
      <c r="K78" s="402"/>
      <c r="L78" s="413"/>
      <c r="M78" s="413"/>
      <c r="N78" s="517"/>
    </row>
    <row r="79" spans="1:14" ht="30" x14ac:dyDescent="0.25">
      <c r="A79" s="417"/>
      <c r="B79" s="480"/>
      <c r="C79" s="37">
        <v>2</v>
      </c>
      <c r="D79" s="47" t="s">
        <v>620</v>
      </c>
      <c r="E79" s="455"/>
      <c r="F79" s="415"/>
      <c r="G79" s="415"/>
      <c r="H79" s="402"/>
      <c r="I79" s="402"/>
      <c r="J79" s="402"/>
      <c r="K79" s="402"/>
      <c r="L79" s="413"/>
      <c r="M79" s="413"/>
      <c r="N79" s="517"/>
    </row>
    <row r="80" spans="1:14" x14ac:dyDescent="0.25">
      <c r="A80" s="417"/>
      <c r="B80" s="480"/>
      <c r="C80" s="37">
        <v>1</v>
      </c>
      <c r="D80" s="47" t="s">
        <v>621</v>
      </c>
      <c r="E80" s="455"/>
      <c r="F80" s="415"/>
      <c r="G80" s="415"/>
      <c r="H80" s="402"/>
      <c r="I80" s="402"/>
      <c r="J80" s="402"/>
      <c r="K80" s="402"/>
      <c r="L80" s="413"/>
      <c r="M80" s="413"/>
      <c r="N80" s="517"/>
    </row>
    <row r="81" spans="1:14" x14ac:dyDescent="0.25">
      <c r="A81" s="417"/>
      <c r="B81" s="480"/>
      <c r="C81" s="37">
        <v>0</v>
      </c>
      <c r="D81" s="47" t="s">
        <v>7</v>
      </c>
      <c r="E81" s="456"/>
      <c r="F81" s="416"/>
      <c r="G81" s="416"/>
      <c r="H81" s="403"/>
      <c r="I81" s="403"/>
      <c r="J81" s="403"/>
      <c r="K81" s="403"/>
      <c r="L81" s="413"/>
      <c r="M81" s="413"/>
      <c r="N81" s="517"/>
    </row>
    <row r="82" spans="1:14" ht="15.75" thickBot="1" x14ac:dyDescent="0.3">
      <c r="A82" s="417"/>
      <c r="B82" s="481"/>
      <c r="C82" s="470" t="s">
        <v>6</v>
      </c>
      <c r="D82" s="470"/>
      <c r="E82" s="470"/>
      <c r="F82" s="44"/>
      <c r="G82" s="44"/>
      <c r="H82" s="44"/>
      <c r="I82" s="44"/>
      <c r="J82" s="44"/>
      <c r="K82" s="110">
        <f>IF(OR(ISBLANK(K76),K76&lt;0,K76&gt;4),0,K76)</f>
        <v>0</v>
      </c>
      <c r="L82" s="413"/>
      <c r="M82" s="413"/>
      <c r="N82" s="517"/>
    </row>
    <row r="83" spans="1:14" x14ac:dyDescent="0.25">
      <c r="L83" s="43"/>
      <c r="M83" s="43"/>
      <c r="N83" s="43"/>
    </row>
    <row r="84" spans="1:14" ht="30" customHeight="1" x14ac:dyDescent="0.25">
      <c r="A84" s="417">
        <f>A76+1</f>
        <v>9</v>
      </c>
      <c r="B84" s="418"/>
      <c r="C84" s="428" t="s">
        <v>119</v>
      </c>
      <c r="D84" s="428"/>
      <c r="E84" s="382" t="s">
        <v>1728</v>
      </c>
      <c r="F84" s="414" t="s">
        <v>1130</v>
      </c>
      <c r="G84" s="414" t="s">
        <v>1131</v>
      </c>
      <c r="H84" s="34" t="s">
        <v>582</v>
      </c>
      <c r="I84" s="34">
        <v>1</v>
      </c>
      <c r="J84" s="109" t="str">
        <f>IF((IF(OR((H84&amp;"."&amp;I84)=$R$8,(H84&amp;"."&amp;I84)=$S$8,(H84&amp;"."&amp;I84)=$T$8,(H84&amp;"."&amp;I84)=$U$8,(H84&amp;"."&amp;I84)=$V$8,(H84&amp;"."&amp;I84)=$W$8),1,0))=1,"EKSTREM",IF((IF(OR((H84&amp;"."&amp;I84)=$R$9,(H84&amp;"."&amp;I84)=$S$9,(H84&amp;"."&amp;I84)=$T$9,(H84&amp;"."&amp;I84)=$U$9,(H84&amp;"."&amp;I84)=$V$9,(H84&amp;"."&amp;I84)=$W$9,(H84&amp;"."&amp;I84)=$X$9),1,0))=1,"TINGGI",IF((IF(OR((H84&amp;"."&amp;I84)=$R$10,(H84&amp;"."&amp;I84)=$S$10,(H84&amp;"."&amp;I84)=$T$10,(H84&amp;"."&amp;I84)=$U$10,(H84&amp;"."&amp;I84)=$V$10,(H84&amp;"."&amp;I84)=$W$10),1,0))=1,"MODERAT",IF((IF(OR((H84&amp;"."&amp;I84)=$R$11,(H84&amp;"."&amp;I84)=$S$11,(H84&amp;"."&amp;I84)=$T$11,(H84&amp;"."&amp;I84)=$U$11,(H84&amp;"."&amp;I84)=$V$11,(H84&amp;"."&amp;I84)=$W$11),1,0))=1,"RENDAH","-"))))</f>
        <v>RENDAH</v>
      </c>
      <c r="K84" s="50"/>
      <c r="L84" s="440" t="s">
        <v>1132</v>
      </c>
      <c r="M84" s="440" t="s">
        <v>1133</v>
      </c>
      <c r="N84" s="514"/>
    </row>
    <row r="85" spans="1:14" ht="18" x14ac:dyDescent="0.35">
      <c r="A85" s="417"/>
      <c r="B85" s="418"/>
      <c r="C85" s="477" t="s">
        <v>99</v>
      </c>
      <c r="D85" s="477"/>
      <c r="E85" s="382"/>
      <c r="F85" s="415"/>
      <c r="G85" s="415"/>
      <c r="H85" s="401"/>
      <c r="I85" s="401"/>
      <c r="J85" s="401"/>
      <c r="K85" s="122">
        <f>IF(AND(ISBLANK('Isian Prodi'!I14),ISBLANK('Isian Prodi'!I15),ISBLANK('Isian Prodi'!I16)),'Isian Prodi'!C17,'Isian Prodi'!I17)+IF(AND(ISBLANK('Isian Prodi'!I18),ISBLANK('Isian Prodi'!I19),ISBLANK('Isian Prodi'!I20)),'Isian Prodi'!C21,'Isian Prodi'!I21)+IF(AND(ISBLANK('Isian Prodi'!I22),ISBLANK('Isian Prodi'!I23),ISBLANK('Isian Prodi'!I24)),'Isian Prodi'!C25,'Isian Prodi'!I25)</f>
        <v>0</v>
      </c>
      <c r="L85" s="441"/>
      <c r="M85" s="441"/>
      <c r="N85" s="515"/>
    </row>
    <row r="86" spans="1:14" ht="18" x14ac:dyDescent="0.35">
      <c r="A86" s="417"/>
      <c r="B86" s="418"/>
      <c r="C86" s="477" t="s">
        <v>100</v>
      </c>
      <c r="D86" s="477"/>
      <c r="E86" s="382"/>
      <c r="F86" s="415"/>
      <c r="G86" s="415"/>
      <c r="H86" s="402"/>
      <c r="I86" s="402"/>
      <c r="J86" s="402"/>
      <c r="K86" s="122">
        <f>IF(AND(ISBLANK('Isian Prodi'!J14),ISBLANK('Isian Prodi'!J15),ISBLANK('Isian Prodi'!J16)),'Isian Prodi'!D17,'Isian Prodi'!J17)+IF(AND(ISBLANK('Isian Prodi'!J18),ISBLANK('Isian Prodi'!J19),ISBLANK('Isian Prodi'!J20)),'Isian Prodi'!D21,'Isian Prodi'!J21)+IF(AND(ISBLANK('Isian Prodi'!J22),ISBLANK('Isian Prodi'!J23),ISBLANK('Isian Prodi'!J24)),'Isian Prodi'!D25,'Isian Prodi'!J25)</f>
        <v>0</v>
      </c>
      <c r="L86" s="441"/>
      <c r="M86" s="441"/>
      <c r="N86" s="515"/>
    </row>
    <row r="87" spans="1:14" ht="18" x14ac:dyDescent="0.35">
      <c r="A87" s="417"/>
      <c r="B87" s="418"/>
      <c r="C87" s="477" t="s">
        <v>101</v>
      </c>
      <c r="D87" s="477"/>
      <c r="E87" s="382"/>
      <c r="F87" s="415"/>
      <c r="G87" s="415"/>
      <c r="H87" s="402"/>
      <c r="I87" s="402"/>
      <c r="J87" s="402"/>
      <c r="K87" s="122">
        <f>IF(AND(ISBLANK('Isian Prodi'!K14),ISBLANK('Isian Prodi'!K15),ISBLANK('Isian Prodi'!K16)),'Isian Prodi'!E17,'Isian Prodi'!K17)+IF(AND(ISBLANK('Isian Prodi'!K18),ISBLANK('Isian Prodi'!K19),ISBLANK('Isian Prodi'!K20)),'Isian Prodi'!E21,'Isian Prodi'!K21)+IF(AND(ISBLANK('Isian Prodi'!K22),ISBLANK('Isian Prodi'!K23),ISBLANK('Isian Prodi'!K24)),'Isian Prodi'!E25,'Isian Prodi'!K25)</f>
        <v>0</v>
      </c>
      <c r="L87" s="441"/>
      <c r="M87" s="441"/>
      <c r="N87" s="515"/>
    </row>
    <row r="88" spans="1:14" ht="48" customHeight="1" x14ac:dyDescent="0.25">
      <c r="A88" s="417"/>
      <c r="B88" s="418"/>
      <c r="C88" s="430" t="s">
        <v>102</v>
      </c>
      <c r="D88" s="431"/>
      <c r="E88" s="382"/>
      <c r="F88" s="415"/>
      <c r="G88" s="415"/>
      <c r="H88" s="402"/>
      <c r="I88" s="402"/>
      <c r="J88" s="402"/>
      <c r="K88" s="122">
        <f>IF(ISBLANK('Isian Prodi'!G60),'Isian Prodi'!C60,'Isian Prodi'!G60)</f>
        <v>0</v>
      </c>
      <c r="L88" s="441"/>
      <c r="M88" s="441"/>
      <c r="N88" s="515"/>
    </row>
    <row r="89" spans="1:14" x14ac:dyDescent="0.25">
      <c r="A89" s="417"/>
      <c r="B89" s="418"/>
      <c r="C89" s="422" t="s">
        <v>103</v>
      </c>
      <c r="D89" s="422"/>
      <c r="E89" s="382"/>
      <c r="F89" s="415"/>
      <c r="G89" s="415"/>
      <c r="H89" s="402"/>
      <c r="I89" s="402"/>
      <c r="J89" s="402"/>
      <c r="K89" s="122">
        <f>IF(K88&gt;0,(D90*K85+D91*K86+D92*K87)/K88,0)</f>
        <v>0</v>
      </c>
      <c r="L89" s="441"/>
      <c r="M89" s="441"/>
      <c r="N89" s="515"/>
    </row>
    <row r="90" spans="1:14" ht="15" hidden="1" customHeight="1" x14ac:dyDescent="0.25">
      <c r="A90" s="417"/>
      <c r="B90" s="418"/>
      <c r="C90" s="52" t="s">
        <v>104</v>
      </c>
      <c r="D90" s="52">
        <v>2</v>
      </c>
      <c r="E90" s="382"/>
      <c r="F90" s="415"/>
      <c r="G90" s="415"/>
      <c r="H90" s="402"/>
      <c r="I90" s="402"/>
      <c r="J90" s="402"/>
      <c r="K90" s="53"/>
      <c r="L90" s="441"/>
      <c r="M90" s="441"/>
      <c r="N90" s="515"/>
    </row>
    <row r="91" spans="1:14" ht="15" hidden="1" customHeight="1" x14ac:dyDescent="0.25">
      <c r="A91" s="417"/>
      <c r="B91" s="418"/>
      <c r="C91" s="52" t="s">
        <v>105</v>
      </c>
      <c r="D91" s="52">
        <v>4</v>
      </c>
      <c r="E91" s="382"/>
      <c r="F91" s="415"/>
      <c r="G91" s="415"/>
      <c r="H91" s="402"/>
      <c r="I91" s="402"/>
      <c r="J91" s="402"/>
      <c r="K91" s="53"/>
      <c r="L91" s="441"/>
      <c r="M91" s="441"/>
      <c r="N91" s="515"/>
    </row>
    <row r="92" spans="1:14" ht="15" hidden="1" customHeight="1" x14ac:dyDescent="0.25">
      <c r="A92" s="417"/>
      <c r="B92" s="418"/>
      <c r="C92" s="52" t="s">
        <v>106</v>
      </c>
      <c r="D92" s="52">
        <v>0</v>
      </c>
      <c r="E92" s="382"/>
      <c r="F92" s="415"/>
      <c r="G92" s="415"/>
      <c r="H92" s="402"/>
      <c r="I92" s="402"/>
      <c r="J92" s="402"/>
      <c r="K92" s="53"/>
      <c r="L92" s="441"/>
      <c r="M92" s="441"/>
      <c r="N92" s="515"/>
    </row>
    <row r="93" spans="1:14" ht="30" hidden="1" customHeight="1" x14ac:dyDescent="0.25">
      <c r="A93" s="417"/>
      <c r="B93" s="418"/>
      <c r="C93" s="52" t="s">
        <v>107</v>
      </c>
      <c r="D93" s="52">
        <v>4</v>
      </c>
      <c r="E93" s="382"/>
      <c r="F93" s="415"/>
      <c r="G93" s="415"/>
      <c r="H93" s="402"/>
      <c r="I93" s="402"/>
      <c r="J93" s="402"/>
      <c r="K93" s="53"/>
      <c r="L93" s="441"/>
      <c r="M93" s="441"/>
      <c r="N93" s="515"/>
    </row>
    <row r="94" spans="1:14" x14ac:dyDescent="0.25">
      <c r="A94" s="417"/>
      <c r="B94" s="418"/>
      <c r="C94" s="422" t="s">
        <v>108</v>
      </c>
      <c r="D94" s="422"/>
      <c r="E94" s="382"/>
      <c r="F94" s="415"/>
      <c r="G94" s="415"/>
      <c r="H94" s="402"/>
      <c r="I94" s="402"/>
      <c r="J94" s="402"/>
      <c r="K94" s="111">
        <f>IF(K89&gt;=D93,4,K89)</f>
        <v>0</v>
      </c>
      <c r="L94" s="441"/>
      <c r="M94" s="441"/>
      <c r="N94" s="515"/>
    </row>
    <row r="95" spans="1:14" ht="30" customHeight="1" x14ac:dyDescent="0.25">
      <c r="A95" s="417"/>
      <c r="B95" s="418"/>
      <c r="C95" s="428" t="s">
        <v>120</v>
      </c>
      <c r="D95" s="428"/>
      <c r="E95" s="382"/>
      <c r="F95" s="415"/>
      <c r="G95" s="415"/>
      <c r="H95" s="402"/>
      <c r="I95" s="402"/>
      <c r="J95" s="402"/>
      <c r="K95" s="50"/>
      <c r="L95" s="441"/>
      <c r="M95" s="441"/>
      <c r="N95" s="515"/>
    </row>
    <row r="96" spans="1:14" ht="18" x14ac:dyDescent="0.35">
      <c r="A96" s="417"/>
      <c r="B96" s="418"/>
      <c r="C96" s="477" t="s">
        <v>109</v>
      </c>
      <c r="D96" s="477"/>
      <c r="E96" s="382"/>
      <c r="F96" s="415"/>
      <c r="G96" s="415"/>
      <c r="H96" s="402"/>
      <c r="I96" s="402"/>
      <c r="J96" s="402"/>
      <c r="K96" s="122">
        <f>IF(AND(ISBLANK('Isian Prodi'!I14),ISBLANK('Isian Prodi'!I15),ISBLANK('Isian Prodi'!I16)),'Isian Prodi'!C17,'Isian Prodi'!I17)+IF(AND(ISBLANK('Isian Prodi'!J14),ISBLANK('Isian Prodi'!J15),ISBLANK('Isian Prodi'!J16)),'Isian Prodi'!D17,'Isian Prodi'!J17)+IF(AND(ISBLANK('Isian Prodi'!K14),ISBLANK('Isian Prodi'!K15),ISBLANK('Isian Prodi'!K16)),'Isian Prodi'!E17,'Isian Prodi'!K17)</f>
        <v>0</v>
      </c>
      <c r="L96" s="441"/>
      <c r="M96" s="441"/>
      <c r="N96" s="515"/>
    </row>
    <row r="97" spans="1:14" ht="18" x14ac:dyDescent="0.35">
      <c r="A97" s="417"/>
      <c r="B97" s="418"/>
      <c r="C97" s="477" t="s">
        <v>110</v>
      </c>
      <c r="D97" s="477"/>
      <c r="E97" s="382"/>
      <c r="F97" s="415"/>
      <c r="G97" s="415"/>
      <c r="H97" s="402"/>
      <c r="I97" s="402"/>
      <c r="J97" s="402"/>
      <c r="K97" s="122">
        <f>IF(AND(ISBLANK('Isian Prodi'!I18),ISBLANK('Isian Prodi'!I19),ISBLANK('Isian Prodi'!I20)),'Isian Prodi'!C21,'Isian Prodi'!I21)+IF(AND(ISBLANK('Isian Prodi'!J18),ISBLANK('Isian Prodi'!J19),ISBLANK('Isian Prodi'!J20)),'Isian Prodi'!D21,'Isian Prodi'!J21)+IF(AND(ISBLANK('Isian Prodi'!K18),ISBLANK('Isian Prodi'!K19),ISBLANK('Isian Prodi'!K20)),'Isian Prodi'!E21,'Isian Prodi'!K21)</f>
        <v>0</v>
      </c>
      <c r="L97" s="441"/>
      <c r="M97" s="441"/>
      <c r="N97" s="515"/>
    </row>
    <row r="98" spans="1:14" ht="18" x14ac:dyDescent="0.35">
      <c r="A98" s="417"/>
      <c r="B98" s="418"/>
      <c r="C98" s="477" t="s">
        <v>111</v>
      </c>
      <c r="D98" s="477"/>
      <c r="E98" s="382"/>
      <c r="F98" s="415"/>
      <c r="G98" s="415"/>
      <c r="H98" s="402"/>
      <c r="I98" s="402"/>
      <c r="J98" s="402"/>
      <c r="K98" s="122">
        <f>IF(AND(ISBLANK('Isian Prodi'!I22),ISBLANK('Isian Prodi'!I23),ISBLANK('Isian Prodi'!I24)),'Isian Prodi'!C25,'Isian Prodi'!I25)+IF(AND(ISBLANK('Isian Prodi'!J22),ISBLANK('Isian Prodi'!J23),ISBLANK('Isian Prodi'!J24)),'Isian Prodi'!D25,'Isian Prodi'!J25)+IF(AND(ISBLANK('Isian Prodi'!K22),ISBLANK('Isian Prodi'!K23),ISBLANK('Isian Prodi'!K24)),'Isian Prodi'!E25,'Isian Prodi'!K25)</f>
        <v>0</v>
      </c>
      <c r="L98" s="441"/>
      <c r="M98" s="441"/>
      <c r="N98" s="515"/>
    </row>
    <row r="99" spans="1:14" ht="15" hidden="1" customHeight="1" x14ac:dyDescent="0.25">
      <c r="A99" s="417"/>
      <c r="B99" s="418"/>
      <c r="C99" s="52" t="s">
        <v>104</v>
      </c>
      <c r="D99" s="54">
        <v>3</v>
      </c>
      <c r="E99" s="382"/>
      <c r="F99" s="415"/>
      <c r="G99" s="415"/>
      <c r="H99" s="402"/>
      <c r="I99" s="402"/>
      <c r="J99" s="402"/>
      <c r="K99" s="55"/>
      <c r="L99" s="441"/>
      <c r="M99" s="441"/>
      <c r="N99" s="515"/>
    </row>
    <row r="100" spans="1:14" ht="15" hidden="1" customHeight="1" x14ac:dyDescent="0.25">
      <c r="A100" s="417"/>
      <c r="B100" s="418"/>
      <c r="C100" s="52" t="s">
        <v>105</v>
      </c>
      <c r="D100" s="54">
        <v>6</v>
      </c>
      <c r="E100" s="382"/>
      <c r="F100" s="415"/>
      <c r="G100" s="415"/>
      <c r="H100" s="402"/>
      <c r="I100" s="402"/>
      <c r="J100" s="402"/>
      <c r="K100" s="55"/>
      <c r="L100" s="441"/>
      <c r="M100" s="441"/>
      <c r="N100" s="515"/>
    </row>
    <row r="101" spans="1:14" ht="15" hidden="1" customHeight="1" x14ac:dyDescent="0.25">
      <c r="A101" s="417"/>
      <c r="B101" s="418"/>
      <c r="C101" s="52" t="s">
        <v>106</v>
      </c>
      <c r="D101" s="54">
        <v>12</v>
      </c>
      <c r="E101" s="382"/>
      <c r="F101" s="415"/>
      <c r="G101" s="415"/>
      <c r="H101" s="402"/>
      <c r="I101" s="402"/>
      <c r="J101" s="402"/>
      <c r="K101" s="55"/>
      <c r="L101" s="441"/>
      <c r="M101" s="441"/>
      <c r="N101" s="515"/>
    </row>
    <row r="102" spans="1:14" ht="15" hidden="1" customHeight="1" x14ac:dyDescent="0.25">
      <c r="A102" s="417"/>
      <c r="B102" s="418"/>
      <c r="C102" s="52"/>
      <c r="D102" s="52" t="s">
        <v>112</v>
      </c>
      <c r="E102" s="382"/>
      <c r="F102" s="415"/>
      <c r="G102" s="415"/>
      <c r="H102" s="402"/>
      <c r="I102" s="402"/>
      <c r="J102" s="402"/>
      <c r="K102" s="55"/>
      <c r="L102" s="441"/>
      <c r="M102" s="441"/>
      <c r="N102" s="515"/>
    </row>
    <row r="103" spans="1:14" ht="15" hidden="1" customHeight="1" x14ac:dyDescent="0.25">
      <c r="A103" s="417"/>
      <c r="B103" s="418"/>
      <c r="C103" s="52"/>
      <c r="D103" s="52" t="s">
        <v>113</v>
      </c>
      <c r="E103" s="382"/>
      <c r="F103" s="415"/>
      <c r="G103" s="415"/>
      <c r="H103" s="402"/>
      <c r="I103" s="402"/>
      <c r="J103" s="402"/>
      <c r="K103" s="55"/>
      <c r="L103" s="441"/>
      <c r="M103" s="441"/>
      <c r="N103" s="515"/>
    </row>
    <row r="104" spans="1:14" ht="15" hidden="1" customHeight="1" x14ac:dyDescent="0.25">
      <c r="A104" s="417"/>
      <c r="B104" s="418"/>
      <c r="C104" s="52"/>
      <c r="D104" s="52" t="s">
        <v>114</v>
      </c>
      <c r="E104" s="382"/>
      <c r="F104" s="415"/>
      <c r="G104" s="415"/>
      <c r="H104" s="402"/>
      <c r="I104" s="402"/>
      <c r="J104" s="402"/>
      <c r="K104" s="55"/>
      <c r="L104" s="441"/>
      <c r="M104" s="441"/>
      <c r="N104" s="515"/>
    </row>
    <row r="105" spans="1:14" ht="15" hidden="1" customHeight="1" x14ac:dyDescent="0.25">
      <c r="A105" s="417"/>
      <c r="B105" s="418"/>
      <c r="C105" s="52"/>
      <c r="D105" s="52" t="s">
        <v>115</v>
      </c>
      <c r="E105" s="382"/>
      <c r="F105" s="415"/>
      <c r="G105" s="415"/>
      <c r="H105" s="402"/>
      <c r="I105" s="402"/>
      <c r="J105" s="402"/>
      <c r="K105" s="55"/>
      <c r="L105" s="441"/>
      <c r="M105" s="441"/>
      <c r="N105" s="515"/>
    </row>
    <row r="106" spans="1:14" ht="15" hidden="1" customHeight="1" x14ac:dyDescent="0.25">
      <c r="A106" s="417"/>
      <c r="B106" s="418"/>
      <c r="C106" s="52"/>
      <c r="D106" s="52" t="s">
        <v>116</v>
      </c>
      <c r="E106" s="382"/>
      <c r="F106" s="415"/>
      <c r="G106" s="415"/>
      <c r="H106" s="402"/>
      <c r="I106" s="402"/>
      <c r="J106" s="402"/>
      <c r="K106" s="55"/>
      <c r="L106" s="441"/>
      <c r="M106" s="441"/>
      <c r="N106" s="515"/>
    </row>
    <row r="107" spans="1:14" ht="15" hidden="1" customHeight="1" x14ac:dyDescent="0.25">
      <c r="A107" s="417"/>
      <c r="B107" s="418"/>
      <c r="C107" s="490"/>
      <c r="D107" s="490"/>
      <c r="E107" s="382"/>
      <c r="F107" s="415"/>
      <c r="G107" s="415"/>
      <c r="H107" s="402"/>
      <c r="I107" s="402"/>
      <c r="J107" s="402"/>
      <c r="K107" s="55"/>
      <c r="L107" s="441"/>
      <c r="M107" s="441"/>
      <c r="N107" s="515"/>
    </row>
    <row r="108" spans="1:14" x14ac:dyDescent="0.25">
      <c r="A108" s="417"/>
      <c r="B108" s="418"/>
      <c r="C108" s="422" t="s">
        <v>117</v>
      </c>
      <c r="D108" s="422"/>
      <c r="E108" s="382"/>
      <c r="F108" s="416"/>
      <c r="G108" s="416"/>
      <c r="H108" s="403"/>
      <c r="I108" s="403"/>
      <c r="J108" s="403"/>
      <c r="K108" s="111">
        <f>IF(K96&gt;=D99,4,IF(AND(K96&lt;D99,K97&gt;=D100),3+K96/D99,IF(OR(AND(K96&gt;0,K96&lt;D99,K97=0),AND(K97&gt;0,K97&lt;D100,K96=0),AND(K96&gt;0,K96&lt;D99,K97&gt;0,K97&lt;D100)),2+2*K96/D99+K97/D100-(K96*K97)/(D99*D100),IF(AND(K96=0,K97=0,K98&gt;=D101),2,2*K98/D101))))</f>
        <v>0</v>
      </c>
      <c r="L108" s="441"/>
      <c r="M108" s="441"/>
      <c r="N108" s="515"/>
    </row>
    <row r="109" spans="1:14" ht="15.75" customHeight="1" x14ac:dyDescent="0.25">
      <c r="A109" s="417"/>
      <c r="B109" s="418"/>
      <c r="C109" s="430" t="s">
        <v>118</v>
      </c>
      <c r="D109" s="460"/>
      <c r="E109" s="460"/>
      <c r="F109" s="431"/>
      <c r="G109" s="56"/>
      <c r="H109" s="56"/>
      <c r="I109" s="56"/>
      <c r="J109" s="56"/>
      <c r="K109" s="111">
        <f>(2*K94+K108)/3</f>
        <v>0</v>
      </c>
      <c r="L109" s="442"/>
      <c r="M109" s="442"/>
      <c r="N109" s="516"/>
    </row>
    <row r="110" spans="1:14" ht="15.75" thickBot="1" x14ac:dyDescent="0.3">
      <c r="L110" s="43"/>
      <c r="M110" s="43"/>
      <c r="N110" s="43"/>
    </row>
    <row r="111" spans="1:14" ht="30.75" customHeight="1" x14ac:dyDescent="0.25">
      <c r="A111" s="417">
        <f>A84+1</f>
        <v>10</v>
      </c>
      <c r="B111" s="485" t="s">
        <v>981</v>
      </c>
      <c r="C111" s="395" t="s">
        <v>536</v>
      </c>
      <c r="D111" s="395"/>
      <c r="E111" s="382" t="s">
        <v>1729</v>
      </c>
      <c r="F111" s="414" t="s">
        <v>1130</v>
      </c>
      <c r="G111" s="414" t="s">
        <v>1131</v>
      </c>
      <c r="H111" s="34" t="s">
        <v>582</v>
      </c>
      <c r="I111" s="34">
        <v>1</v>
      </c>
      <c r="J111" s="109" t="str">
        <f>IF((IF(OR((H111&amp;"."&amp;I111)=$R$8,(H111&amp;"."&amp;I111)=$S$8,(H111&amp;"."&amp;I111)=$T$8,(H111&amp;"."&amp;I111)=$U$8,(H111&amp;"."&amp;I111)=$V$8,(H111&amp;"."&amp;I111)=$W$8),1,0))=1,"EKSTREM",IF((IF(OR((H111&amp;"."&amp;I111)=$R$9,(H111&amp;"."&amp;I111)=$S$9,(H111&amp;"."&amp;I111)=$T$9,(H111&amp;"."&amp;I111)=$U$9,(H111&amp;"."&amp;I111)=$V$9,(H111&amp;"."&amp;I111)=$W$9,(H111&amp;"."&amp;I111)=$X$9),1,0))=1,"TINGGI",IF((IF(OR((H111&amp;"."&amp;I111)=$R$10,(H111&amp;"."&amp;I111)=$S$10,(H111&amp;"."&amp;I111)=$T$10,(H111&amp;"."&amp;I111)=$U$10,(H111&amp;"."&amp;I111)=$V$10,(H111&amp;"."&amp;I111)=$W$10),1,0))=1,"MODERAT",IF((IF(OR((H111&amp;"."&amp;I111)=$R$11,(H111&amp;"."&amp;I111)=$S$11,(H111&amp;"."&amp;I111)=$T$11,(H111&amp;"."&amp;I111)=$U$11,(H111&amp;"."&amp;I111)=$V$11,(H111&amp;"."&amp;I111)=$W$11),1,0))=1,"RENDAH","-"))))</f>
        <v>RENDAH</v>
      </c>
      <c r="K111" s="36">
        <v>0</v>
      </c>
      <c r="L111" s="413" t="s">
        <v>1132</v>
      </c>
      <c r="M111" s="413" t="s">
        <v>1133</v>
      </c>
      <c r="N111" s="517"/>
    </row>
    <row r="112" spans="1:14" ht="90" customHeight="1" x14ac:dyDescent="0.25">
      <c r="A112" s="417"/>
      <c r="B112" s="486"/>
      <c r="C112" s="37">
        <v>4</v>
      </c>
      <c r="D112" s="57" t="s">
        <v>537</v>
      </c>
      <c r="E112" s="382"/>
      <c r="F112" s="415"/>
      <c r="G112" s="415"/>
      <c r="H112" s="401"/>
      <c r="I112" s="401"/>
      <c r="J112" s="401"/>
      <c r="K112" s="401"/>
      <c r="L112" s="413"/>
      <c r="M112" s="413"/>
      <c r="N112" s="517"/>
    </row>
    <row r="113" spans="1:14" ht="90" customHeight="1" x14ac:dyDescent="0.25">
      <c r="A113" s="417"/>
      <c r="B113" s="486"/>
      <c r="C113" s="37">
        <v>3</v>
      </c>
      <c r="D113" s="57" t="s">
        <v>538</v>
      </c>
      <c r="E113" s="382"/>
      <c r="F113" s="415"/>
      <c r="G113" s="415"/>
      <c r="H113" s="402"/>
      <c r="I113" s="402"/>
      <c r="J113" s="402"/>
      <c r="K113" s="402"/>
      <c r="L113" s="413"/>
      <c r="M113" s="413"/>
      <c r="N113" s="517"/>
    </row>
    <row r="114" spans="1:14" x14ac:dyDescent="0.25">
      <c r="A114" s="417"/>
      <c r="B114" s="486"/>
      <c r="C114" s="37">
        <v>2</v>
      </c>
      <c r="D114" s="57" t="s">
        <v>539</v>
      </c>
      <c r="E114" s="382"/>
      <c r="F114" s="415"/>
      <c r="G114" s="415"/>
      <c r="H114" s="402"/>
      <c r="I114" s="402"/>
      <c r="J114" s="402"/>
      <c r="K114" s="402"/>
      <c r="L114" s="413"/>
      <c r="M114" s="413"/>
      <c r="N114" s="517"/>
    </row>
    <row r="115" spans="1:14" x14ac:dyDescent="0.25">
      <c r="A115" s="417"/>
      <c r="B115" s="486"/>
      <c r="C115" s="37">
        <v>1</v>
      </c>
      <c r="D115" s="446" t="s">
        <v>540</v>
      </c>
      <c r="E115" s="382"/>
      <c r="F115" s="415"/>
      <c r="G115" s="415"/>
      <c r="H115" s="402"/>
      <c r="I115" s="402"/>
      <c r="J115" s="402"/>
      <c r="K115" s="402"/>
      <c r="L115" s="413"/>
      <c r="M115" s="413"/>
      <c r="N115" s="517"/>
    </row>
    <row r="116" spans="1:14" x14ac:dyDescent="0.25">
      <c r="A116" s="417"/>
      <c r="B116" s="486"/>
      <c r="C116" s="37">
        <v>0</v>
      </c>
      <c r="D116" s="446"/>
      <c r="E116" s="382"/>
      <c r="F116" s="416"/>
      <c r="G116" s="416"/>
      <c r="H116" s="403"/>
      <c r="I116" s="403"/>
      <c r="J116" s="403"/>
      <c r="K116" s="403"/>
      <c r="L116" s="413"/>
      <c r="M116" s="413"/>
      <c r="N116" s="517"/>
    </row>
    <row r="117" spans="1:14" ht="15.75" thickBot="1" x14ac:dyDescent="0.3">
      <c r="A117" s="417"/>
      <c r="B117" s="487"/>
      <c r="C117" s="470" t="s">
        <v>6</v>
      </c>
      <c r="D117" s="470"/>
      <c r="E117" s="470"/>
      <c r="F117" s="44"/>
      <c r="G117" s="44"/>
      <c r="H117" s="44"/>
      <c r="I117" s="44"/>
      <c r="J117" s="44"/>
      <c r="K117" s="110">
        <f>IF(OR(ISBLANK(K111),K111&lt;0,K111&gt;4),0,K111)</f>
        <v>0</v>
      </c>
      <c r="L117" s="413"/>
      <c r="M117" s="413"/>
      <c r="N117" s="517"/>
    </row>
    <row r="118" spans="1:14" ht="15.75" thickBot="1" x14ac:dyDescent="0.3">
      <c r="L118" s="43"/>
      <c r="M118" s="43"/>
      <c r="N118" s="43"/>
    </row>
    <row r="119" spans="1:14" ht="122.25" customHeight="1" x14ac:dyDescent="0.25">
      <c r="A119" s="417">
        <f>A111+1</f>
        <v>11</v>
      </c>
      <c r="B119" s="485" t="s">
        <v>982</v>
      </c>
      <c r="C119" s="395" t="s">
        <v>541</v>
      </c>
      <c r="D119" s="395"/>
      <c r="E119" s="454" t="s">
        <v>1730</v>
      </c>
      <c r="F119" s="414" t="s">
        <v>1130</v>
      </c>
      <c r="G119" s="414" t="s">
        <v>1131</v>
      </c>
      <c r="H119" s="34" t="s">
        <v>582</v>
      </c>
      <c r="I119" s="34">
        <v>1</v>
      </c>
      <c r="J119" s="109" t="str">
        <f>IF((IF(OR((H119&amp;"."&amp;I119)=$R$8,(H119&amp;"."&amp;I119)=$S$8,(H119&amp;"."&amp;I119)=$T$8,(H119&amp;"."&amp;I119)=$U$8,(H119&amp;"."&amp;I119)=$V$8,(H119&amp;"."&amp;I119)=$W$8),1,0))=1,"EKSTREM",IF((IF(OR((H119&amp;"."&amp;I119)=$R$9,(H119&amp;"."&amp;I119)=$S$9,(H119&amp;"."&amp;I119)=$T$9,(H119&amp;"."&amp;I119)=$U$9,(H119&amp;"."&amp;I119)=$V$9,(H119&amp;"."&amp;I119)=$W$9,(H119&amp;"."&amp;I119)=$X$9),1,0))=1,"TINGGI",IF((IF(OR((H119&amp;"."&amp;I119)=$R$10,(H119&amp;"."&amp;I119)=$S$10,(H119&amp;"."&amp;I119)=$T$10,(H119&amp;"."&amp;I119)=$U$10,(H119&amp;"."&amp;I119)=$V$10,(H119&amp;"."&amp;I119)=$W$10),1,0))=1,"MODERAT",IF((IF(OR((H119&amp;"."&amp;I119)=$R$11,(H119&amp;"."&amp;I119)=$S$11,(H119&amp;"."&amp;I119)=$T$11,(H119&amp;"."&amp;I119)=$U$11,(H119&amp;"."&amp;I119)=$V$11,(H119&amp;"."&amp;I119)=$W$11),1,0))=1,"RENDAH","-"))))</f>
        <v>RENDAH</v>
      </c>
      <c r="K119" s="36">
        <v>0</v>
      </c>
      <c r="L119" s="413" t="s">
        <v>1132</v>
      </c>
      <c r="M119" s="413" t="s">
        <v>1133</v>
      </c>
      <c r="N119" s="517"/>
    </row>
    <row r="120" spans="1:14" ht="45" x14ac:dyDescent="0.25">
      <c r="A120" s="417"/>
      <c r="B120" s="486"/>
      <c r="C120" s="37">
        <v>4</v>
      </c>
      <c r="D120" s="57" t="s">
        <v>542</v>
      </c>
      <c r="E120" s="455"/>
      <c r="F120" s="415"/>
      <c r="G120" s="415"/>
      <c r="H120" s="401"/>
      <c r="I120" s="401"/>
      <c r="J120" s="401"/>
      <c r="K120" s="401"/>
      <c r="L120" s="413"/>
      <c r="M120" s="413"/>
      <c r="N120" s="517"/>
    </row>
    <row r="121" spans="1:14" ht="30" x14ac:dyDescent="0.25">
      <c r="A121" s="417"/>
      <c r="B121" s="486"/>
      <c r="C121" s="37">
        <v>3</v>
      </c>
      <c r="D121" s="57" t="s">
        <v>543</v>
      </c>
      <c r="E121" s="455"/>
      <c r="F121" s="415"/>
      <c r="G121" s="415"/>
      <c r="H121" s="402"/>
      <c r="I121" s="402"/>
      <c r="J121" s="402"/>
      <c r="K121" s="402"/>
      <c r="L121" s="413"/>
      <c r="M121" s="413"/>
      <c r="N121" s="517"/>
    </row>
    <row r="122" spans="1:14" ht="30" x14ac:dyDescent="0.25">
      <c r="A122" s="417"/>
      <c r="B122" s="486"/>
      <c r="C122" s="37">
        <v>2</v>
      </c>
      <c r="D122" s="57" t="s">
        <v>544</v>
      </c>
      <c r="E122" s="455"/>
      <c r="F122" s="415"/>
      <c r="G122" s="415"/>
      <c r="H122" s="402"/>
      <c r="I122" s="402"/>
      <c r="J122" s="402"/>
      <c r="K122" s="402"/>
      <c r="L122" s="413"/>
      <c r="M122" s="413"/>
      <c r="N122" s="517"/>
    </row>
    <row r="123" spans="1:14" ht="30" x14ac:dyDescent="0.25">
      <c r="A123" s="417"/>
      <c r="B123" s="486"/>
      <c r="C123" s="37">
        <v>1</v>
      </c>
      <c r="D123" s="57" t="s">
        <v>545</v>
      </c>
      <c r="E123" s="455"/>
      <c r="F123" s="415"/>
      <c r="G123" s="415"/>
      <c r="H123" s="402"/>
      <c r="I123" s="402"/>
      <c r="J123" s="402"/>
      <c r="K123" s="402"/>
      <c r="L123" s="413"/>
      <c r="M123" s="413"/>
      <c r="N123" s="517"/>
    </row>
    <row r="124" spans="1:14" x14ac:dyDescent="0.25">
      <c r="A124" s="417"/>
      <c r="B124" s="486"/>
      <c r="C124" s="37">
        <v>0</v>
      </c>
      <c r="D124" s="57" t="s">
        <v>546</v>
      </c>
      <c r="E124" s="456"/>
      <c r="F124" s="416"/>
      <c r="G124" s="416"/>
      <c r="H124" s="403"/>
      <c r="I124" s="403"/>
      <c r="J124" s="403"/>
      <c r="K124" s="403"/>
      <c r="L124" s="413"/>
      <c r="M124" s="413"/>
      <c r="N124" s="517"/>
    </row>
    <row r="125" spans="1:14" ht="15.75" thickBot="1" x14ac:dyDescent="0.3">
      <c r="A125" s="417"/>
      <c r="B125" s="487"/>
      <c r="C125" s="470" t="s">
        <v>6</v>
      </c>
      <c r="D125" s="470"/>
      <c r="E125" s="470"/>
      <c r="F125" s="44"/>
      <c r="G125" s="44"/>
      <c r="H125" s="44"/>
      <c r="I125" s="44"/>
      <c r="J125" s="44"/>
      <c r="K125" s="110">
        <f>IF(OR(ISBLANK(K119),K119&lt;0,K119&gt;4),0,K119)</f>
        <v>0</v>
      </c>
      <c r="L125" s="413"/>
      <c r="M125" s="413"/>
      <c r="N125" s="517"/>
    </row>
    <row r="126" spans="1:14" x14ac:dyDescent="0.25">
      <c r="L126" s="43"/>
      <c r="M126" s="43"/>
      <c r="N126" s="43"/>
    </row>
    <row r="127" spans="1:14" ht="120" customHeight="1" x14ac:dyDescent="0.25">
      <c r="A127" s="417">
        <f>A119+1</f>
        <v>12</v>
      </c>
      <c r="B127" s="444" t="s">
        <v>628</v>
      </c>
      <c r="C127" s="395" t="s">
        <v>622</v>
      </c>
      <c r="D127" s="395"/>
      <c r="E127" s="382" t="s">
        <v>1731</v>
      </c>
      <c r="F127" s="414" t="s">
        <v>1130</v>
      </c>
      <c r="G127" s="414" t="s">
        <v>1131</v>
      </c>
      <c r="H127" s="34" t="s">
        <v>582</v>
      </c>
      <c r="I127" s="34">
        <v>1</v>
      </c>
      <c r="J127" s="109" t="str">
        <f>IF((IF(OR((H127&amp;"."&amp;I127)=$R$8,(H127&amp;"."&amp;I127)=$S$8,(H127&amp;"."&amp;I127)=$T$8,(H127&amp;"."&amp;I127)=$U$8,(H127&amp;"."&amp;I127)=$V$8,(H127&amp;"."&amp;I127)=$W$8),1,0))=1,"EKSTREM",IF((IF(OR((H127&amp;"."&amp;I127)=$R$9,(H127&amp;"."&amp;I127)=$S$9,(H127&amp;"."&amp;I127)=$T$9,(H127&amp;"."&amp;I127)=$U$9,(H127&amp;"."&amp;I127)=$V$9,(H127&amp;"."&amp;I127)=$W$9,(H127&amp;"."&amp;I127)=$X$9),1,0))=1,"TINGGI",IF((IF(OR((H127&amp;"."&amp;I127)=$R$10,(H127&amp;"."&amp;I127)=$S$10,(H127&amp;"."&amp;I127)=$T$10,(H127&amp;"."&amp;I127)=$U$10,(H127&amp;"."&amp;I127)=$V$10,(H127&amp;"."&amp;I127)=$W$10),1,0))=1,"MODERAT",IF((IF(OR((H127&amp;"."&amp;I127)=$R$11,(H127&amp;"."&amp;I127)=$S$11,(H127&amp;"."&amp;I127)=$T$11,(H127&amp;"."&amp;I127)=$U$11,(H127&amp;"."&amp;I127)=$V$11,(H127&amp;"."&amp;I127)=$W$11),1,0))=1,"RENDAH","-"))))</f>
        <v>RENDAH</v>
      </c>
      <c r="K127" s="36">
        <v>0</v>
      </c>
      <c r="L127" s="413" t="s">
        <v>1132</v>
      </c>
      <c r="M127" s="413" t="s">
        <v>1133</v>
      </c>
      <c r="N127" s="517"/>
    </row>
    <row r="128" spans="1:14" x14ac:dyDescent="0.25">
      <c r="A128" s="417"/>
      <c r="B128" s="444"/>
      <c r="C128" s="37">
        <v>4</v>
      </c>
      <c r="D128" s="47" t="s">
        <v>623</v>
      </c>
      <c r="E128" s="382"/>
      <c r="F128" s="415"/>
      <c r="G128" s="415"/>
      <c r="H128" s="401"/>
      <c r="I128" s="401"/>
      <c r="J128" s="401"/>
      <c r="K128" s="401"/>
      <c r="L128" s="413"/>
      <c r="M128" s="413"/>
      <c r="N128" s="517"/>
    </row>
    <row r="129" spans="1:14" ht="30" x14ac:dyDescent="0.25">
      <c r="A129" s="417"/>
      <c r="B129" s="444"/>
      <c r="C129" s="37">
        <v>3</v>
      </c>
      <c r="D129" s="47" t="s">
        <v>624</v>
      </c>
      <c r="E129" s="382"/>
      <c r="F129" s="415"/>
      <c r="G129" s="415"/>
      <c r="H129" s="402"/>
      <c r="I129" s="402"/>
      <c r="J129" s="402"/>
      <c r="K129" s="402"/>
      <c r="L129" s="413"/>
      <c r="M129" s="413"/>
      <c r="N129" s="517"/>
    </row>
    <row r="130" spans="1:14" ht="30" x14ac:dyDescent="0.25">
      <c r="A130" s="417"/>
      <c r="B130" s="444"/>
      <c r="C130" s="37">
        <v>2</v>
      </c>
      <c r="D130" s="47" t="s">
        <v>625</v>
      </c>
      <c r="E130" s="382"/>
      <c r="F130" s="415"/>
      <c r="G130" s="415"/>
      <c r="H130" s="402"/>
      <c r="I130" s="402"/>
      <c r="J130" s="402"/>
      <c r="K130" s="402"/>
      <c r="L130" s="413"/>
      <c r="M130" s="413"/>
      <c r="N130" s="517"/>
    </row>
    <row r="131" spans="1:14" ht="45" customHeight="1" x14ac:dyDescent="0.25">
      <c r="A131" s="417"/>
      <c r="B131" s="444"/>
      <c r="C131" s="37">
        <v>1</v>
      </c>
      <c r="D131" s="47" t="s">
        <v>626</v>
      </c>
      <c r="E131" s="382"/>
      <c r="F131" s="415"/>
      <c r="G131" s="415"/>
      <c r="H131" s="402"/>
      <c r="I131" s="402"/>
      <c r="J131" s="402"/>
      <c r="K131" s="402"/>
      <c r="L131" s="413"/>
      <c r="M131" s="413"/>
      <c r="N131" s="517"/>
    </row>
    <row r="132" spans="1:14" ht="30" x14ac:dyDescent="0.25">
      <c r="A132" s="417"/>
      <c r="B132" s="444"/>
      <c r="C132" s="37">
        <v>0</v>
      </c>
      <c r="D132" s="47" t="s">
        <v>627</v>
      </c>
      <c r="E132" s="382"/>
      <c r="F132" s="416"/>
      <c r="G132" s="416"/>
      <c r="H132" s="403"/>
      <c r="I132" s="403"/>
      <c r="J132" s="403"/>
      <c r="K132" s="403"/>
      <c r="L132" s="413"/>
      <c r="M132" s="413"/>
      <c r="N132" s="517"/>
    </row>
    <row r="133" spans="1:14" x14ac:dyDescent="0.25">
      <c r="A133" s="417"/>
      <c r="B133" s="444"/>
      <c r="C133" s="470" t="s">
        <v>6</v>
      </c>
      <c r="D133" s="470"/>
      <c r="E133" s="470"/>
      <c r="F133" s="44"/>
      <c r="G133" s="44"/>
      <c r="H133" s="44"/>
      <c r="I133" s="44"/>
      <c r="J133" s="44"/>
      <c r="K133" s="110">
        <f>IF(OR(ISBLANK(K127),K127&lt;0,K127&gt;4),0,K127)</f>
        <v>0</v>
      </c>
      <c r="L133" s="413"/>
      <c r="M133" s="413"/>
      <c r="N133" s="517"/>
    </row>
    <row r="134" spans="1:14" x14ac:dyDescent="0.25">
      <c r="L134" s="43"/>
      <c r="M134" s="43"/>
      <c r="N134" s="43"/>
    </row>
    <row r="135" spans="1:14" ht="234.95" customHeight="1" x14ac:dyDescent="0.25">
      <c r="A135" s="417">
        <f>A127+1</f>
        <v>13</v>
      </c>
      <c r="B135" s="444" t="s">
        <v>629</v>
      </c>
      <c r="C135" s="395" t="s">
        <v>630</v>
      </c>
      <c r="D135" s="395"/>
      <c r="E135" s="382" t="s">
        <v>1732</v>
      </c>
      <c r="F135" s="414" t="s">
        <v>1130</v>
      </c>
      <c r="G135" s="414" t="s">
        <v>1131</v>
      </c>
      <c r="H135" s="34" t="s">
        <v>582</v>
      </c>
      <c r="I135" s="34">
        <v>1</v>
      </c>
      <c r="J135" s="109" t="str">
        <f>IF((IF(OR((H135&amp;"."&amp;I135)=$R$8,(H135&amp;"."&amp;I135)=$S$8,(H135&amp;"."&amp;I135)=$T$8,(H135&amp;"."&amp;I135)=$U$8,(H135&amp;"."&amp;I135)=$V$8,(H135&amp;"."&amp;I135)=$W$8),1,0))=1,"EKSTREM",IF((IF(OR((H135&amp;"."&amp;I135)=$R$9,(H135&amp;"."&amp;I135)=$S$9,(H135&amp;"."&amp;I135)=$T$9,(H135&amp;"."&amp;I135)=$U$9,(H135&amp;"."&amp;I135)=$V$9,(H135&amp;"."&amp;I135)=$W$9,(H135&amp;"."&amp;I135)=$X$9),1,0))=1,"TINGGI",IF((IF(OR((H135&amp;"."&amp;I135)=$R$10,(H135&amp;"."&amp;I135)=$S$10,(H135&amp;"."&amp;I135)=$T$10,(H135&amp;"."&amp;I135)=$U$10,(H135&amp;"."&amp;I135)=$V$10,(H135&amp;"."&amp;I135)=$W$10),1,0))=1,"MODERAT",IF((IF(OR((H135&amp;"."&amp;I135)=$R$11,(H135&amp;"."&amp;I135)=$S$11,(H135&amp;"."&amp;I135)=$T$11,(H135&amp;"."&amp;I135)=$U$11,(H135&amp;"."&amp;I135)=$V$11,(H135&amp;"."&amp;I135)=$W$11),1,0))=1,"RENDAH","-"))))</f>
        <v>RENDAH</v>
      </c>
      <c r="K135" s="36">
        <v>0</v>
      </c>
      <c r="L135" s="413" t="s">
        <v>1132</v>
      </c>
      <c r="M135" s="413" t="s">
        <v>1133</v>
      </c>
      <c r="N135" s="517"/>
    </row>
    <row r="136" spans="1:14" ht="45" x14ac:dyDescent="0.25">
      <c r="A136" s="417"/>
      <c r="B136" s="444"/>
      <c r="C136" s="37">
        <v>4</v>
      </c>
      <c r="D136" s="47" t="s">
        <v>631</v>
      </c>
      <c r="E136" s="382"/>
      <c r="F136" s="415"/>
      <c r="G136" s="415"/>
      <c r="H136" s="401"/>
      <c r="I136" s="401"/>
      <c r="J136" s="401"/>
      <c r="K136" s="401"/>
      <c r="L136" s="413"/>
      <c r="M136" s="413"/>
      <c r="N136" s="517"/>
    </row>
    <row r="137" spans="1:14" ht="45" customHeight="1" x14ac:dyDescent="0.25">
      <c r="A137" s="417"/>
      <c r="B137" s="444"/>
      <c r="C137" s="37">
        <v>3</v>
      </c>
      <c r="D137" s="47" t="s">
        <v>632</v>
      </c>
      <c r="E137" s="382"/>
      <c r="F137" s="415"/>
      <c r="G137" s="415"/>
      <c r="H137" s="402"/>
      <c r="I137" s="402"/>
      <c r="J137" s="402"/>
      <c r="K137" s="402"/>
      <c r="L137" s="413"/>
      <c r="M137" s="413"/>
      <c r="N137" s="517"/>
    </row>
    <row r="138" spans="1:14" ht="45" x14ac:dyDescent="0.25">
      <c r="A138" s="417"/>
      <c r="B138" s="444"/>
      <c r="C138" s="37">
        <v>2</v>
      </c>
      <c r="D138" s="47" t="s">
        <v>633</v>
      </c>
      <c r="E138" s="382"/>
      <c r="F138" s="415"/>
      <c r="G138" s="415"/>
      <c r="H138" s="402"/>
      <c r="I138" s="402"/>
      <c r="J138" s="402"/>
      <c r="K138" s="402"/>
      <c r="L138" s="413"/>
      <c r="M138" s="413"/>
      <c r="N138" s="517"/>
    </row>
    <row r="139" spans="1:14" ht="45" x14ac:dyDescent="0.25">
      <c r="A139" s="417"/>
      <c r="B139" s="444"/>
      <c r="C139" s="37">
        <v>1</v>
      </c>
      <c r="D139" s="47" t="s">
        <v>634</v>
      </c>
      <c r="E139" s="382"/>
      <c r="F139" s="415"/>
      <c r="G139" s="415"/>
      <c r="H139" s="402"/>
      <c r="I139" s="402"/>
      <c r="J139" s="402"/>
      <c r="K139" s="402"/>
      <c r="L139" s="413"/>
      <c r="M139" s="413"/>
      <c r="N139" s="517"/>
    </row>
    <row r="140" spans="1:14" ht="30" x14ac:dyDescent="0.25">
      <c r="A140" s="417"/>
      <c r="B140" s="444"/>
      <c r="C140" s="37">
        <v>0</v>
      </c>
      <c r="D140" s="47" t="s">
        <v>635</v>
      </c>
      <c r="E140" s="382"/>
      <c r="F140" s="416"/>
      <c r="G140" s="416"/>
      <c r="H140" s="403"/>
      <c r="I140" s="403"/>
      <c r="J140" s="403"/>
      <c r="K140" s="403"/>
      <c r="L140" s="413"/>
      <c r="M140" s="413"/>
      <c r="N140" s="517"/>
    </row>
    <row r="141" spans="1:14" x14ac:dyDescent="0.25">
      <c r="A141" s="417"/>
      <c r="B141" s="444"/>
      <c r="C141" s="470" t="s">
        <v>6</v>
      </c>
      <c r="D141" s="470"/>
      <c r="E141" s="470"/>
      <c r="F141" s="44"/>
      <c r="G141" s="44"/>
      <c r="H141" s="44"/>
      <c r="I141" s="44"/>
      <c r="J141" s="44"/>
      <c r="K141" s="110">
        <f>IF(OR(ISBLANK(K135),K135&lt;0,K135&gt;4),0,K135)</f>
        <v>0</v>
      </c>
      <c r="L141" s="413"/>
      <c r="M141" s="413"/>
      <c r="N141" s="517"/>
    </row>
    <row r="142" spans="1:14" x14ac:dyDescent="0.25">
      <c r="L142" s="43"/>
      <c r="M142" s="43"/>
      <c r="N142" s="43"/>
    </row>
    <row r="143" spans="1:14" ht="30" customHeight="1" x14ac:dyDescent="0.25">
      <c r="A143" s="417">
        <f>A135+1</f>
        <v>14</v>
      </c>
      <c r="B143" s="444" t="s">
        <v>636</v>
      </c>
      <c r="C143" s="399" t="s">
        <v>1017</v>
      </c>
      <c r="D143" s="400"/>
      <c r="E143" s="382" t="s">
        <v>1733</v>
      </c>
      <c r="F143" s="412" t="s">
        <v>1130</v>
      </c>
      <c r="G143" s="414" t="s">
        <v>1131</v>
      </c>
      <c r="H143" s="34" t="s">
        <v>582</v>
      </c>
      <c r="I143" s="34">
        <v>1</v>
      </c>
      <c r="J143" s="109" t="str">
        <f>IF((IF(OR((H143&amp;"."&amp;I143)=$R$8,(H143&amp;"."&amp;I143)=$S$8,(H143&amp;"."&amp;I143)=$T$8,(H143&amp;"."&amp;I143)=$U$8,(H143&amp;"."&amp;I143)=$V$8,(H143&amp;"."&amp;I143)=$W$8),1,0))=1,"EKSTREM",IF((IF(OR((H143&amp;"."&amp;I143)=$R$9,(H143&amp;"."&amp;I143)=$S$9,(H143&amp;"."&amp;I143)=$T$9,(H143&amp;"."&amp;I143)=$U$9,(H143&amp;"."&amp;I143)=$V$9,(H143&amp;"."&amp;I143)=$W$9,(H143&amp;"."&amp;I143)=$X$9),1,0))=1,"TINGGI",IF((IF(OR((H143&amp;"."&amp;I143)=$R$10,(H143&amp;"."&amp;I143)=$S$10,(H143&amp;"."&amp;I143)=$T$10,(H143&amp;"."&amp;I143)=$U$10,(H143&amp;"."&amp;I143)=$V$10,(H143&amp;"."&amp;I143)=$W$10),1,0))=1,"MODERAT",IF((IF(OR((H143&amp;"."&amp;I143)=$R$11,(H143&amp;"."&amp;I143)=$S$11,(H143&amp;"."&amp;I143)=$T$11,(H143&amp;"."&amp;I143)=$U$11,(H143&amp;"."&amp;I143)=$V$11,(H143&amp;"."&amp;I143)=$W$11),1,0))=1,"RENDAH","-"))))</f>
        <v>RENDAH</v>
      </c>
      <c r="K143" s="36">
        <v>0</v>
      </c>
      <c r="L143" s="413" t="s">
        <v>1132</v>
      </c>
      <c r="M143" s="413" t="s">
        <v>1133</v>
      </c>
      <c r="N143" s="517"/>
    </row>
    <row r="144" spans="1:14" ht="60" customHeight="1" x14ac:dyDescent="0.25">
      <c r="A144" s="417"/>
      <c r="B144" s="411"/>
      <c r="C144" s="58">
        <v>4</v>
      </c>
      <c r="D144" s="59" t="s">
        <v>1003</v>
      </c>
      <c r="E144" s="411"/>
      <c r="F144" s="411"/>
      <c r="G144" s="415"/>
      <c r="H144" s="401"/>
      <c r="I144" s="401"/>
      <c r="J144" s="401"/>
      <c r="K144" s="50"/>
      <c r="L144" s="437"/>
      <c r="M144" s="437"/>
      <c r="N144" s="518"/>
    </row>
    <row r="145" spans="1:14" ht="30" customHeight="1" x14ac:dyDescent="0.25">
      <c r="A145" s="417"/>
      <c r="B145" s="411"/>
      <c r="C145" s="58">
        <v>3</v>
      </c>
      <c r="D145" s="59" t="s">
        <v>718</v>
      </c>
      <c r="E145" s="411"/>
      <c r="F145" s="411"/>
      <c r="G145" s="415"/>
      <c r="H145" s="402"/>
      <c r="I145" s="402"/>
      <c r="J145" s="402"/>
      <c r="K145" s="50"/>
      <c r="L145" s="437"/>
      <c r="M145" s="437"/>
      <c r="N145" s="518"/>
    </row>
    <row r="146" spans="1:14" ht="15" customHeight="1" x14ac:dyDescent="0.25">
      <c r="A146" s="417"/>
      <c r="B146" s="411"/>
      <c r="C146" s="58">
        <v>2</v>
      </c>
      <c r="D146" s="59" t="s">
        <v>1004</v>
      </c>
      <c r="E146" s="411"/>
      <c r="F146" s="411"/>
      <c r="G146" s="415"/>
      <c r="H146" s="402"/>
      <c r="I146" s="402"/>
      <c r="J146" s="402"/>
      <c r="K146" s="50"/>
      <c r="L146" s="437"/>
      <c r="M146" s="437"/>
      <c r="N146" s="518"/>
    </row>
    <row r="147" spans="1:14" ht="15" customHeight="1" x14ac:dyDescent="0.25">
      <c r="A147" s="417"/>
      <c r="B147" s="411"/>
      <c r="C147" s="58">
        <v>1</v>
      </c>
      <c r="D147" s="59" t="s">
        <v>1005</v>
      </c>
      <c r="E147" s="411"/>
      <c r="F147" s="411"/>
      <c r="G147" s="415"/>
      <c r="H147" s="402"/>
      <c r="I147" s="402"/>
      <c r="J147" s="402"/>
      <c r="K147" s="50"/>
      <c r="L147" s="437"/>
      <c r="M147" s="437"/>
      <c r="N147" s="518"/>
    </row>
    <row r="148" spans="1:14" ht="15" customHeight="1" x14ac:dyDescent="0.25">
      <c r="A148" s="417"/>
      <c r="B148" s="411"/>
      <c r="C148" s="60">
        <v>0</v>
      </c>
      <c r="D148" s="61" t="s">
        <v>1006</v>
      </c>
      <c r="E148" s="411"/>
      <c r="F148" s="411"/>
      <c r="G148" s="415"/>
      <c r="H148" s="402"/>
      <c r="I148" s="402"/>
      <c r="J148" s="402"/>
      <c r="K148" s="50"/>
      <c r="L148" s="437"/>
      <c r="M148" s="437"/>
      <c r="N148" s="518"/>
    </row>
    <row r="149" spans="1:14" ht="30" customHeight="1" x14ac:dyDescent="0.25">
      <c r="A149" s="417"/>
      <c r="B149" s="411"/>
      <c r="C149" s="399" t="s">
        <v>1007</v>
      </c>
      <c r="D149" s="400"/>
      <c r="E149" s="411"/>
      <c r="F149" s="411"/>
      <c r="G149" s="415"/>
      <c r="H149" s="402"/>
      <c r="I149" s="402"/>
      <c r="J149" s="402"/>
      <c r="K149" s="36">
        <v>0</v>
      </c>
      <c r="L149" s="437"/>
      <c r="M149" s="437"/>
      <c r="N149" s="518"/>
    </row>
    <row r="150" spans="1:14" ht="45" x14ac:dyDescent="0.25">
      <c r="A150" s="417"/>
      <c r="B150" s="411"/>
      <c r="C150" s="58">
        <v>4</v>
      </c>
      <c r="D150" s="59" t="s">
        <v>1008</v>
      </c>
      <c r="E150" s="411"/>
      <c r="F150" s="411"/>
      <c r="G150" s="415"/>
      <c r="H150" s="402"/>
      <c r="I150" s="402"/>
      <c r="J150" s="402"/>
      <c r="K150" s="50"/>
      <c r="L150" s="437"/>
      <c r="M150" s="437"/>
      <c r="N150" s="518"/>
    </row>
    <row r="151" spans="1:14" ht="30" customHeight="1" x14ac:dyDescent="0.25">
      <c r="A151" s="417"/>
      <c r="B151" s="411"/>
      <c r="C151" s="58">
        <v>3</v>
      </c>
      <c r="D151" s="59" t="s">
        <v>1009</v>
      </c>
      <c r="E151" s="411"/>
      <c r="F151" s="411"/>
      <c r="G151" s="415"/>
      <c r="H151" s="402"/>
      <c r="I151" s="402"/>
      <c r="J151" s="402"/>
      <c r="K151" s="50"/>
      <c r="L151" s="437"/>
      <c r="M151" s="437"/>
      <c r="N151" s="518"/>
    </row>
    <row r="152" spans="1:14" ht="30" customHeight="1" x14ac:dyDescent="0.25">
      <c r="A152" s="417"/>
      <c r="B152" s="411"/>
      <c r="C152" s="58">
        <v>2</v>
      </c>
      <c r="D152" s="59" t="s">
        <v>1010</v>
      </c>
      <c r="E152" s="411"/>
      <c r="F152" s="411"/>
      <c r="G152" s="415"/>
      <c r="H152" s="402"/>
      <c r="I152" s="402"/>
      <c r="J152" s="402"/>
      <c r="K152" s="50"/>
      <c r="L152" s="437"/>
      <c r="M152" s="437"/>
      <c r="N152" s="518"/>
    </row>
    <row r="153" spans="1:14" ht="30" customHeight="1" x14ac:dyDescent="0.25">
      <c r="A153" s="417"/>
      <c r="B153" s="411"/>
      <c r="C153" s="58">
        <v>1</v>
      </c>
      <c r="D153" s="59" t="s">
        <v>1011</v>
      </c>
      <c r="E153" s="411"/>
      <c r="F153" s="411"/>
      <c r="G153" s="415"/>
      <c r="H153" s="402"/>
      <c r="I153" s="402"/>
      <c r="J153" s="402"/>
      <c r="K153" s="50"/>
      <c r="L153" s="437"/>
      <c r="M153" s="437"/>
      <c r="N153" s="518"/>
    </row>
    <row r="154" spans="1:14" ht="30" customHeight="1" x14ac:dyDescent="0.25">
      <c r="A154" s="417"/>
      <c r="B154" s="411"/>
      <c r="C154" s="58">
        <v>0</v>
      </c>
      <c r="D154" s="59" t="s">
        <v>1012</v>
      </c>
      <c r="E154" s="411"/>
      <c r="F154" s="411"/>
      <c r="G154" s="415"/>
      <c r="H154" s="402"/>
      <c r="I154" s="402"/>
      <c r="J154" s="402"/>
      <c r="K154" s="50"/>
      <c r="L154" s="437"/>
      <c r="M154" s="437"/>
      <c r="N154" s="518"/>
    </row>
    <row r="155" spans="1:14" ht="30" customHeight="1" x14ac:dyDescent="0.25">
      <c r="A155" s="417"/>
      <c r="B155" s="411"/>
      <c r="C155" s="399" t="s">
        <v>1013</v>
      </c>
      <c r="D155" s="400"/>
      <c r="E155" s="411"/>
      <c r="F155" s="411"/>
      <c r="G155" s="415"/>
      <c r="H155" s="402"/>
      <c r="I155" s="402"/>
      <c r="J155" s="402"/>
      <c r="K155" s="36">
        <v>0</v>
      </c>
      <c r="L155" s="437"/>
      <c r="M155" s="437"/>
      <c r="N155" s="518"/>
    </row>
    <row r="156" spans="1:14" ht="45" x14ac:dyDescent="0.25">
      <c r="A156" s="417"/>
      <c r="B156" s="411"/>
      <c r="C156" s="58">
        <v>4</v>
      </c>
      <c r="D156" s="59" t="s">
        <v>1014</v>
      </c>
      <c r="E156" s="411"/>
      <c r="F156" s="411"/>
      <c r="G156" s="415"/>
      <c r="H156" s="402"/>
      <c r="I156" s="402"/>
      <c r="J156" s="402"/>
      <c r="K156" s="401"/>
      <c r="L156" s="437"/>
      <c r="M156" s="437"/>
      <c r="N156" s="518"/>
    </row>
    <row r="157" spans="1:14" x14ac:dyDescent="0.25">
      <c r="A157" s="417"/>
      <c r="B157" s="411"/>
      <c r="C157" s="58">
        <v>3</v>
      </c>
      <c r="D157" s="59" t="s">
        <v>718</v>
      </c>
      <c r="E157" s="411"/>
      <c r="F157" s="411"/>
      <c r="G157" s="415"/>
      <c r="H157" s="402"/>
      <c r="I157" s="402"/>
      <c r="J157" s="402"/>
      <c r="K157" s="402"/>
      <c r="L157" s="437"/>
      <c r="M157" s="437"/>
      <c r="N157" s="518"/>
    </row>
    <row r="158" spans="1:14" ht="15" customHeight="1" x14ac:dyDescent="0.25">
      <c r="A158" s="417"/>
      <c r="B158" s="411"/>
      <c r="C158" s="58">
        <v>2</v>
      </c>
      <c r="D158" s="59" t="s">
        <v>1015</v>
      </c>
      <c r="E158" s="411"/>
      <c r="F158" s="411"/>
      <c r="G158" s="415"/>
      <c r="H158" s="402"/>
      <c r="I158" s="402"/>
      <c r="J158" s="402"/>
      <c r="K158" s="402"/>
      <c r="L158" s="437"/>
      <c r="M158" s="437"/>
      <c r="N158" s="518"/>
    </row>
    <row r="159" spans="1:14" ht="30" x14ac:dyDescent="0.25">
      <c r="A159" s="417"/>
      <c r="B159" s="411"/>
      <c r="C159" s="58">
        <v>1</v>
      </c>
      <c r="D159" s="59" t="s">
        <v>1016</v>
      </c>
      <c r="E159" s="411"/>
      <c r="F159" s="411"/>
      <c r="G159" s="415"/>
      <c r="H159" s="402"/>
      <c r="I159" s="402"/>
      <c r="J159" s="402"/>
      <c r="K159" s="402"/>
      <c r="L159" s="437"/>
      <c r="M159" s="437"/>
      <c r="N159" s="518"/>
    </row>
    <row r="160" spans="1:14" x14ac:dyDescent="0.25">
      <c r="A160" s="417"/>
      <c r="B160" s="411"/>
      <c r="C160" s="58">
        <v>0</v>
      </c>
      <c r="D160" s="59" t="s">
        <v>7</v>
      </c>
      <c r="E160" s="411"/>
      <c r="F160" s="411"/>
      <c r="G160" s="416"/>
      <c r="H160" s="403"/>
      <c r="I160" s="403"/>
      <c r="J160" s="403"/>
      <c r="K160" s="403"/>
      <c r="L160" s="437"/>
      <c r="M160" s="437"/>
      <c r="N160" s="518"/>
    </row>
    <row r="161" spans="1:14" x14ac:dyDescent="0.25">
      <c r="A161" s="417"/>
      <c r="B161" s="411"/>
      <c r="C161" s="470" t="s">
        <v>247</v>
      </c>
      <c r="D161" s="411"/>
      <c r="E161" s="411"/>
      <c r="F161" s="411"/>
      <c r="G161" s="55"/>
      <c r="H161" s="55"/>
      <c r="I161" s="55"/>
      <c r="J161" s="55"/>
      <c r="K161" s="111">
        <f>IF(OR(ISBLANK(K143),K143&lt;0,K143&gt;4,ISBLANK(K149),K149&lt;0,K149&gt;4,ISBLANK(K155),K155&lt;0,K155&gt;4),0,(K143+(2*K149)+(2*K155))/5)</f>
        <v>0</v>
      </c>
      <c r="L161" s="437"/>
      <c r="M161" s="437"/>
      <c r="N161" s="518"/>
    </row>
    <row r="162" spans="1:14" x14ac:dyDescent="0.25">
      <c r="L162" s="43"/>
      <c r="M162" s="43"/>
      <c r="N162" s="43"/>
    </row>
    <row r="163" spans="1:14" ht="30" customHeight="1" x14ac:dyDescent="0.25">
      <c r="A163" s="417">
        <f>A143+1</f>
        <v>15</v>
      </c>
      <c r="B163" s="423" t="s">
        <v>637</v>
      </c>
      <c r="C163" s="395" t="s">
        <v>970</v>
      </c>
      <c r="D163" s="395"/>
      <c r="E163" s="454" t="s">
        <v>1734</v>
      </c>
      <c r="F163" s="414" t="s">
        <v>1130</v>
      </c>
      <c r="G163" s="414" t="s">
        <v>1131</v>
      </c>
      <c r="H163" s="34" t="s">
        <v>582</v>
      </c>
      <c r="I163" s="34">
        <v>1</v>
      </c>
      <c r="J163" s="109" t="str">
        <f>IF((IF(OR((H163&amp;"."&amp;I163)=$R$8,(H163&amp;"."&amp;I163)=$S$8,(H163&amp;"."&amp;I163)=$T$8,(H163&amp;"."&amp;I163)=$U$8,(H163&amp;"."&amp;I163)=$V$8,(H163&amp;"."&amp;I163)=$W$8),1,0))=1,"EKSTREM",IF((IF(OR((H163&amp;"."&amp;I163)=$R$9,(H163&amp;"."&amp;I163)=$S$9,(H163&amp;"."&amp;I163)=$T$9,(H163&amp;"."&amp;I163)=$U$9,(H163&amp;"."&amp;I163)=$V$9,(H163&amp;"."&amp;I163)=$W$9,(H163&amp;"."&amp;I163)=$X$9),1,0))=1,"TINGGI",IF((IF(OR((H163&amp;"."&amp;I163)=$R$10,(H163&amp;"."&amp;I163)=$S$10,(H163&amp;"."&amp;I163)=$T$10,(H163&amp;"."&amp;I163)=$U$10,(H163&amp;"."&amp;I163)=$V$10,(H163&amp;"."&amp;I163)=$W$10),1,0))=1,"MODERAT",IF((IF(OR((H163&amp;"."&amp;I163)=$R$11,(H163&amp;"."&amp;I163)=$S$11,(H163&amp;"."&amp;I163)=$T$11,(H163&amp;"."&amp;I163)=$U$11,(H163&amp;"."&amp;I163)=$V$11,(H163&amp;"."&amp;I163)=$W$11),1,0))=1,"RENDAH","-"))))</f>
        <v>RENDAH</v>
      </c>
      <c r="K163" s="50"/>
      <c r="L163" s="440" t="s">
        <v>1132</v>
      </c>
      <c r="M163" s="440" t="s">
        <v>1133</v>
      </c>
      <c r="N163" s="514"/>
    </row>
    <row r="164" spans="1:14" x14ac:dyDescent="0.25">
      <c r="A164" s="417"/>
      <c r="B164" s="424"/>
      <c r="C164" s="419" t="s">
        <v>139</v>
      </c>
      <c r="D164" s="419"/>
      <c r="E164" s="455"/>
      <c r="F164" s="415"/>
      <c r="G164" s="415"/>
      <c r="H164" s="401"/>
      <c r="I164" s="401"/>
      <c r="J164" s="401"/>
      <c r="K164" s="110">
        <f>IF(ISBLANK('Isian Prodi'!M35),'Isian Prodi'!D35,'Isian Prodi'!M35)</f>
        <v>0</v>
      </c>
      <c r="L164" s="441"/>
      <c r="M164" s="441"/>
      <c r="N164" s="515"/>
    </row>
    <row r="165" spans="1:14" x14ac:dyDescent="0.25">
      <c r="A165" s="417"/>
      <c r="B165" s="424"/>
      <c r="C165" s="419" t="s">
        <v>140</v>
      </c>
      <c r="D165" s="419"/>
      <c r="E165" s="455"/>
      <c r="F165" s="415"/>
      <c r="G165" s="415"/>
      <c r="H165" s="402"/>
      <c r="I165" s="402"/>
      <c r="J165" s="402"/>
      <c r="K165" s="110">
        <f>IF(ISBLANK('Isian Prodi'!M34),'Isian Prodi'!D34,'Isian Prodi'!M34)</f>
        <v>0</v>
      </c>
      <c r="L165" s="441"/>
      <c r="M165" s="441"/>
      <c r="N165" s="515"/>
    </row>
    <row r="166" spans="1:14" x14ac:dyDescent="0.25">
      <c r="A166" s="417"/>
      <c r="B166" s="424"/>
      <c r="C166" s="419" t="s">
        <v>141</v>
      </c>
      <c r="D166" s="419"/>
      <c r="E166" s="455"/>
      <c r="F166" s="415"/>
      <c r="G166" s="415"/>
      <c r="H166" s="402"/>
      <c r="I166" s="402"/>
      <c r="J166" s="402"/>
      <c r="K166" s="110">
        <f>IF(ISBLANK('Isian Prodi'!M33),'Isian Prodi'!D33,'Isian Prodi'!M33)</f>
        <v>0</v>
      </c>
      <c r="L166" s="441"/>
      <c r="M166" s="441"/>
      <c r="N166" s="515"/>
    </row>
    <row r="167" spans="1:14" x14ac:dyDescent="0.25">
      <c r="A167" s="417"/>
      <c r="B167" s="424"/>
      <c r="C167" s="419" t="s">
        <v>142</v>
      </c>
      <c r="D167" s="419"/>
      <c r="E167" s="455"/>
      <c r="F167" s="415"/>
      <c r="G167" s="415"/>
      <c r="H167" s="402"/>
      <c r="I167" s="402"/>
      <c r="J167" s="402"/>
      <c r="K167" s="110">
        <f>IF(ISBLANK('Isian Prodi'!M32),'Isian Prodi'!D32,'Isian Prodi'!M32)</f>
        <v>0</v>
      </c>
      <c r="L167" s="441"/>
      <c r="M167" s="441"/>
      <c r="N167" s="515"/>
    </row>
    <row r="168" spans="1:14" x14ac:dyDescent="0.25">
      <c r="A168" s="417"/>
      <c r="B168" s="424"/>
      <c r="C168" s="411" t="s">
        <v>143</v>
      </c>
      <c r="D168" s="411"/>
      <c r="E168" s="455"/>
      <c r="F168" s="415"/>
      <c r="G168" s="415"/>
      <c r="H168" s="402"/>
      <c r="I168" s="402"/>
      <c r="J168" s="402"/>
      <c r="K168" s="112">
        <f>IF(K167&gt;0,(K166-K167)/K167,0)</f>
        <v>0</v>
      </c>
      <c r="L168" s="441"/>
      <c r="M168" s="441"/>
      <c r="N168" s="515"/>
    </row>
    <row r="169" spans="1:14" x14ac:dyDescent="0.25">
      <c r="A169" s="417"/>
      <c r="B169" s="424"/>
      <c r="C169" s="411" t="s">
        <v>144</v>
      </c>
      <c r="D169" s="411"/>
      <c r="E169" s="455"/>
      <c r="F169" s="415"/>
      <c r="G169" s="415"/>
      <c r="H169" s="402"/>
      <c r="I169" s="402"/>
      <c r="J169" s="402"/>
      <c r="K169" s="112">
        <f>IF(K166&gt;0,(K165-K166)/K166,0)</f>
        <v>0</v>
      </c>
      <c r="L169" s="441"/>
      <c r="M169" s="441"/>
      <c r="N169" s="515"/>
    </row>
    <row r="170" spans="1:14" x14ac:dyDescent="0.25">
      <c r="A170" s="417"/>
      <c r="B170" s="424"/>
      <c r="C170" s="411" t="s">
        <v>145</v>
      </c>
      <c r="D170" s="411"/>
      <c r="E170" s="455"/>
      <c r="F170" s="415"/>
      <c r="G170" s="415"/>
      <c r="H170" s="402"/>
      <c r="I170" s="402"/>
      <c r="J170" s="402"/>
      <c r="K170" s="112">
        <f>IF(K165&gt;0,(K164-K165)/K165,0)</f>
        <v>0</v>
      </c>
      <c r="L170" s="441"/>
      <c r="M170" s="441"/>
      <c r="N170" s="515"/>
    </row>
    <row r="171" spans="1:14" x14ac:dyDescent="0.25">
      <c r="A171" s="417"/>
      <c r="B171" s="424"/>
      <c r="C171" s="411" t="s">
        <v>146</v>
      </c>
      <c r="D171" s="411"/>
      <c r="E171" s="456"/>
      <c r="F171" s="415"/>
      <c r="G171" s="415"/>
      <c r="H171" s="402"/>
      <c r="I171" s="402"/>
      <c r="J171" s="402"/>
      <c r="K171" s="112">
        <f>AVERAGE(K168:K170)</f>
        <v>0</v>
      </c>
      <c r="L171" s="441"/>
      <c r="M171" s="441"/>
      <c r="N171" s="515"/>
    </row>
    <row r="172" spans="1:14" x14ac:dyDescent="0.25">
      <c r="A172" s="417"/>
      <c r="B172" s="424"/>
      <c r="C172" s="470" t="s">
        <v>108</v>
      </c>
      <c r="D172" s="470"/>
      <c r="E172" s="470"/>
      <c r="F172" s="415"/>
      <c r="G172" s="415"/>
      <c r="H172" s="402"/>
      <c r="I172" s="402"/>
      <c r="J172" s="402"/>
      <c r="K172" s="110">
        <f>IF(AND(K168&gt;10%,K169&gt;10%,K170&gt;10%),4,IF(AND(AND(K168&lt;K169,K169&lt;K170),K168&gt;0,K169&gt;0,K170&gt;0),3,IF(AND(AND(K168=K169,K169=K170),K168&gt;0,K169&gt;0,K170&gt;0),2,IF(AND(OR(K168&gt;K169,K169&gt;K170),K168&gt;0,K169&gt;0,K170&gt;0),1,0))))</f>
        <v>0</v>
      </c>
      <c r="L172" s="441"/>
      <c r="M172" s="441"/>
      <c r="N172" s="515"/>
    </row>
    <row r="173" spans="1:14" ht="30" customHeight="1" x14ac:dyDescent="0.25">
      <c r="A173" s="417"/>
      <c r="B173" s="424"/>
      <c r="C173" s="395" t="s">
        <v>1018</v>
      </c>
      <c r="D173" s="395"/>
      <c r="E173" s="454" t="s">
        <v>900</v>
      </c>
      <c r="F173" s="415"/>
      <c r="G173" s="415"/>
      <c r="H173" s="402"/>
      <c r="I173" s="402"/>
      <c r="J173" s="402"/>
      <c r="K173" s="50"/>
      <c r="L173" s="441"/>
      <c r="M173" s="441"/>
      <c r="N173" s="515"/>
    </row>
    <row r="174" spans="1:14" x14ac:dyDescent="0.25">
      <c r="A174" s="417"/>
      <c r="B174" s="424"/>
      <c r="C174" s="411" t="s">
        <v>137</v>
      </c>
      <c r="D174" s="411"/>
      <c r="E174" s="455"/>
      <c r="F174" s="415"/>
      <c r="G174" s="415"/>
      <c r="H174" s="402"/>
      <c r="I174" s="402"/>
      <c r="J174" s="402"/>
      <c r="K174" s="110">
        <f>IF(AND(ISBLANK('Isian Prodi'!G41),ISBLANK('Isian Prodi'!G42),ISBLANK('Isian Prodi'!G43),ISBLANK('Isian Prodi'!G44),ISBLANK('Isian Prodi'!G45)),'Isian Prodi'!C46,'Isian Prodi'!G46)</f>
        <v>0</v>
      </c>
      <c r="L174" s="441"/>
      <c r="M174" s="441"/>
      <c r="N174" s="515"/>
    </row>
    <row r="175" spans="1:14" x14ac:dyDescent="0.25">
      <c r="A175" s="417"/>
      <c r="B175" s="424"/>
      <c r="C175" s="411" t="s">
        <v>138</v>
      </c>
      <c r="D175" s="411"/>
      <c r="E175" s="456"/>
      <c r="F175" s="415"/>
      <c r="G175" s="415"/>
      <c r="H175" s="402"/>
      <c r="I175" s="402"/>
      <c r="J175" s="402"/>
      <c r="K175" s="110">
        <f>IF(AND(ISBLANK('Isian Prodi'!P35),ISBLANK('Isian Prodi'!Q35)),'Isian Prodi'!B46,'Isian Prodi'!F46)</f>
        <v>0</v>
      </c>
      <c r="L175" s="441"/>
      <c r="M175" s="441"/>
      <c r="N175" s="515"/>
    </row>
    <row r="176" spans="1:14" x14ac:dyDescent="0.25">
      <c r="A176" s="417"/>
      <c r="B176" s="424"/>
      <c r="C176" s="409" t="s">
        <v>983</v>
      </c>
      <c r="D176" s="410"/>
      <c r="E176" s="62"/>
      <c r="F176" s="415"/>
      <c r="G176" s="415"/>
      <c r="H176" s="402"/>
      <c r="I176" s="402"/>
      <c r="J176" s="402"/>
      <c r="K176" s="113">
        <f>IF(K175&gt;0,K174/K175,0)</f>
        <v>0</v>
      </c>
      <c r="L176" s="441"/>
      <c r="M176" s="441"/>
      <c r="N176" s="515"/>
    </row>
    <row r="177" spans="1:14" x14ac:dyDescent="0.25">
      <c r="A177" s="417"/>
      <c r="B177" s="424"/>
      <c r="C177" s="470" t="s">
        <v>117</v>
      </c>
      <c r="D177" s="470"/>
      <c r="E177" s="470"/>
      <c r="F177" s="416"/>
      <c r="G177" s="416"/>
      <c r="H177" s="403"/>
      <c r="I177" s="403"/>
      <c r="J177" s="403"/>
      <c r="K177" s="110">
        <f>IF(K176&gt;2%,4,2+(100*K176))</f>
        <v>2</v>
      </c>
      <c r="L177" s="441"/>
      <c r="M177" s="441"/>
      <c r="N177" s="515"/>
    </row>
    <row r="178" spans="1:14" x14ac:dyDescent="0.25">
      <c r="A178" s="417"/>
      <c r="B178" s="425"/>
      <c r="C178" s="477" t="s">
        <v>118</v>
      </c>
      <c r="D178" s="477"/>
      <c r="E178" s="477"/>
      <c r="F178" s="63"/>
      <c r="G178" s="63"/>
      <c r="H178" s="63"/>
      <c r="I178" s="63"/>
      <c r="J178" s="63"/>
      <c r="K178" s="110">
        <f>((2*K172)+K177)/3</f>
        <v>0.66666666666666663</v>
      </c>
      <c r="L178" s="442"/>
      <c r="M178" s="442"/>
      <c r="N178" s="516"/>
    </row>
    <row r="179" spans="1:14" x14ac:dyDescent="0.25">
      <c r="L179" s="43"/>
      <c r="M179" s="43"/>
      <c r="N179" s="43"/>
    </row>
    <row r="180" spans="1:14" ht="75" customHeight="1" x14ac:dyDescent="0.25">
      <c r="A180" s="417">
        <f>A163+1</f>
        <v>16</v>
      </c>
      <c r="B180" s="423" t="s">
        <v>640</v>
      </c>
      <c r="C180" s="395" t="s">
        <v>1054</v>
      </c>
      <c r="D180" s="395"/>
      <c r="E180" s="382" t="s">
        <v>1735</v>
      </c>
      <c r="F180" s="414" t="s">
        <v>1130</v>
      </c>
      <c r="G180" s="414" t="s">
        <v>1131</v>
      </c>
      <c r="H180" s="34" t="s">
        <v>582</v>
      </c>
      <c r="I180" s="34">
        <v>1</v>
      </c>
      <c r="J180" s="109" t="str">
        <f>IF((IF(OR((H180&amp;"."&amp;I180)=$R$8,(H180&amp;"."&amp;I180)=$S$8,(H180&amp;"."&amp;I180)=$T$8,(H180&amp;"."&amp;I180)=$U$8,(H180&amp;"."&amp;I180)=$V$8,(H180&amp;"."&amp;I180)=$W$8),1,0))=1,"EKSTREM",IF((IF(OR((H180&amp;"."&amp;I180)=$R$9,(H180&amp;"."&amp;I180)=$S$9,(H180&amp;"."&amp;I180)=$T$9,(H180&amp;"."&amp;I180)=$U$9,(H180&amp;"."&amp;I180)=$V$9,(H180&amp;"."&amp;I180)=$W$9,(H180&amp;"."&amp;I180)=$X$9),1,0))=1,"TINGGI",IF((IF(OR((H180&amp;"."&amp;I180)=$R$10,(H180&amp;"."&amp;I180)=$S$10,(H180&amp;"."&amp;I180)=$T$10,(H180&amp;"."&amp;I180)=$U$10,(H180&amp;"."&amp;I180)=$V$10,(H180&amp;"."&amp;I180)=$W$10),1,0))=1,"MODERAT",IF((IF(OR((H180&amp;"."&amp;I180)=$R$11,(H180&amp;"."&amp;I180)=$S$11,(H180&amp;"."&amp;I180)=$T$11,(H180&amp;"."&amp;I180)=$U$11,(H180&amp;"."&amp;I180)=$V$11,(H180&amp;"."&amp;I180)=$W$11),1,0))=1,"RENDAH","-"))))</f>
        <v>RENDAH</v>
      </c>
      <c r="K180" s="36">
        <v>0</v>
      </c>
      <c r="L180" s="440" t="s">
        <v>1132</v>
      </c>
      <c r="M180" s="440" t="s">
        <v>1133</v>
      </c>
      <c r="N180" s="514"/>
    </row>
    <row r="181" spans="1:14" ht="45.75" customHeight="1" x14ac:dyDescent="0.25">
      <c r="A181" s="417"/>
      <c r="B181" s="405"/>
      <c r="C181" s="37">
        <v>4</v>
      </c>
      <c r="D181" s="38" t="s">
        <v>638</v>
      </c>
      <c r="E181" s="382"/>
      <c r="F181" s="415"/>
      <c r="G181" s="415"/>
      <c r="H181" s="401"/>
      <c r="I181" s="401"/>
      <c r="J181" s="401"/>
      <c r="K181" s="401"/>
      <c r="L181" s="441"/>
      <c r="M181" s="441"/>
      <c r="N181" s="515"/>
    </row>
    <row r="182" spans="1:14" ht="45" x14ac:dyDescent="0.25">
      <c r="A182" s="417"/>
      <c r="B182" s="405"/>
      <c r="C182" s="37">
        <v>3</v>
      </c>
      <c r="D182" s="38" t="s">
        <v>147</v>
      </c>
      <c r="E182" s="382"/>
      <c r="F182" s="415"/>
      <c r="G182" s="415"/>
      <c r="H182" s="402"/>
      <c r="I182" s="402"/>
      <c r="J182" s="402"/>
      <c r="K182" s="402"/>
      <c r="L182" s="441"/>
      <c r="M182" s="441"/>
      <c r="N182" s="515"/>
    </row>
    <row r="183" spans="1:14" ht="30" x14ac:dyDescent="0.25">
      <c r="A183" s="417"/>
      <c r="B183" s="405"/>
      <c r="C183" s="37">
        <v>2</v>
      </c>
      <c r="D183" s="38" t="s">
        <v>148</v>
      </c>
      <c r="E183" s="382"/>
      <c r="F183" s="415"/>
      <c r="G183" s="415"/>
      <c r="H183" s="402"/>
      <c r="I183" s="402"/>
      <c r="J183" s="402"/>
      <c r="K183" s="402"/>
      <c r="L183" s="441"/>
      <c r="M183" s="441"/>
      <c r="N183" s="515"/>
    </row>
    <row r="184" spans="1:14" ht="30" x14ac:dyDescent="0.25">
      <c r="A184" s="417"/>
      <c r="B184" s="405"/>
      <c r="C184" s="37">
        <v>1</v>
      </c>
      <c r="D184" s="38" t="s">
        <v>149</v>
      </c>
      <c r="E184" s="382"/>
      <c r="F184" s="415"/>
      <c r="G184" s="415"/>
      <c r="H184" s="402"/>
      <c r="I184" s="402"/>
      <c r="J184" s="402"/>
      <c r="K184" s="402"/>
      <c r="L184" s="441"/>
      <c r="M184" s="441"/>
      <c r="N184" s="515"/>
    </row>
    <row r="185" spans="1:14" x14ac:dyDescent="0.25">
      <c r="A185" s="417"/>
      <c r="B185" s="405"/>
      <c r="C185" s="37">
        <v>0</v>
      </c>
      <c r="D185" s="38" t="s">
        <v>150</v>
      </c>
      <c r="E185" s="382"/>
      <c r="F185" s="415"/>
      <c r="G185" s="415"/>
      <c r="H185" s="402"/>
      <c r="I185" s="402"/>
      <c r="J185" s="402"/>
      <c r="K185" s="402"/>
      <c r="L185" s="441"/>
      <c r="M185" s="441"/>
      <c r="N185" s="515"/>
    </row>
    <row r="186" spans="1:14" ht="45" customHeight="1" x14ac:dyDescent="0.25">
      <c r="A186" s="417"/>
      <c r="B186" s="405"/>
      <c r="C186" s="395" t="s">
        <v>639</v>
      </c>
      <c r="D186" s="395"/>
      <c r="E186" s="382" t="s">
        <v>1779</v>
      </c>
      <c r="F186" s="415"/>
      <c r="G186" s="415"/>
      <c r="H186" s="402"/>
      <c r="I186" s="402"/>
      <c r="J186" s="402"/>
      <c r="K186" s="36">
        <v>0</v>
      </c>
      <c r="L186" s="441"/>
      <c r="M186" s="441"/>
      <c r="N186" s="515"/>
    </row>
    <row r="187" spans="1:14" ht="45" x14ac:dyDescent="0.25">
      <c r="A187" s="417"/>
      <c r="B187" s="405"/>
      <c r="C187" s="37">
        <v>4</v>
      </c>
      <c r="D187" s="47" t="s">
        <v>151</v>
      </c>
      <c r="E187" s="382"/>
      <c r="F187" s="415"/>
      <c r="G187" s="415"/>
      <c r="H187" s="402"/>
      <c r="I187" s="402"/>
      <c r="J187" s="402"/>
      <c r="K187" s="401"/>
      <c r="L187" s="441"/>
      <c r="M187" s="441"/>
      <c r="N187" s="515"/>
    </row>
    <row r="188" spans="1:14" ht="45" x14ac:dyDescent="0.25">
      <c r="A188" s="417"/>
      <c r="B188" s="405"/>
      <c r="C188" s="37">
        <v>3</v>
      </c>
      <c r="D188" s="47" t="s">
        <v>152</v>
      </c>
      <c r="E188" s="382"/>
      <c r="F188" s="415"/>
      <c r="G188" s="415"/>
      <c r="H188" s="402"/>
      <c r="I188" s="402"/>
      <c r="J188" s="402"/>
      <c r="K188" s="402"/>
      <c r="L188" s="441"/>
      <c r="M188" s="441"/>
      <c r="N188" s="515"/>
    </row>
    <row r="189" spans="1:14" ht="30" x14ac:dyDescent="0.25">
      <c r="A189" s="417"/>
      <c r="B189" s="405"/>
      <c r="C189" s="37">
        <v>2</v>
      </c>
      <c r="D189" s="47" t="s">
        <v>153</v>
      </c>
      <c r="E189" s="382"/>
      <c r="F189" s="415"/>
      <c r="G189" s="415"/>
      <c r="H189" s="402"/>
      <c r="I189" s="402"/>
      <c r="J189" s="402"/>
      <c r="K189" s="402"/>
      <c r="L189" s="441"/>
      <c r="M189" s="441"/>
      <c r="N189" s="515"/>
    </row>
    <row r="190" spans="1:14" ht="30" x14ac:dyDescent="0.25">
      <c r="A190" s="417"/>
      <c r="B190" s="405"/>
      <c r="C190" s="37">
        <v>1</v>
      </c>
      <c r="D190" s="47" t="s">
        <v>154</v>
      </c>
      <c r="E190" s="382"/>
      <c r="F190" s="415"/>
      <c r="G190" s="415"/>
      <c r="H190" s="402"/>
      <c r="I190" s="402"/>
      <c r="J190" s="402"/>
      <c r="K190" s="402"/>
      <c r="L190" s="441"/>
      <c r="M190" s="441"/>
      <c r="N190" s="515"/>
    </row>
    <row r="191" spans="1:14" x14ac:dyDescent="0.25">
      <c r="A191" s="417"/>
      <c r="B191" s="405"/>
      <c r="C191" s="37">
        <v>0</v>
      </c>
      <c r="D191" s="47" t="s">
        <v>150</v>
      </c>
      <c r="E191" s="382"/>
      <c r="F191" s="416"/>
      <c r="G191" s="416"/>
      <c r="H191" s="403"/>
      <c r="I191" s="403"/>
      <c r="J191" s="403"/>
      <c r="K191" s="402"/>
      <c r="L191" s="441"/>
      <c r="M191" s="441"/>
      <c r="N191" s="515"/>
    </row>
    <row r="192" spans="1:14" x14ac:dyDescent="0.25">
      <c r="A192" s="417"/>
      <c r="B192" s="406"/>
      <c r="C192" s="457" t="s">
        <v>8</v>
      </c>
      <c r="D192" s="458"/>
      <c r="E192" s="458"/>
      <c r="F192" s="459"/>
      <c r="G192" s="42"/>
      <c r="H192" s="42"/>
      <c r="I192" s="42"/>
      <c r="J192" s="42"/>
      <c r="K192" s="110">
        <f>IF(OR(ISBLANK(K180),K180&lt;0,K180&gt;4,ISBLANK(K186),K186&lt;0,K186&gt;4),0,(K180+2*K186)/3)</f>
        <v>0</v>
      </c>
      <c r="L192" s="442"/>
      <c r="M192" s="442"/>
      <c r="N192" s="516"/>
    </row>
    <row r="193" spans="1:14" x14ac:dyDescent="0.25">
      <c r="L193" s="43"/>
      <c r="M193" s="43"/>
      <c r="N193" s="43"/>
    </row>
    <row r="194" spans="1:14" ht="30" customHeight="1" x14ac:dyDescent="0.25">
      <c r="A194" s="417">
        <f>A180+1</f>
        <v>17</v>
      </c>
      <c r="B194" s="444" t="s">
        <v>641</v>
      </c>
      <c r="C194" s="395" t="s">
        <v>984</v>
      </c>
      <c r="D194" s="395"/>
      <c r="E194" s="382" t="s">
        <v>1736</v>
      </c>
      <c r="F194" s="420" t="s">
        <v>1130</v>
      </c>
      <c r="G194" s="420" t="s">
        <v>1131</v>
      </c>
      <c r="H194" s="34" t="s">
        <v>582</v>
      </c>
      <c r="I194" s="34">
        <v>1</v>
      </c>
      <c r="J194" s="109" t="str">
        <f>IF((IF(OR((H194&amp;"."&amp;I194)=$R$8,(H194&amp;"."&amp;I194)=$S$8,(H194&amp;"."&amp;I194)=$T$8,(H194&amp;"."&amp;I194)=$U$8,(H194&amp;"."&amp;I194)=$V$8,(H194&amp;"."&amp;I194)=$W$8),1,0))=1,"EKSTREM",IF((IF(OR((H194&amp;"."&amp;I194)=$R$9,(H194&amp;"."&amp;I194)=$S$9,(H194&amp;"."&amp;I194)=$T$9,(H194&amp;"."&amp;I194)=$U$9,(H194&amp;"."&amp;I194)=$V$9,(H194&amp;"."&amp;I194)=$W$9,(H194&amp;"."&amp;I194)=$X$9),1,0))=1,"TINGGI",IF((IF(OR((H194&amp;"."&amp;I194)=$R$10,(H194&amp;"."&amp;I194)=$S$10,(H194&amp;"."&amp;I194)=$T$10,(H194&amp;"."&amp;I194)=$U$10,(H194&amp;"."&amp;I194)=$V$10,(H194&amp;"."&amp;I194)=$W$10),1,0))=1,"MODERAT",IF((IF(OR((H194&amp;"."&amp;I194)=$R$11,(H194&amp;"."&amp;I194)=$S$11,(H194&amp;"."&amp;I194)=$T$11,(H194&amp;"."&amp;I194)=$U$11,(H194&amp;"."&amp;I194)=$V$11,(H194&amp;"."&amp;I194)=$W$11),1,0))=1,"RENDAH","-"))))</f>
        <v>RENDAH</v>
      </c>
      <c r="K194" s="50"/>
      <c r="L194" s="413" t="s">
        <v>1132</v>
      </c>
      <c r="M194" s="413" t="s">
        <v>1133</v>
      </c>
      <c r="N194" s="517"/>
    </row>
    <row r="195" spans="1:14" ht="15" customHeight="1" x14ac:dyDescent="0.25">
      <c r="A195" s="417"/>
      <c r="B195" s="418"/>
      <c r="C195" s="508" t="s">
        <v>1055</v>
      </c>
      <c r="D195" s="509"/>
      <c r="E195" s="382"/>
      <c r="F195" s="420"/>
      <c r="G195" s="420"/>
      <c r="H195" s="401"/>
      <c r="I195" s="401"/>
      <c r="J195" s="401"/>
      <c r="K195" s="491">
        <f>IF(ISBLANK('Isian Prodi'!G60),'Isian Prodi'!C60,'Isian Prodi'!G60)</f>
        <v>0</v>
      </c>
      <c r="L195" s="413"/>
      <c r="M195" s="413"/>
      <c r="N195" s="517"/>
    </row>
    <row r="196" spans="1:14" x14ac:dyDescent="0.25">
      <c r="A196" s="417"/>
      <c r="B196" s="418"/>
      <c r="C196" s="510"/>
      <c r="D196" s="511"/>
      <c r="E196" s="382"/>
      <c r="F196" s="420"/>
      <c r="G196" s="420"/>
      <c r="H196" s="402"/>
      <c r="I196" s="402"/>
      <c r="J196" s="402"/>
      <c r="K196" s="492"/>
      <c r="L196" s="413"/>
      <c r="M196" s="413"/>
      <c r="N196" s="517"/>
    </row>
    <row r="197" spans="1:14" x14ac:dyDescent="0.25">
      <c r="A197" s="417"/>
      <c r="B197" s="418"/>
      <c r="C197" s="510"/>
      <c r="D197" s="511"/>
      <c r="E197" s="382"/>
      <c r="F197" s="420"/>
      <c r="G197" s="420"/>
      <c r="H197" s="402"/>
      <c r="I197" s="402"/>
      <c r="J197" s="402"/>
      <c r="K197" s="492"/>
      <c r="L197" s="413"/>
      <c r="M197" s="413"/>
      <c r="N197" s="517"/>
    </row>
    <row r="198" spans="1:14" x14ac:dyDescent="0.25">
      <c r="A198" s="417"/>
      <c r="B198" s="418"/>
      <c r="C198" s="510"/>
      <c r="D198" s="511"/>
      <c r="E198" s="382"/>
      <c r="F198" s="420"/>
      <c r="G198" s="420"/>
      <c r="H198" s="402"/>
      <c r="I198" s="402"/>
      <c r="J198" s="402"/>
      <c r="K198" s="492"/>
      <c r="L198" s="413"/>
      <c r="M198" s="413"/>
      <c r="N198" s="517"/>
    </row>
    <row r="199" spans="1:14" x14ac:dyDescent="0.25">
      <c r="A199" s="417"/>
      <c r="B199" s="418"/>
      <c r="C199" s="510"/>
      <c r="D199" s="511"/>
      <c r="E199" s="382"/>
      <c r="F199" s="420"/>
      <c r="G199" s="420"/>
      <c r="H199" s="402"/>
      <c r="I199" s="402"/>
      <c r="J199" s="402"/>
      <c r="K199" s="492"/>
      <c r="L199" s="413"/>
      <c r="M199" s="413"/>
      <c r="N199" s="517"/>
    </row>
    <row r="200" spans="1:14" x14ac:dyDescent="0.25">
      <c r="A200" s="417"/>
      <c r="B200" s="418"/>
      <c r="C200" s="510"/>
      <c r="D200" s="511"/>
      <c r="E200" s="382"/>
      <c r="F200" s="420"/>
      <c r="G200" s="420"/>
      <c r="H200" s="402"/>
      <c r="I200" s="402"/>
      <c r="J200" s="402"/>
      <c r="K200" s="492"/>
      <c r="L200" s="413"/>
      <c r="M200" s="413"/>
      <c r="N200" s="517"/>
    </row>
    <row r="201" spans="1:14" x14ac:dyDescent="0.25">
      <c r="A201" s="417"/>
      <c r="B201" s="418"/>
      <c r="C201" s="512"/>
      <c r="D201" s="513"/>
      <c r="E201" s="382"/>
      <c r="F201" s="420"/>
      <c r="G201" s="420"/>
      <c r="H201" s="403"/>
      <c r="I201" s="403"/>
      <c r="J201" s="403"/>
      <c r="K201" s="493"/>
      <c r="L201" s="413"/>
      <c r="M201" s="413"/>
      <c r="N201" s="517"/>
    </row>
    <row r="202" spans="1:14" x14ac:dyDescent="0.25">
      <c r="A202" s="417"/>
      <c r="B202" s="418"/>
      <c r="C202" s="419" t="s">
        <v>6</v>
      </c>
      <c r="D202" s="419"/>
      <c r="E202" s="419"/>
      <c r="F202" s="419"/>
      <c r="G202" s="64"/>
      <c r="H202" s="64"/>
      <c r="I202" s="64"/>
      <c r="J202" s="64"/>
      <c r="K202" s="110">
        <f>IF(K195&gt;=6,4,IF(K195&lt;3,0,(2*K195)/3))</f>
        <v>0</v>
      </c>
      <c r="L202" s="413"/>
      <c r="M202" s="413"/>
      <c r="N202" s="517"/>
    </row>
    <row r="203" spans="1:14" x14ac:dyDescent="0.25">
      <c r="L203" s="43"/>
      <c r="M203" s="43"/>
      <c r="N203" s="43"/>
    </row>
    <row r="204" spans="1:14" ht="35.1" hidden="1" customHeight="1" x14ac:dyDescent="0.25">
      <c r="A204" s="417"/>
      <c r="B204" s="445"/>
      <c r="C204" s="395" t="s">
        <v>645</v>
      </c>
      <c r="D204" s="395"/>
      <c r="E204" s="382" t="s">
        <v>972</v>
      </c>
      <c r="F204" s="420" t="s">
        <v>877</v>
      </c>
      <c r="G204" s="420" t="s">
        <v>878</v>
      </c>
      <c r="H204" s="34" t="s">
        <v>582</v>
      </c>
      <c r="I204" s="34">
        <v>1</v>
      </c>
      <c r="J204" s="35" t="str">
        <f>IF((IF(OR((H204&amp;"."&amp;I204)=$R$8,(H204&amp;"."&amp;I204)=$S$8,(H204&amp;"."&amp;I204)=$T$8,(H204&amp;"."&amp;I204)=$U$8,(H204&amp;"."&amp;I204)=$V$8,(H204&amp;"."&amp;I204)=$W$8),1,0))=1,"EKSTREM",IF((IF(OR((H204&amp;"."&amp;I204)=$R$9,(H204&amp;"."&amp;I204)=$S$9,(H204&amp;"."&amp;I204)=$T$9,(H204&amp;"."&amp;I204)=$U$9,(H204&amp;"."&amp;I204)=$V$9,(H204&amp;"."&amp;I204)=$W$9,(H204&amp;"."&amp;I204)=$X$9),1,0))=1,"TINGGI",IF((IF(OR((H204&amp;"."&amp;I204)=$R$10,(H204&amp;"."&amp;I204)=$S$10,(H204&amp;"."&amp;I204)=$T$10,(H204&amp;"."&amp;I204)=$U$10,(H204&amp;"."&amp;I204)=$V$10,(H204&amp;"."&amp;I204)=$W$10),1,0))=1,"MODERAT",IF((IF(OR((H204&amp;"."&amp;I204)=$R$11,(H204&amp;"."&amp;I204)=$S$11,(H204&amp;"."&amp;I204)=$T$11,(H204&amp;"."&amp;I204)=$U$11,(H204&amp;"."&amp;I204)=$V$11,(H204&amp;"."&amp;I204)=$W$11),1,0))=1,"RENDAH","-"))))</f>
        <v>RENDAH</v>
      </c>
      <c r="K204" s="50"/>
      <c r="L204" s="413" t="s">
        <v>1022</v>
      </c>
      <c r="M204" s="413" t="s">
        <v>1023</v>
      </c>
      <c r="N204" s="413"/>
    </row>
    <row r="205" spans="1:14" ht="48" hidden="1" customHeight="1" x14ac:dyDescent="0.25">
      <c r="A205" s="417"/>
      <c r="B205" s="445"/>
      <c r="C205" s="430" t="s">
        <v>102</v>
      </c>
      <c r="D205" s="431"/>
      <c r="E205" s="382"/>
      <c r="F205" s="420"/>
      <c r="G205" s="420"/>
      <c r="H205" s="401"/>
      <c r="I205" s="401"/>
      <c r="J205" s="401"/>
      <c r="K205" s="65">
        <f>'Isian Prodi'!C60</f>
        <v>0</v>
      </c>
      <c r="L205" s="413"/>
      <c r="M205" s="413"/>
      <c r="N205" s="413"/>
    </row>
    <row r="206" spans="1:14" ht="35.1" hidden="1" customHeight="1" x14ac:dyDescent="0.25">
      <c r="A206" s="417"/>
      <c r="B206" s="445"/>
      <c r="C206" s="430" t="s">
        <v>642</v>
      </c>
      <c r="D206" s="431"/>
      <c r="E206" s="382"/>
      <c r="F206" s="420"/>
      <c r="G206" s="420"/>
      <c r="H206" s="402"/>
      <c r="I206" s="402"/>
      <c r="J206" s="402"/>
      <c r="K206" s="65">
        <f>'Isian Prodi'!C61</f>
        <v>0</v>
      </c>
      <c r="L206" s="413"/>
      <c r="M206" s="413"/>
      <c r="N206" s="413"/>
    </row>
    <row r="207" spans="1:14" ht="18.75" hidden="1" customHeight="1" x14ac:dyDescent="0.25">
      <c r="A207" s="417"/>
      <c r="B207" s="445"/>
      <c r="C207" s="430" t="s">
        <v>643</v>
      </c>
      <c r="D207" s="431"/>
      <c r="E207" s="382"/>
      <c r="F207" s="420"/>
      <c r="G207" s="420"/>
      <c r="H207" s="403"/>
      <c r="I207" s="403"/>
      <c r="J207" s="403"/>
      <c r="K207" s="66">
        <f>IF(K205&gt;0,K206/K205,0)</f>
        <v>0</v>
      </c>
      <c r="L207" s="413"/>
      <c r="M207" s="413"/>
      <c r="N207" s="413"/>
    </row>
    <row r="208" spans="1:14" hidden="1" x14ac:dyDescent="0.25">
      <c r="A208" s="417"/>
      <c r="B208" s="445"/>
      <c r="C208" s="419" t="s">
        <v>6</v>
      </c>
      <c r="D208" s="419"/>
      <c r="E208" s="419"/>
      <c r="F208" s="419"/>
      <c r="G208" s="64"/>
      <c r="H208" s="64"/>
      <c r="I208" s="64"/>
      <c r="J208" s="64"/>
      <c r="K208" s="65">
        <f>IF(K207&lt;=50%,2+(4*K207),4)</f>
        <v>2</v>
      </c>
      <c r="L208" s="413"/>
      <c r="M208" s="413"/>
      <c r="N208" s="413"/>
    </row>
    <row r="209" spans="1:14" hidden="1" x14ac:dyDescent="0.25">
      <c r="L209" s="43"/>
      <c r="M209" s="43"/>
      <c r="N209" s="43"/>
    </row>
    <row r="210" spans="1:14" hidden="1" x14ac:dyDescent="0.25">
      <c r="A210" s="417"/>
      <c r="B210" s="445"/>
      <c r="C210" s="395" t="s">
        <v>886</v>
      </c>
      <c r="D210" s="395"/>
      <c r="E210" s="382" t="s">
        <v>971</v>
      </c>
      <c r="F210" s="420" t="s">
        <v>877</v>
      </c>
      <c r="G210" s="420" t="s">
        <v>878</v>
      </c>
      <c r="H210" s="34" t="s">
        <v>582</v>
      </c>
      <c r="I210" s="34">
        <v>1</v>
      </c>
      <c r="J210" s="35" t="str">
        <f>IF((IF(OR((H210&amp;"."&amp;I210)=$R$8,(H210&amp;"."&amp;I210)=$S$8,(H210&amp;"."&amp;I210)=$T$8,(H210&amp;"."&amp;I210)=$U$8,(H210&amp;"."&amp;I210)=$V$8,(H210&amp;"."&amp;I210)=$W$8),1,0))=1,"EKSTREM",IF((IF(OR((H210&amp;"."&amp;I210)=$R$9,(H210&amp;"."&amp;I210)=$S$9,(H210&amp;"."&amp;I210)=$T$9,(H210&amp;"."&amp;I210)=$U$9,(H210&amp;"."&amp;I210)=$V$9,(H210&amp;"."&amp;I210)=$W$9,(H210&amp;"."&amp;I210)=$X$9),1,0))=1,"TINGGI",IF((IF(OR((H210&amp;"."&amp;I210)=$R$10,(H210&amp;"."&amp;I210)=$S$10,(H210&amp;"."&amp;I210)=$T$10,(H210&amp;"."&amp;I210)=$U$10,(H210&amp;"."&amp;I210)=$V$10,(H210&amp;"."&amp;I210)=$W$10),1,0))=1,"MODERAT",IF((IF(OR((H210&amp;"."&amp;I210)=$R$11,(H210&amp;"."&amp;I210)=$S$11,(H210&amp;"."&amp;I210)=$T$11,(H210&amp;"."&amp;I210)=$U$11,(H210&amp;"."&amp;I210)=$V$11,(H210&amp;"."&amp;I210)=$W$11),1,0))=1,"RENDAH","-"))))</f>
        <v>RENDAH</v>
      </c>
      <c r="K210" s="50"/>
      <c r="L210" s="413" t="s">
        <v>1022</v>
      </c>
      <c r="M210" s="413" t="s">
        <v>1023</v>
      </c>
      <c r="N210" s="413"/>
    </row>
    <row r="211" spans="1:14" hidden="1" x14ac:dyDescent="0.25">
      <c r="A211" s="417"/>
      <c r="B211" s="445"/>
      <c r="C211" s="429" t="s">
        <v>171</v>
      </c>
      <c r="D211" s="429"/>
      <c r="E211" s="382"/>
      <c r="F211" s="420"/>
      <c r="G211" s="420"/>
      <c r="H211" s="401"/>
      <c r="I211" s="401"/>
      <c r="J211" s="401"/>
      <c r="K211" s="65">
        <f>'Isian Prodi'!C60</f>
        <v>0</v>
      </c>
      <c r="L211" s="413"/>
      <c r="M211" s="413"/>
      <c r="N211" s="413"/>
    </row>
    <row r="212" spans="1:14" hidden="1" x14ac:dyDescent="0.25">
      <c r="A212" s="417"/>
      <c r="B212" s="445"/>
      <c r="C212" s="429" t="s">
        <v>881</v>
      </c>
      <c r="D212" s="429"/>
      <c r="E212" s="382"/>
      <c r="F212" s="420"/>
      <c r="G212" s="420"/>
      <c r="H212" s="402"/>
      <c r="I212" s="402"/>
      <c r="J212" s="402"/>
      <c r="K212" s="65">
        <f>'Isian Prodi'!C65</f>
        <v>0</v>
      </c>
      <c r="L212" s="413"/>
      <c r="M212" s="413"/>
      <c r="N212" s="413"/>
    </row>
    <row r="213" spans="1:14" hidden="1" x14ac:dyDescent="0.25">
      <c r="A213" s="417"/>
      <c r="B213" s="445"/>
      <c r="C213" s="429" t="s">
        <v>882</v>
      </c>
      <c r="D213" s="429"/>
      <c r="E213" s="382"/>
      <c r="F213" s="420"/>
      <c r="G213" s="420"/>
      <c r="H213" s="403"/>
      <c r="I213" s="403"/>
      <c r="J213" s="403"/>
      <c r="K213" s="66">
        <f>IF(K211&gt;0,K212/K211,0)</f>
        <v>0</v>
      </c>
      <c r="L213" s="413"/>
      <c r="M213" s="413"/>
      <c r="N213" s="413"/>
    </row>
    <row r="214" spans="1:14" hidden="1" x14ac:dyDescent="0.25">
      <c r="A214" s="417"/>
      <c r="B214" s="445"/>
      <c r="C214" s="419" t="s">
        <v>6</v>
      </c>
      <c r="D214" s="419"/>
      <c r="E214" s="419"/>
      <c r="F214" s="419"/>
      <c r="G214" s="64"/>
      <c r="H214" s="64"/>
      <c r="I214" s="64"/>
      <c r="J214" s="64"/>
      <c r="K214" s="65">
        <f>IF(K213&gt;=50%,4,1+(6*K213))</f>
        <v>1</v>
      </c>
      <c r="L214" s="413"/>
      <c r="M214" s="413"/>
      <c r="N214" s="413"/>
    </row>
    <row r="215" spans="1:14" hidden="1" x14ac:dyDescent="0.25">
      <c r="L215" s="43"/>
      <c r="M215" s="43"/>
      <c r="N215" s="43"/>
    </row>
    <row r="216" spans="1:14" ht="30" customHeight="1" x14ac:dyDescent="0.25">
      <c r="A216" s="417">
        <v>18</v>
      </c>
      <c r="B216" s="418"/>
      <c r="C216" s="395" t="s">
        <v>644</v>
      </c>
      <c r="D216" s="395"/>
      <c r="E216" s="382" t="s">
        <v>1737</v>
      </c>
      <c r="F216" s="414" t="s">
        <v>1130</v>
      </c>
      <c r="G216" s="414" t="s">
        <v>1131</v>
      </c>
      <c r="H216" s="34" t="s">
        <v>582</v>
      </c>
      <c r="I216" s="34">
        <v>1</v>
      </c>
      <c r="J216" s="109" t="str">
        <f>IF((IF(OR((H216&amp;"."&amp;I216)=$R$8,(H216&amp;"."&amp;I216)=$S$8,(H216&amp;"."&amp;I216)=$T$8,(H216&amp;"."&amp;I216)=$U$8,(H216&amp;"."&amp;I216)=$V$8,(H216&amp;"."&amp;I216)=$W$8),1,0))=1,"EKSTREM",IF((IF(OR((H216&amp;"."&amp;I216)=$R$9,(H216&amp;"."&amp;I216)=$S$9,(H216&amp;"."&amp;I216)=$T$9,(H216&amp;"."&amp;I216)=$U$9,(H216&amp;"."&amp;I216)=$V$9,(H216&amp;"."&amp;I216)=$W$9,(H216&amp;"."&amp;I216)=$X$9),1,0))=1,"TINGGI",IF((IF(OR((H216&amp;"."&amp;I216)=$R$10,(H216&amp;"."&amp;I216)=$S$10,(H216&amp;"."&amp;I216)=$T$10,(H216&amp;"."&amp;I216)=$U$10,(H216&amp;"."&amp;I216)=$V$10,(H216&amp;"."&amp;I216)=$W$10),1,0))=1,"MODERAT",IF((IF(OR((H216&amp;"."&amp;I216)=$R$11,(H216&amp;"."&amp;I216)=$S$11,(H216&amp;"."&amp;I216)=$T$11,(H216&amp;"."&amp;I216)=$U$11,(H216&amp;"."&amp;I216)=$V$11,(H216&amp;"."&amp;I216)=$W$11),1,0))=1,"RENDAH","-"))))</f>
        <v>RENDAH</v>
      </c>
      <c r="K216" s="50"/>
      <c r="L216" s="413" t="s">
        <v>1132</v>
      </c>
      <c r="M216" s="413" t="s">
        <v>1133</v>
      </c>
      <c r="N216" s="517"/>
    </row>
    <row r="217" spans="1:14" ht="47.25" customHeight="1" x14ac:dyDescent="0.25">
      <c r="A217" s="417"/>
      <c r="B217" s="418"/>
      <c r="C217" s="430" t="s">
        <v>102</v>
      </c>
      <c r="D217" s="431"/>
      <c r="E217" s="382"/>
      <c r="F217" s="415"/>
      <c r="G217" s="415"/>
      <c r="H217" s="401"/>
      <c r="I217" s="401"/>
      <c r="J217" s="401"/>
      <c r="K217" s="114">
        <f>IF(ISBLANK('Isian Prodi'!G60),'Isian Prodi'!C60,'Isian Prodi'!G60)</f>
        <v>0</v>
      </c>
      <c r="L217" s="413"/>
      <c r="M217" s="413"/>
      <c r="N217" s="517"/>
    </row>
    <row r="218" spans="1:14" ht="22.5" customHeight="1" x14ac:dyDescent="0.25">
      <c r="A218" s="417"/>
      <c r="B218" s="418"/>
      <c r="C218" s="430" t="s">
        <v>646</v>
      </c>
      <c r="D218" s="431"/>
      <c r="E218" s="382"/>
      <c r="F218" s="415"/>
      <c r="G218" s="415"/>
      <c r="H218" s="402"/>
      <c r="I218" s="402"/>
      <c r="J218" s="402"/>
      <c r="K218" s="114">
        <f>IF(ISBLANK('Isian Prodi'!G62),'Isian Prodi'!C62,'Isian Prodi'!G62)</f>
        <v>0</v>
      </c>
      <c r="L218" s="413"/>
      <c r="M218" s="413"/>
      <c r="N218" s="517"/>
    </row>
    <row r="219" spans="1:14" ht="22.5" customHeight="1" x14ac:dyDescent="0.25">
      <c r="A219" s="417"/>
      <c r="B219" s="418"/>
      <c r="C219" s="430" t="s">
        <v>647</v>
      </c>
      <c r="D219" s="431"/>
      <c r="E219" s="382"/>
      <c r="F219" s="415"/>
      <c r="G219" s="415"/>
      <c r="H219" s="402"/>
      <c r="I219" s="402"/>
      <c r="J219" s="402"/>
      <c r="K219" s="114">
        <f>IF(ISBLANK('Isian Prodi'!G63),'Isian Prodi'!C63,'Isian Prodi'!G63)</f>
        <v>0</v>
      </c>
      <c r="L219" s="413"/>
      <c r="M219" s="413"/>
      <c r="N219" s="517"/>
    </row>
    <row r="220" spans="1:14" ht="22.5" customHeight="1" x14ac:dyDescent="0.25">
      <c r="A220" s="417"/>
      <c r="B220" s="418"/>
      <c r="C220" s="430" t="s">
        <v>648</v>
      </c>
      <c r="D220" s="431"/>
      <c r="E220" s="382"/>
      <c r="F220" s="415"/>
      <c r="G220" s="415"/>
      <c r="H220" s="402"/>
      <c r="I220" s="402"/>
      <c r="J220" s="402"/>
      <c r="K220" s="114">
        <f>IF(ISBLANK('Isian Prodi'!G64),'Isian Prodi'!C64,'Isian Prodi'!G64)</f>
        <v>0</v>
      </c>
      <c r="L220" s="413"/>
      <c r="M220" s="413"/>
      <c r="N220" s="517"/>
    </row>
    <row r="221" spans="1:14" ht="22.5" customHeight="1" x14ac:dyDescent="0.25">
      <c r="A221" s="417"/>
      <c r="B221" s="418"/>
      <c r="C221" s="430" t="s">
        <v>649</v>
      </c>
      <c r="D221" s="431"/>
      <c r="E221" s="382"/>
      <c r="F221" s="416"/>
      <c r="G221" s="416"/>
      <c r="H221" s="403"/>
      <c r="I221" s="403"/>
      <c r="J221" s="403"/>
      <c r="K221" s="115">
        <f>IF(K217&gt;0,SUM(K218:K220)/K217,0)</f>
        <v>0</v>
      </c>
      <c r="L221" s="413"/>
      <c r="M221" s="413"/>
      <c r="N221" s="517"/>
    </row>
    <row r="222" spans="1:14" x14ac:dyDescent="0.25">
      <c r="A222" s="417"/>
      <c r="B222" s="418"/>
      <c r="C222" s="419" t="s">
        <v>6</v>
      </c>
      <c r="D222" s="419"/>
      <c r="E222" s="419"/>
      <c r="F222" s="419"/>
      <c r="G222" s="64"/>
      <c r="H222" s="64"/>
      <c r="I222" s="64"/>
      <c r="J222" s="64"/>
      <c r="K222" s="114">
        <f>IF(K221&gt;=70%,4,2+((20*K221)/7))</f>
        <v>2</v>
      </c>
      <c r="L222" s="413"/>
      <c r="M222" s="413"/>
      <c r="N222" s="517"/>
    </row>
    <row r="223" spans="1:14" x14ac:dyDescent="0.25">
      <c r="L223" s="43"/>
      <c r="M223" s="8"/>
      <c r="N223" s="8"/>
    </row>
    <row r="224" spans="1:14" ht="15" hidden="1" customHeight="1" x14ac:dyDescent="0.25">
      <c r="A224" s="417"/>
      <c r="B224" s="445"/>
      <c r="C224" s="395" t="s">
        <v>650</v>
      </c>
      <c r="D224" s="395"/>
      <c r="E224" s="454" t="s">
        <v>901</v>
      </c>
      <c r="F224" s="414" t="s">
        <v>877</v>
      </c>
      <c r="G224" s="414" t="s">
        <v>878</v>
      </c>
      <c r="H224" s="34" t="s">
        <v>582</v>
      </c>
      <c r="I224" s="34">
        <v>1</v>
      </c>
      <c r="J224" s="35" t="str">
        <f>IF((IF(OR((H224&amp;"."&amp;I224)=$R$8,(H224&amp;"."&amp;I224)=$S$8,(H224&amp;"."&amp;I224)=$T$8,(H224&amp;"."&amp;I224)=$U$8,(H224&amp;"."&amp;I224)=$V$8,(H224&amp;"."&amp;I224)=$W$8),1,0))=1,"EKSTREM",IF((IF(OR((H224&amp;"."&amp;I224)=$R$9,(H224&amp;"."&amp;I224)=$S$9,(H224&amp;"."&amp;I224)=$T$9,(H224&amp;"."&amp;I224)=$U$9,(H224&amp;"."&amp;I224)=$V$9,(H224&amp;"."&amp;I224)=$W$9,(H224&amp;"."&amp;I224)=$X$9),1,0))=1,"TINGGI",IF((IF(OR((H224&amp;"."&amp;I224)=$R$10,(H224&amp;"."&amp;I224)=$S$10,(H224&amp;"."&amp;I224)=$T$10,(H224&amp;"."&amp;I224)=$U$10,(H224&amp;"."&amp;I224)=$V$10,(H224&amp;"."&amp;I224)=$W$10),1,0))=1,"MODERAT",IF((IF(OR((H224&amp;"."&amp;I224)=$R$11,(H224&amp;"."&amp;I224)=$S$11,(H224&amp;"."&amp;I224)=$T$11,(H224&amp;"."&amp;I224)=$U$11,(H224&amp;"."&amp;I224)=$V$11,(H224&amp;"."&amp;I224)=$W$11),1,0))=1,"RENDAH","-"))))</f>
        <v>RENDAH</v>
      </c>
      <c r="K224" s="50"/>
      <c r="L224" s="413" t="s">
        <v>1022</v>
      </c>
      <c r="M224" s="413" t="s">
        <v>1023</v>
      </c>
      <c r="N224" s="413"/>
    </row>
    <row r="225" spans="1:14" ht="48" hidden="1" customHeight="1" x14ac:dyDescent="0.25">
      <c r="A225" s="417"/>
      <c r="B225" s="445"/>
      <c r="C225" s="430" t="s">
        <v>102</v>
      </c>
      <c r="D225" s="431"/>
      <c r="E225" s="455"/>
      <c r="F225" s="415"/>
      <c r="G225" s="415"/>
      <c r="H225" s="401"/>
      <c r="I225" s="401"/>
      <c r="J225" s="401"/>
      <c r="K225" s="65">
        <f>'Isian Prodi'!C60</f>
        <v>0</v>
      </c>
      <c r="L225" s="413"/>
      <c r="M225" s="413"/>
      <c r="N225" s="413"/>
    </row>
    <row r="226" spans="1:14" ht="15" hidden="1" customHeight="1" x14ac:dyDescent="0.25">
      <c r="A226" s="417"/>
      <c r="B226" s="445"/>
      <c r="C226" s="472" t="s">
        <v>651</v>
      </c>
      <c r="D226" s="473"/>
      <c r="E226" s="455"/>
      <c r="F226" s="415"/>
      <c r="G226" s="415"/>
      <c r="H226" s="402"/>
      <c r="I226" s="402"/>
      <c r="J226" s="402"/>
      <c r="K226" s="65">
        <f>'Isian Prodi'!B46</f>
        <v>0</v>
      </c>
      <c r="L226" s="413"/>
      <c r="M226" s="413"/>
      <c r="N226" s="413"/>
    </row>
    <row r="227" spans="1:14" ht="30" hidden="1" customHeight="1" x14ac:dyDescent="0.25">
      <c r="A227" s="417"/>
      <c r="B227" s="445"/>
      <c r="C227" s="380" t="s">
        <v>172</v>
      </c>
      <c r="D227" s="381"/>
      <c r="E227" s="455"/>
      <c r="F227" s="415"/>
      <c r="G227" s="415"/>
      <c r="H227" s="402"/>
      <c r="I227" s="402"/>
      <c r="J227" s="402"/>
      <c r="K227" s="65">
        <f>'Isian Prodi'!C8</f>
        <v>0</v>
      </c>
      <c r="L227" s="413"/>
      <c r="M227" s="413"/>
      <c r="N227" s="413"/>
    </row>
    <row r="228" spans="1:14" ht="15" hidden="1" customHeight="1" x14ac:dyDescent="0.25">
      <c r="A228" s="417"/>
      <c r="B228" s="445"/>
      <c r="C228" s="430" t="s">
        <v>652</v>
      </c>
      <c r="D228" s="431"/>
      <c r="E228" s="455"/>
      <c r="F228" s="415"/>
      <c r="G228" s="415"/>
      <c r="H228" s="402"/>
      <c r="I228" s="402"/>
      <c r="J228" s="402"/>
      <c r="K228" s="65">
        <f>IF(K225&gt;0,K226/K225,0)</f>
        <v>0</v>
      </c>
      <c r="L228" s="413"/>
      <c r="M228" s="413"/>
      <c r="N228" s="413"/>
    </row>
    <row r="229" spans="1:14" ht="30.75" hidden="1" customHeight="1" x14ac:dyDescent="0.25">
      <c r="A229" s="417"/>
      <c r="B229" s="445"/>
      <c r="C229" s="430" t="s">
        <v>495</v>
      </c>
      <c r="D229" s="431"/>
      <c r="E229" s="455"/>
      <c r="F229" s="415"/>
      <c r="G229" s="415"/>
      <c r="H229" s="402"/>
      <c r="I229" s="402"/>
      <c r="J229" s="402"/>
      <c r="K229" s="65">
        <f>'Isian Prodi'!C9</f>
        <v>0</v>
      </c>
      <c r="L229" s="413"/>
      <c r="M229" s="413"/>
      <c r="N229" s="413"/>
    </row>
    <row r="230" spans="1:14" ht="30" hidden="1" customHeight="1" x14ac:dyDescent="0.25">
      <c r="A230" s="417"/>
      <c r="B230" s="445"/>
      <c r="C230" s="475" t="s">
        <v>653</v>
      </c>
      <c r="D230" s="476"/>
      <c r="E230" s="456"/>
      <c r="F230" s="416"/>
      <c r="G230" s="416"/>
      <c r="H230" s="403"/>
      <c r="I230" s="403"/>
      <c r="J230" s="403"/>
      <c r="K230" s="50"/>
      <c r="L230" s="413"/>
      <c r="M230" s="413"/>
      <c r="N230" s="413"/>
    </row>
    <row r="231" spans="1:14" hidden="1" x14ac:dyDescent="0.25">
      <c r="A231" s="417"/>
      <c r="B231" s="445"/>
      <c r="C231" s="419" t="s">
        <v>6</v>
      </c>
      <c r="D231" s="419"/>
      <c r="E231" s="419"/>
      <c r="F231" s="419"/>
      <c r="G231" s="64"/>
      <c r="H231" s="64"/>
      <c r="I231" s="64"/>
      <c r="J231" s="64"/>
      <c r="K231" s="65">
        <f>IF(K229=1,IF(K227=1,IF(AND(K228&gt;=15,K228&lt;=25),4,IF(K228&lt;15,(4*K228)/15,IF(AND(K228&gt;25,K228&lt;=35),(70-(2*K228))/5,0))),IF(AND(K228&gt;=25,K228&lt;=35),4,IF(K228&lt;25,(4*K228)/25,IF(AND(K228&gt;35,K228&lt;=50),(200-(4*K228))/15,0)))),K161)</f>
        <v>0</v>
      </c>
      <c r="L231" s="413"/>
      <c r="M231" s="413"/>
      <c r="N231" s="413"/>
    </row>
    <row r="232" spans="1:14" hidden="1" x14ac:dyDescent="0.25">
      <c r="N232" s="1"/>
    </row>
    <row r="233" spans="1:14" ht="30" customHeight="1" x14ac:dyDescent="0.25">
      <c r="A233" s="417">
        <v>19</v>
      </c>
      <c r="B233" s="418"/>
      <c r="C233" s="395" t="s">
        <v>654</v>
      </c>
      <c r="D233" s="395"/>
      <c r="E233" s="382" t="s">
        <v>1738</v>
      </c>
      <c r="F233" s="420" t="s">
        <v>1130</v>
      </c>
      <c r="G233" s="420" t="s">
        <v>1131</v>
      </c>
      <c r="H233" s="34" t="s">
        <v>582</v>
      </c>
      <c r="I233" s="34">
        <v>1</v>
      </c>
      <c r="J233" s="109" t="str">
        <f>IF((IF(OR((H233&amp;"."&amp;I233)=$R$8,(H233&amp;"."&amp;I233)=$S$8,(H233&amp;"."&amp;I233)=$T$8,(H233&amp;"."&amp;I233)=$U$8,(H233&amp;"."&amp;I233)=$V$8,(H233&amp;"."&amp;I233)=$W$8),1,0))=1,"EKSTREM",IF((IF(OR((H233&amp;"."&amp;I233)=$R$9,(H233&amp;"."&amp;I233)=$S$9,(H233&amp;"."&amp;I233)=$T$9,(H233&amp;"."&amp;I233)=$U$9,(H233&amp;"."&amp;I233)=$V$9,(H233&amp;"."&amp;I233)=$W$9,(H233&amp;"."&amp;I233)=$X$9),1,0))=1,"TINGGI",IF((IF(OR((H233&amp;"."&amp;I233)=$R$10,(H233&amp;"."&amp;I233)=$S$10,(H233&amp;"."&amp;I233)=$T$10,(H233&amp;"."&amp;I233)=$U$10,(H233&amp;"."&amp;I233)=$V$10,(H233&amp;"."&amp;I233)=$W$10),1,0))=1,"MODERAT",IF((IF(OR((H233&amp;"."&amp;I233)=$R$11,(H233&amp;"."&amp;I233)=$S$11,(H233&amp;"."&amp;I233)=$T$11,(H233&amp;"."&amp;I233)=$U$11,(H233&amp;"."&amp;I233)=$V$11,(H233&amp;"."&amp;I233)=$W$11),1,0))=1,"RENDAH","-"))))</f>
        <v>RENDAH</v>
      </c>
      <c r="K233" s="50"/>
      <c r="L233" s="413" t="s">
        <v>1132</v>
      </c>
      <c r="M233" s="413" t="s">
        <v>1133</v>
      </c>
      <c r="N233" s="517"/>
    </row>
    <row r="234" spans="1:14" x14ac:dyDescent="0.25">
      <c r="A234" s="417"/>
      <c r="B234" s="418"/>
      <c r="C234" s="419" t="s">
        <v>173</v>
      </c>
      <c r="D234" s="419"/>
      <c r="E234" s="382"/>
      <c r="F234" s="420"/>
      <c r="G234" s="420"/>
      <c r="H234" s="401"/>
      <c r="I234" s="401"/>
      <c r="J234" s="401"/>
      <c r="K234" s="114">
        <f>IF(ISBLANK('Isian Prodi'!E80),'Isian Prodi'!B80,'Isian Prodi'!E80)</f>
        <v>0</v>
      </c>
      <c r="L234" s="413"/>
      <c r="M234" s="413"/>
      <c r="N234" s="517"/>
    </row>
    <row r="235" spans="1:14" x14ac:dyDescent="0.25">
      <c r="A235" s="417"/>
      <c r="B235" s="418"/>
      <c r="C235" s="419" t="s">
        <v>174</v>
      </c>
      <c r="D235" s="419"/>
      <c r="E235" s="382"/>
      <c r="F235" s="420"/>
      <c r="G235" s="420"/>
      <c r="H235" s="402"/>
      <c r="I235" s="402"/>
      <c r="J235" s="402"/>
      <c r="K235" s="114">
        <f>IF(ISBLANK('Isian Prodi'!E81),'Isian Prodi'!B81,'Isian Prodi'!E81)</f>
        <v>0</v>
      </c>
      <c r="L235" s="413"/>
      <c r="M235" s="413"/>
      <c r="N235" s="517"/>
    </row>
    <row r="236" spans="1:14" x14ac:dyDescent="0.25">
      <c r="A236" s="417"/>
      <c r="B236" s="418"/>
      <c r="C236" s="419" t="s">
        <v>175</v>
      </c>
      <c r="D236" s="419"/>
      <c r="E236" s="382"/>
      <c r="F236" s="420"/>
      <c r="G236" s="420"/>
      <c r="H236" s="403"/>
      <c r="I236" s="403"/>
      <c r="J236" s="403"/>
      <c r="K236" s="114">
        <f>IF(K234&gt;0,K235/K234,0)</f>
        <v>0</v>
      </c>
      <c r="L236" s="413"/>
      <c r="M236" s="413"/>
      <c r="N236" s="517"/>
    </row>
    <row r="237" spans="1:14" x14ac:dyDescent="0.25">
      <c r="A237" s="417"/>
      <c r="B237" s="418"/>
      <c r="C237" s="419" t="s">
        <v>6</v>
      </c>
      <c r="D237" s="419"/>
      <c r="E237" s="419"/>
      <c r="F237" s="419"/>
      <c r="G237" s="64"/>
      <c r="H237" s="64"/>
      <c r="I237" s="64"/>
      <c r="J237" s="64"/>
      <c r="K237" s="114">
        <f>IF(K236&lt;=6,4,IF(K236&lt;=10,7-(K236/2),0))</f>
        <v>4</v>
      </c>
      <c r="L237" s="413"/>
      <c r="M237" s="413"/>
      <c r="N237" s="517"/>
    </row>
    <row r="238" spans="1:14" x14ac:dyDescent="0.25">
      <c r="N238" s="1"/>
    </row>
    <row r="239" spans="1:14" ht="45" customHeight="1" x14ac:dyDescent="0.25">
      <c r="A239" s="417">
        <f>A233+1</f>
        <v>20</v>
      </c>
      <c r="B239" s="418"/>
      <c r="C239" s="395" t="s">
        <v>985</v>
      </c>
      <c r="D239" s="395"/>
      <c r="E239" s="419" t="s">
        <v>1739</v>
      </c>
      <c r="F239" s="414" t="s">
        <v>1130</v>
      </c>
      <c r="G239" s="414" t="s">
        <v>1131</v>
      </c>
      <c r="H239" s="34" t="s">
        <v>582</v>
      </c>
      <c r="I239" s="34">
        <v>1</v>
      </c>
      <c r="J239" s="109" t="str">
        <f>IF((IF(OR((H239&amp;"."&amp;I239)=$R$8,(H239&amp;"."&amp;I239)=$S$8,(H239&amp;"."&amp;I239)=$T$8,(H239&amp;"."&amp;I239)=$U$8,(H239&amp;"."&amp;I239)=$V$8,(H239&amp;"."&amp;I239)=$W$8),1,0))=1,"EKSTREM",IF((IF(OR((H239&amp;"."&amp;I239)=$R$9,(H239&amp;"."&amp;I239)=$S$9,(H239&amp;"."&amp;I239)=$T$9,(H239&amp;"."&amp;I239)=$U$9,(H239&amp;"."&amp;I239)=$V$9,(H239&amp;"."&amp;I239)=$W$9,(H239&amp;"."&amp;I239)=$X$9),1,0))=1,"TINGGI",IF((IF(OR((H239&amp;"."&amp;I239)=$R$10,(H239&amp;"."&amp;I239)=$S$10,(H239&amp;"."&amp;I239)=$T$10,(H239&amp;"."&amp;I239)=$U$10,(H239&amp;"."&amp;I239)=$V$10,(H239&amp;"."&amp;I239)=$W$10),1,0))=1,"MODERAT",IF((IF(OR((H239&amp;"."&amp;I239)=$R$11,(H239&amp;"."&amp;I239)=$S$11,(H239&amp;"."&amp;I239)=$T$11,(H239&amp;"."&amp;I239)=$U$11,(H239&amp;"."&amp;I239)=$V$11,(H239&amp;"."&amp;I239)=$W$11),1,0))=1,"RENDAH","-"))))</f>
        <v>RENDAH</v>
      </c>
      <c r="K239" s="50"/>
      <c r="L239" s="413" t="s">
        <v>1132</v>
      </c>
      <c r="M239" s="413" t="s">
        <v>1133</v>
      </c>
      <c r="N239" s="517"/>
    </row>
    <row r="240" spans="1:14" ht="30" customHeight="1" x14ac:dyDescent="0.25">
      <c r="A240" s="417"/>
      <c r="B240" s="418"/>
      <c r="C240" s="422" t="s">
        <v>240</v>
      </c>
      <c r="D240" s="422"/>
      <c r="E240" s="419"/>
      <c r="F240" s="416"/>
      <c r="G240" s="416"/>
      <c r="H240" s="50"/>
      <c r="I240" s="50"/>
      <c r="J240" s="50"/>
      <c r="K240" s="114">
        <f>IF(ISBLANK('Isian Prodi'!G69),'Isian Prodi'!C69,'Isian Prodi'!G69)</f>
        <v>0</v>
      </c>
      <c r="L240" s="413"/>
      <c r="M240" s="413"/>
      <c r="N240" s="517"/>
    </row>
    <row r="241" spans="1:14" x14ac:dyDescent="0.25">
      <c r="A241" s="417"/>
      <c r="B241" s="418"/>
      <c r="C241" s="419" t="s">
        <v>6</v>
      </c>
      <c r="D241" s="419"/>
      <c r="E241" s="419"/>
      <c r="F241" s="419"/>
      <c r="G241" s="64"/>
      <c r="H241" s="64"/>
      <c r="I241" s="64"/>
      <c r="J241" s="64"/>
      <c r="K241" s="114">
        <f>IF(AND(12&lt;=K240,K240&lt;=16),4,IF(AND(6&lt;=K240,K240&lt;12),((2*K240)-12)/3,IF(AND(16&lt;K240,K240&lt;=18),36-(2*K240),0)))</f>
        <v>0</v>
      </c>
      <c r="L241" s="413"/>
      <c r="M241" s="413"/>
      <c r="N241" s="517"/>
    </row>
    <row r="242" spans="1:14" x14ac:dyDescent="0.25">
      <c r="N242" s="1"/>
    </row>
    <row r="243" spans="1:14" ht="30" customHeight="1" x14ac:dyDescent="0.25">
      <c r="A243" s="417">
        <f>A239+1</f>
        <v>21</v>
      </c>
      <c r="B243" s="418"/>
      <c r="C243" s="395" t="s">
        <v>655</v>
      </c>
      <c r="D243" s="395"/>
      <c r="E243" s="382" t="s">
        <v>1740</v>
      </c>
      <c r="F243" s="420" t="s">
        <v>1130</v>
      </c>
      <c r="G243" s="420" t="s">
        <v>1131</v>
      </c>
      <c r="H243" s="34" t="s">
        <v>582</v>
      </c>
      <c r="I243" s="34">
        <v>1</v>
      </c>
      <c r="J243" s="109" t="str">
        <f>IF((IF(OR((H243&amp;"."&amp;I243)=$R$8,(H243&amp;"."&amp;I243)=$S$8,(H243&amp;"."&amp;I243)=$T$8,(H243&amp;"."&amp;I243)=$U$8,(H243&amp;"."&amp;I243)=$V$8,(H243&amp;"."&amp;I243)=$W$8),1,0))=1,"EKSTREM",IF((IF(OR((H243&amp;"."&amp;I243)=$R$9,(H243&amp;"."&amp;I243)=$S$9,(H243&amp;"."&amp;I243)=$T$9,(H243&amp;"."&amp;I243)=$U$9,(H243&amp;"."&amp;I243)=$V$9,(H243&amp;"."&amp;I243)=$W$9,(H243&amp;"."&amp;I243)=$X$9),1,0))=1,"TINGGI",IF((IF(OR((H243&amp;"."&amp;I243)=$R$10,(H243&amp;"."&amp;I243)=$S$10,(H243&amp;"."&amp;I243)=$T$10,(H243&amp;"."&amp;I243)=$U$10,(H243&amp;"."&amp;I243)=$V$10,(H243&amp;"."&amp;I243)=$W$10),1,0))=1,"MODERAT",IF((IF(OR((H243&amp;"."&amp;I243)=$R$11,(H243&amp;"."&amp;I243)=$S$11,(H243&amp;"."&amp;I243)=$T$11,(H243&amp;"."&amp;I243)=$U$11,(H243&amp;"."&amp;I243)=$V$11,(H243&amp;"."&amp;I243)=$W$11),1,0))=1,"RENDAH","-"))))</f>
        <v>RENDAH</v>
      </c>
      <c r="K243" s="50"/>
      <c r="L243" s="413" t="s">
        <v>1132</v>
      </c>
      <c r="M243" s="413" t="s">
        <v>1133</v>
      </c>
      <c r="N243" s="517"/>
    </row>
    <row r="244" spans="1:14" ht="37.5" customHeight="1" x14ac:dyDescent="0.25">
      <c r="A244" s="417"/>
      <c r="B244" s="418"/>
      <c r="C244" s="430" t="s">
        <v>656</v>
      </c>
      <c r="D244" s="431"/>
      <c r="E244" s="382"/>
      <c r="F244" s="420"/>
      <c r="G244" s="420"/>
      <c r="H244" s="401"/>
      <c r="I244" s="401"/>
      <c r="J244" s="401"/>
      <c r="K244" s="114">
        <f>IF(ISBLANK('Isian Prodi'!G59),'Isian Prodi'!C59,'Isian Prodi'!G59)</f>
        <v>0</v>
      </c>
      <c r="L244" s="413"/>
      <c r="M244" s="413"/>
      <c r="N244" s="517"/>
    </row>
    <row r="245" spans="1:14" ht="37.5" customHeight="1" x14ac:dyDescent="0.25">
      <c r="A245" s="417"/>
      <c r="B245" s="418"/>
      <c r="C245" s="430" t="s">
        <v>657</v>
      </c>
      <c r="D245" s="431"/>
      <c r="E245" s="382"/>
      <c r="F245" s="420"/>
      <c r="G245" s="420"/>
      <c r="H245" s="402"/>
      <c r="I245" s="402"/>
      <c r="J245" s="402"/>
      <c r="K245" s="114">
        <f>IF(ISBLANK('Isian Prodi'!G66),'Isian Prodi'!C66,'Isian Prodi'!G66)</f>
        <v>0</v>
      </c>
      <c r="L245" s="413"/>
      <c r="M245" s="413"/>
      <c r="N245" s="517"/>
    </row>
    <row r="246" spans="1:14" ht="37.5" customHeight="1" x14ac:dyDescent="0.25">
      <c r="A246" s="417"/>
      <c r="B246" s="418"/>
      <c r="C246" s="430" t="s">
        <v>658</v>
      </c>
      <c r="D246" s="431"/>
      <c r="E246" s="382"/>
      <c r="F246" s="420"/>
      <c r="G246" s="420"/>
      <c r="H246" s="403"/>
      <c r="I246" s="403"/>
      <c r="J246" s="403"/>
      <c r="K246" s="115">
        <f>IF(K244&gt;0,K245/(K245+K244),0)</f>
        <v>0</v>
      </c>
      <c r="L246" s="413"/>
      <c r="M246" s="413"/>
      <c r="N246" s="517"/>
    </row>
    <row r="247" spans="1:14" x14ac:dyDescent="0.25">
      <c r="A247" s="417"/>
      <c r="B247" s="418"/>
      <c r="C247" s="434" t="s">
        <v>6</v>
      </c>
      <c r="D247" s="482"/>
      <c r="E247" s="482"/>
      <c r="F247" s="482"/>
      <c r="G247" s="482"/>
      <c r="H247" s="482"/>
      <c r="I247" s="482"/>
      <c r="J247" s="435"/>
      <c r="K247" s="114">
        <f>IF(K246&lt;=10%,4,IF(AND(10%&lt;K246,K246&lt;=40%),(14-(20*K246))/3,0))</f>
        <v>4</v>
      </c>
      <c r="L247" s="413"/>
      <c r="M247" s="413"/>
      <c r="N247" s="517"/>
    </row>
    <row r="248" spans="1:14" x14ac:dyDescent="0.25">
      <c r="A248" s="67"/>
      <c r="B248" s="68"/>
      <c r="C248" s="43"/>
      <c r="D248" s="43"/>
      <c r="E248" s="43"/>
      <c r="F248" s="43"/>
      <c r="G248" s="43"/>
      <c r="H248" s="43"/>
      <c r="I248" s="43"/>
      <c r="J248" s="43"/>
      <c r="K248" s="69"/>
      <c r="L248" s="70"/>
      <c r="M248" s="70"/>
      <c r="N248" s="70"/>
    </row>
    <row r="249" spans="1:14" hidden="1" x14ac:dyDescent="0.25">
      <c r="A249" s="417"/>
      <c r="B249" s="445"/>
      <c r="C249" s="395" t="s">
        <v>889</v>
      </c>
      <c r="D249" s="395"/>
      <c r="E249" s="382" t="s">
        <v>973</v>
      </c>
      <c r="F249" s="420" t="s">
        <v>877</v>
      </c>
      <c r="G249" s="420" t="s">
        <v>878</v>
      </c>
      <c r="H249" s="34" t="s">
        <v>582</v>
      </c>
      <c r="I249" s="34">
        <v>1</v>
      </c>
      <c r="J249" s="35" t="str">
        <f>IF((IF(OR((H249&amp;"."&amp;I249)=$R$8,(H249&amp;"."&amp;I249)=$S$8,(H249&amp;"."&amp;I249)=$T$8,(H249&amp;"."&amp;I249)=$U$8,(H249&amp;"."&amp;I249)=$V$8,(H249&amp;"."&amp;I249)=$W$8),1,0))=1,"EKSTREM",IF((IF(OR((H249&amp;"."&amp;I249)=$R$9,(H249&amp;"."&amp;I249)=$S$9,(H249&amp;"."&amp;I249)=$T$9,(H249&amp;"."&amp;I249)=$U$9,(H249&amp;"."&amp;I249)=$V$9,(H249&amp;"."&amp;I249)=$W$9,(H249&amp;"."&amp;I249)=$X$9),1,0))=1,"TINGGI",IF((IF(OR((H249&amp;"."&amp;I249)=$R$10,(H249&amp;"."&amp;I249)=$S$10,(H249&amp;"."&amp;I249)=$T$10,(H249&amp;"."&amp;I249)=$U$10,(H249&amp;"."&amp;I249)=$V$10,(H249&amp;"."&amp;I249)=$W$10),1,0))=1,"MODERAT",IF((IF(OR((H249&amp;"."&amp;I249)=$R$11,(H249&amp;"."&amp;I249)=$S$11,(H249&amp;"."&amp;I249)=$T$11,(H249&amp;"."&amp;I249)=$U$11,(H249&amp;"."&amp;I249)=$V$11,(H249&amp;"."&amp;I249)=$W$11),1,0))=1,"RENDAH","-"))))</f>
        <v>RENDAH</v>
      </c>
      <c r="K249" s="50"/>
      <c r="L249" s="413" t="s">
        <v>1022</v>
      </c>
      <c r="M249" s="413" t="s">
        <v>1023</v>
      </c>
      <c r="N249" s="413"/>
    </row>
    <row r="250" spans="1:14" ht="30" hidden="1" customHeight="1" x14ac:dyDescent="0.25">
      <c r="A250" s="417"/>
      <c r="B250" s="445"/>
      <c r="C250" s="380" t="s">
        <v>883</v>
      </c>
      <c r="D250" s="381"/>
      <c r="E250" s="382"/>
      <c r="F250" s="420"/>
      <c r="G250" s="420"/>
      <c r="H250" s="401"/>
      <c r="I250" s="401"/>
      <c r="J250" s="401"/>
      <c r="K250" s="65">
        <f>'Isian Prodi'!C67</f>
        <v>0</v>
      </c>
      <c r="L250" s="413"/>
      <c r="M250" s="413"/>
      <c r="N250" s="413"/>
    </row>
    <row r="251" spans="1:14" hidden="1" x14ac:dyDescent="0.25">
      <c r="A251" s="417"/>
      <c r="B251" s="445"/>
      <c r="C251" s="419" t="s">
        <v>884</v>
      </c>
      <c r="D251" s="419"/>
      <c r="E251" s="382"/>
      <c r="F251" s="420"/>
      <c r="G251" s="420"/>
      <c r="H251" s="402"/>
      <c r="I251" s="402"/>
      <c r="J251" s="402"/>
      <c r="K251" s="65">
        <f>'Isian Prodi'!C68</f>
        <v>0</v>
      </c>
      <c r="L251" s="413"/>
      <c r="M251" s="413"/>
      <c r="N251" s="413"/>
    </row>
    <row r="252" spans="1:14" ht="30" hidden="1" customHeight="1" x14ac:dyDescent="0.25">
      <c r="A252" s="417"/>
      <c r="B252" s="445"/>
      <c r="C252" s="380" t="s">
        <v>888</v>
      </c>
      <c r="D252" s="381"/>
      <c r="E252" s="382"/>
      <c r="F252" s="420"/>
      <c r="G252" s="420"/>
      <c r="H252" s="403"/>
      <c r="I252" s="403"/>
      <c r="J252" s="403"/>
      <c r="K252" s="66">
        <f>IF(K251&gt;0,K250/K251,0)</f>
        <v>0</v>
      </c>
      <c r="L252" s="413"/>
      <c r="M252" s="413"/>
      <c r="N252" s="413"/>
    </row>
    <row r="253" spans="1:14" hidden="1" x14ac:dyDescent="0.25">
      <c r="A253" s="417"/>
      <c r="B253" s="445"/>
      <c r="C253" s="419" t="s">
        <v>6</v>
      </c>
      <c r="D253" s="419"/>
      <c r="E253" s="419"/>
      <c r="F253" s="419"/>
      <c r="G253" s="419"/>
      <c r="H253" s="419"/>
      <c r="I253" s="419"/>
      <c r="J253" s="419"/>
      <c r="K253" s="65">
        <f>IF(K252&gt;=20%,4,2+(10*K252))</f>
        <v>2</v>
      </c>
      <c r="L253" s="413"/>
      <c r="M253" s="413"/>
      <c r="N253" s="413"/>
    </row>
    <row r="254" spans="1:14" hidden="1" x14ac:dyDescent="0.25">
      <c r="L254" s="43"/>
      <c r="M254" s="8"/>
      <c r="N254" s="8"/>
    </row>
    <row r="255" spans="1:14" ht="315" customHeight="1" x14ac:dyDescent="0.25">
      <c r="A255" s="417">
        <v>22</v>
      </c>
      <c r="B255" s="421" t="s">
        <v>659</v>
      </c>
      <c r="C255" s="395" t="s">
        <v>662</v>
      </c>
      <c r="D255" s="395"/>
      <c r="E255" s="382" t="s">
        <v>1741</v>
      </c>
      <c r="F255" s="420" t="s">
        <v>1130</v>
      </c>
      <c r="G255" s="420" t="s">
        <v>1131</v>
      </c>
      <c r="H255" s="34" t="s">
        <v>582</v>
      </c>
      <c r="I255" s="34">
        <v>1</v>
      </c>
      <c r="J255" s="109" t="str">
        <f>IF((IF(OR((H255&amp;"."&amp;I255)=$R$8,(H255&amp;"."&amp;I255)=$S$8,(H255&amp;"."&amp;I255)=$T$8,(H255&amp;"."&amp;I255)=$U$8,(H255&amp;"."&amp;I255)=$V$8,(H255&amp;"."&amp;I255)=$W$8),1,0))=1,"EKSTREM",IF((IF(OR((H255&amp;"."&amp;I255)=$R$9,(H255&amp;"."&amp;I255)=$S$9,(H255&amp;"."&amp;I255)=$T$9,(H255&amp;"."&amp;I255)=$U$9,(H255&amp;"."&amp;I255)=$V$9,(H255&amp;"."&amp;I255)=$W$9,(H255&amp;"."&amp;I255)=$X$9),1,0))=1,"TINGGI",IF((IF(OR((H255&amp;"."&amp;I255)=$R$10,(H255&amp;"."&amp;I255)=$S$10,(H255&amp;"."&amp;I255)=$T$10,(H255&amp;"."&amp;I255)=$U$10,(H255&amp;"."&amp;I255)=$V$10,(H255&amp;"."&amp;I255)=$W$10),1,0))=1,"MODERAT",IF((IF(OR((H255&amp;"."&amp;I255)=$R$11,(H255&amp;"."&amp;I255)=$S$11,(H255&amp;"."&amp;I255)=$T$11,(H255&amp;"."&amp;I255)=$U$11,(H255&amp;"."&amp;I255)=$V$11,(H255&amp;"."&amp;I255)=$W$11),1,0))=1,"RENDAH","-"))))</f>
        <v>RENDAH</v>
      </c>
      <c r="K255" s="50"/>
      <c r="L255" s="413" t="s">
        <v>1132</v>
      </c>
      <c r="M255" s="413" t="s">
        <v>1133</v>
      </c>
      <c r="N255" s="517"/>
    </row>
    <row r="256" spans="1:14" ht="47.25" customHeight="1" x14ac:dyDescent="0.25">
      <c r="A256" s="417"/>
      <c r="B256" s="421"/>
      <c r="C256" s="430" t="s">
        <v>102</v>
      </c>
      <c r="D256" s="431"/>
      <c r="E256" s="382"/>
      <c r="F256" s="420"/>
      <c r="G256" s="420"/>
      <c r="H256" s="401"/>
      <c r="I256" s="401"/>
      <c r="J256" s="401"/>
      <c r="K256" s="114">
        <f>IF(ISBLANK('Isian Prodi'!G60),'Isian Prodi'!C60,'Isian Prodi'!G60)</f>
        <v>0</v>
      </c>
      <c r="L256" s="413"/>
      <c r="M256" s="413"/>
      <c r="N256" s="517"/>
    </row>
    <row r="257" spans="1:14" ht="32.25" customHeight="1" x14ac:dyDescent="0.25">
      <c r="A257" s="417"/>
      <c r="B257" s="421"/>
      <c r="C257" s="430" t="s">
        <v>660</v>
      </c>
      <c r="D257" s="431"/>
      <c r="E257" s="382"/>
      <c r="F257" s="420"/>
      <c r="G257" s="420"/>
      <c r="H257" s="402"/>
      <c r="I257" s="402"/>
      <c r="J257" s="402"/>
      <c r="K257" s="114">
        <f>IF(AND(ISBLANK('Isian Prodi'!G70),ISBLANK('Isian Prodi'!G71),ISBLANK('Isian Prodi'!G72),ISBLANK('Isian Prodi'!G73),ISBLANK('Isian Prodi'!G75)),'Isian Prodi'!C76,'Isian Prodi'!G76)</f>
        <v>0</v>
      </c>
      <c r="L257" s="413"/>
      <c r="M257" s="413"/>
      <c r="N257" s="517"/>
    </row>
    <row r="258" spans="1:14" x14ac:dyDescent="0.25">
      <c r="A258" s="417"/>
      <c r="B258" s="421"/>
      <c r="C258" s="430" t="s">
        <v>661</v>
      </c>
      <c r="D258" s="431"/>
      <c r="E258" s="382"/>
      <c r="F258" s="420"/>
      <c r="G258" s="420"/>
      <c r="H258" s="403"/>
      <c r="I258" s="403"/>
      <c r="J258" s="403"/>
      <c r="K258" s="114">
        <f>IF(K256&gt;0,K257/K256,0)</f>
        <v>0</v>
      </c>
      <c r="L258" s="413"/>
      <c r="M258" s="413"/>
      <c r="N258" s="517"/>
    </row>
    <row r="259" spans="1:14" x14ac:dyDescent="0.25">
      <c r="A259" s="417"/>
      <c r="B259" s="421"/>
      <c r="C259" s="419" t="s">
        <v>6</v>
      </c>
      <c r="D259" s="419"/>
      <c r="E259" s="419"/>
      <c r="F259" s="419"/>
      <c r="G259" s="64"/>
      <c r="H259" s="64"/>
      <c r="I259" s="64"/>
      <c r="J259" s="64"/>
      <c r="K259" s="114">
        <f>IF(K258&gt;=1,4,2+(2*K258))</f>
        <v>2</v>
      </c>
      <c r="L259" s="413"/>
      <c r="M259" s="413"/>
      <c r="N259" s="517"/>
    </row>
    <row r="260" spans="1:14" x14ac:dyDescent="0.25">
      <c r="N260" s="1"/>
    </row>
    <row r="261" spans="1:14" ht="29.25" customHeight="1" x14ac:dyDescent="0.25">
      <c r="A261" s="417">
        <f>A255+1</f>
        <v>23</v>
      </c>
      <c r="B261" s="418"/>
      <c r="C261" s="395" t="s">
        <v>54</v>
      </c>
      <c r="D261" s="395"/>
      <c r="E261" s="382" t="s">
        <v>902</v>
      </c>
      <c r="F261" s="420" t="s">
        <v>1130</v>
      </c>
      <c r="G261" s="420" t="s">
        <v>1131</v>
      </c>
      <c r="H261" s="34" t="s">
        <v>582</v>
      </c>
      <c r="I261" s="34">
        <v>1</v>
      </c>
      <c r="J261" s="109" t="str">
        <f>IF((IF(OR((H261&amp;"."&amp;I261)=$R$8,(H261&amp;"."&amp;I261)=$S$8,(H261&amp;"."&amp;I261)=$T$8,(H261&amp;"."&amp;I261)=$U$8,(H261&amp;"."&amp;I261)=$V$8,(H261&amp;"."&amp;I261)=$W$8),1,0))=1,"EKSTREM",IF((IF(OR((H261&amp;"."&amp;I261)=$R$9,(H261&amp;"."&amp;I261)=$S$9,(H261&amp;"."&amp;I261)=$T$9,(H261&amp;"."&amp;I261)=$U$9,(H261&amp;"."&amp;I261)=$V$9,(H261&amp;"."&amp;I261)=$W$9,(H261&amp;"."&amp;I261)=$X$9),1,0))=1,"TINGGI",IF((IF(OR((H261&amp;"."&amp;I261)=$R$10,(H261&amp;"."&amp;I261)=$S$10,(H261&amp;"."&amp;I261)=$T$10,(H261&amp;"."&amp;I261)=$U$10,(H261&amp;"."&amp;I261)=$V$10,(H261&amp;"."&amp;I261)=$W$10),1,0))=1,"MODERAT",IF((IF(OR((H261&amp;"."&amp;I261)=$R$11,(H261&amp;"."&amp;I261)=$S$11,(H261&amp;"."&amp;I261)=$T$11,(H261&amp;"."&amp;I261)=$U$11,(H261&amp;"."&amp;I261)=$V$11,(H261&amp;"."&amp;I261)=$W$11),1,0))=1,"RENDAH","-"))))</f>
        <v>RENDAH</v>
      </c>
      <c r="K261" s="50"/>
      <c r="L261" s="413" t="s">
        <v>1132</v>
      </c>
      <c r="M261" s="413" t="s">
        <v>1133</v>
      </c>
      <c r="N261" s="517"/>
    </row>
    <row r="262" spans="1:14" ht="30" customHeight="1" x14ac:dyDescent="0.25">
      <c r="A262" s="417"/>
      <c r="B262" s="418"/>
      <c r="C262" s="422" t="s">
        <v>501</v>
      </c>
      <c r="D262" s="422"/>
      <c r="E262" s="382"/>
      <c r="F262" s="420"/>
      <c r="G262" s="420"/>
      <c r="H262" s="401"/>
      <c r="I262" s="401"/>
      <c r="J262" s="401"/>
      <c r="K262" s="121">
        <f>IF(AND(ISBLANK('Isian Prodi'!H94),ISBLANK('Isian Prodi'!I94),ISBLANK('Isian Prodi'!J94)),'Isian Prodi'!E94,'Isian Prodi'!K94)</f>
        <v>0</v>
      </c>
      <c r="L262" s="413"/>
      <c r="M262" s="413"/>
      <c r="N262" s="517"/>
    </row>
    <row r="263" spans="1:14" ht="30" customHeight="1" x14ac:dyDescent="0.25">
      <c r="A263" s="417"/>
      <c r="B263" s="418"/>
      <c r="C263" s="422" t="s">
        <v>502</v>
      </c>
      <c r="D263" s="422"/>
      <c r="E263" s="382"/>
      <c r="F263" s="420"/>
      <c r="G263" s="420"/>
      <c r="H263" s="402"/>
      <c r="I263" s="402"/>
      <c r="J263" s="402"/>
      <c r="K263" s="121">
        <f>IF(AND(ISBLANK('Isian Prodi'!H93),ISBLANK('Isian Prodi'!I93),ISBLANK('Isian Prodi'!J93)),'Isian Prodi'!E93,'Isian Prodi'!K93)</f>
        <v>0</v>
      </c>
      <c r="L263" s="413"/>
      <c r="M263" s="413"/>
      <c r="N263" s="517"/>
    </row>
    <row r="264" spans="1:14" ht="30" customHeight="1" x14ac:dyDescent="0.25">
      <c r="A264" s="417"/>
      <c r="B264" s="418"/>
      <c r="C264" s="422" t="s">
        <v>503</v>
      </c>
      <c r="D264" s="422"/>
      <c r="E264" s="382"/>
      <c r="F264" s="420"/>
      <c r="G264" s="420"/>
      <c r="H264" s="402"/>
      <c r="I264" s="402"/>
      <c r="J264" s="402"/>
      <c r="K264" s="121">
        <f>IF(AND(ISBLANK('Isian Prodi'!H92),ISBLANK('Isian Prodi'!I92),ISBLANK('Isian Prodi'!J92)),'Isian Prodi'!E92,'Isian Prodi'!K92)</f>
        <v>0</v>
      </c>
      <c r="L264" s="413"/>
      <c r="M264" s="413"/>
      <c r="N264" s="517"/>
    </row>
    <row r="265" spans="1:14" ht="30" customHeight="1" x14ac:dyDescent="0.25">
      <c r="A265" s="417"/>
      <c r="B265" s="418"/>
      <c r="C265" s="422" t="s">
        <v>102</v>
      </c>
      <c r="D265" s="422"/>
      <c r="E265" s="382"/>
      <c r="F265" s="420"/>
      <c r="G265" s="420"/>
      <c r="H265" s="402"/>
      <c r="I265" s="402"/>
      <c r="J265" s="402"/>
      <c r="K265" s="121">
        <f>IF(ISBLANK('Isian Prodi'!G60),'Isian Prodi'!C60,'Isian Prodi'!G60)</f>
        <v>0</v>
      </c>
      <c r="L265" s="413"/>
      <c r="M265" s="413"/>
      <c r="N265" s="517"/>
    </row>
    <row r="266" spans="1:14" x14ac:dyDescent="0.25">
      <c r="A266" s="417"/>
      <c r="B266" s="418"/>
      <c r="C266" s="422" t="s">
        <v>504</v>
      </c>
      <c r="D266" s="422"/>
      <c r="E266" s="382"/>
      <c r="F266" s="420"/>
      <c r="G266" s="420"/>
      <c r="H266" s="402"/>
      <c r="I266" s="402"/>
      <c r="J266" s="402"/>
      <c r="K266" s="122">
        <f>IF(K265&gt;0,K262/3/K265,0)</f>
        <v>0</v>
      </c>
      <c r="L266" s="413"/>
      <c r="M266" s="413"/>
      <c r="N266" s="517"/>
    </row>
    <row r="267" spans="1:14" x14ac:dyDescent="0.25">
      <c r="A267" s="417"/>
      <c r="B267" s="418"/>
      <c r="C267" s="422" t="s">
        <v>505</v>
      </c>
      <c r="D267" s="422"/>
      <c r="E267" s="382"/>
      <c r="F267" s="420"/>
      <c r="G267" s="420"/>
      <c r="H267" s="402"/>
      <c r="I267" s="402"/>
      <c r="J267" s="402"/>
      <c r="K267" s="122">
        <f>IF(K265&gt;0,K263/3/K265,0)</f>
        <v>0</v>
      </c>
      <c r="L267" s="413"/>
      <c r="M267" s="413"/>
      <c r="N267" s="517"/>
    </row>
    <row r="268" spans="1:14" x14ac:dyDescent="0.25">
      <c r="A268" s="417"/>
      <c r="B268" s="418"/>
      <c r="C268" s="422" t="s">
        <v>506</v>
      </c>
      <c r="D268" s="422"/>
      <c r="E268" s="382"/>
      <c r="F268" s="420"/>
      <c r="G268" s="420"/>
      <c r="H268" s="403"/>
      <c r="I268" s="403"/>
      <c r="J268" s="403"/>
      <c r="K268" s="122">
        <f>IF(K265&gt;0,K264/3/K265,0)</f>
        <v>0</v>
      </c>
      <c r="L268" s="413"/>
      <c r="M268" s="413"/>
      <c r="N268" s="517"/>
    </row>
    <row r="269" spans="1:14" ht="15" hidden="1" customHeight="1" x14ac:dyDescent="0.25">
      <c r="A269" s="417"/>
      <c r="B269" s="418"/>
      <c r="C269" s="52" t="s">
        <v>104</v>
      </c>
      <c r="D269" s="72">
        <v>7.0000000000000007E-2</v>
      </c>
      <c r="E269" s="382"/>
      <c r="F269" s="420"/>
      <c r="G269" s="420"/>
      <c r="H269" s="73"/>
      <c r="I269" s="73"/>
      <c r="J269" s="73"/>
      <c r="K269" s="119"/>
      <c r="L269" s="413"/>
      <c r="M269" s="413"/>
      <c r="N269" s="517"/>
    </row>
    <row r="270" spans="1:14" ht="15" hidden="1" customHeight="1" x14ac:dyDescent="0.25">
      <c r="A270" s="417"/>
      <c r="B270" s="418"/>
      <c r="C270" s="52" t="s">
        <v>105</v>
      </c>
      <c r="D270" s="72">
        <v>0.5</v>
      </c>
      <c r="E270" s="382"/>
      <c r="F270" s="420"/>
      <c r="G270" s="420"/>
      <c r="H270" s="73"/>
      <c r="I270" s="73"/>
      <c r="J270" s="73"/>
      <c r="K270" s="119"/>
      <c r="L270" s="413"/>
      <c r="M270" s="413"/>
      <c r="N270" s="517"/>
    </row>
    <row r="271" spans="1:14" ht="15" hidden="1" customHeight="1" x14ac:dyDescent="0.25">
      <c r="A271" s="417"/>
      <c r="B271" s="418"/>
      <c r="C271" s="52" t="s">
        <v>106</v>
      </c>
      <c r="D271" s="72">
        <v>1.5</v>
      </c>
      <c r="E271" s="382"/>
      <c r="F271" s="420"/>
      <c r="G271" s="420"/>
      <c r="H271" s="73"/>
      <c r="I271" s="73"/>
      <c r="J271" s="73"/>
      <c r="K271" s="119"/>
      <c r="L271" s="413"/>
      <c r="M271" s="413"/>
      <c r="N271" s="517"/>
    </row>
    <row r="272" spans="1:14" ht="15" hidden="1" customHeight="1" x14ac:dyDescent="0.25">
      <c r="A272" s="417"/>
      <c r="B272" s="418"/>
      <c r="C272" s="52"/>
      <c r="D272" s="52" t="s">
        <v>408</v>
      </c>
      <c r="E272" s="382"/>
      <c r="F272" s="420"/>
      <c r="G272" s="420"/>
      <c r="H272" s="73"/>
      <c r="I272" s="73"/>
      <c r="J272" s="73"/>
      <c r="K272" s="120" t="str">
        <f>IF(K266&gt;=D269,"YES","NO")</f>
        <v>NO</v>
      </c>
      <c r="L272" s="413"/>
      <c r="M272" s="413"/>
      <c r="N272" s="517"/>
    </row>
    <row r="273" spans="1:14" ht="15" hidden="1" customHeight="1" x14ac:dyDescent="0.25">
      <c r="A273" s="417"/>
      <c r="B273" s="418"/>
      <c r="C273" s="52"/>
      <c r="D273" s="52" t="s">
        <v>507</v>
      </c>
      <c r="E273" s="382"/>
      <c r="F273" s="420"/>
      <c r="G273" s="420"/>
      <c r="H273" s="73"/>
      <c r="I273" s="73"/>
      <c r="J273" s="73"/>
      <c r="K273" s="120" t="str">
        <f>IF(AND(K266&lt;D269,K267&gt;=D270),"YES","NO")</f>
        <v>NO</v>
      </c>
      <c r="L273" s="413"/>
      <c r="M273" s="413"/>
      <c r="N273" s="517"/>
    </row>
    <row r="274" spans="1:14" ht="15" hidden="1" customHeight="1" x14ac:dyDescent="0.25">
      <c r="A274" s="417"/>
      <c r="B274" s="418"/>
      <c r="C274" s="52"/>
      <c r="D274" s="52" t="s">
        <v>410</v>
      </c>
      <c r="E274" s="382"/>
      <c r="F274" s="420"/>
      <c r="G274" s="420"/>
      <c r="H274" s="73"/>
      <c r="I274" s="73"/>
      <c r="J274" s="73"/>
      <c r="K274" s="120" t="str">
        <f>IF(OR(AND(K266&gt;0,K266&lt;D269,K267=0),AND(K267&gt;0,K267&lt;D270,K266=0),AND(K266&gt;0,K266&lt;D269,K267&gt;0,K267&lt;D270)),"YES","NO")</f>
        <v>NO</v>
      </c>
      <c r="L274" s="413"/>
      <c r="M274" s="413"/>
      <c r="N274" s="517"/>
    </row>
    <row r="275" spans="1:14" ht="15" hidden="1" customHeight="1" x14ac:dyDescent="0.25">
      <c r="A275" s="417"/>
      <c r="B275" s="418"/>
      <c r="C275" s="52"/>
      <c r="D275" s="52" t="s">
        <v>460</v>
      </c>
      <c r="E275" s="382"/>
      <c r="F275" s="420"/>
      <c r="G275" s="420"/>
      <c r="H275" s="73"/>
      <c r="I275" s="73"/>
      <c r="J275" s="73"/>
      <c r="K275" s="120" t="str">
        <f>IF(AND(K266=0,K267=0,K268&gt;=D271),"YES","NO")</f>
        <v>NO</v>
      </c>
      <c r="L275" s="413"/>
      <c r="M275" s="413"/>
      <c r="N275" s="517"/>
    </row>
    <row r="276" spans="1:14" ht="15" hidden="1" customHeight="1" x14ac:dyDescent="0.25">
      <c r="A276" s="417"/>
      <c r="B276" s="418"/>
      <c r="C276" s="52"/>
      <c r="D276" s="52" t="s">
        <v>461</v>
      </c>
      <c r="E276" s="382"/>
      <c r="F276" s="420"/>
      <c r="G276" s="420"/>
      <c r="H276" s="73"/>
      <c r="I276" s="73"/>
      <c r="J276" s="73"/>
      <c r="K276" s="120" t="str">
        <f>IF(AND(K266=0,K267=0,K268&lt;D271),"YES","NO")</f>
        <v>YES</v>
      </c>
      <c r="L276" s="413"/>
      <c r="M276" s="413"/>
      <c r="N276" s="517"/>
    </row>
    <row r="277" spans="1:14" x14ac:dyDescent="0.25">
      <c r="A277" s="417"/>
      <c r="B277" s="418"/>
      <c r="C277" s="419" t="s">
        <v>6</v>
      </c>
      <c r="D277" s="419"/>
      <c r="E277" s="419"/>
      <c r="F277" s="419"/>
      <c r="G277" s="64"/>
      <c r="H277" s="64"/>
      <c r="I277" s="64"/>
      <c r="J277" s="64"/>
      <c r="K277" s="111">
        <f>IF(K272="YES",4,IF(K273="YES",3+K266/D269,IF(K274="YES",2+2*K266/D269+K267/D270-(K266*K267)/(D269*D270),IF(K275="YES",2,2*K268/D271))))</f>
        <v>0</v>
      </c>
      <c r="L277" s="413"/>
      <c r="M277" s="413"/>
      <c r="N277" s="517"/>
    </row>
    <row r="278" spans="1:14" ht="15.75" thickBot="1" x14ac:dyDescent="0.3">
      <c r="N278" s="1"/>
    </row>
    <row r="279" spans="1:14" ht="30" customHeight="1" x14ac:dyDescent="0.25">
      <c r="A279" s="417">
        <f>A261+1</f>
        <v>24</v>
      </c>
      <c r="B279" s="418"/>
      <c r="C279" s="507" t="s">
        <v>55</v>
      </c>
      <c r="D279" s="507"/>
      <c r="E279" s="382" t="s">
        <v>1742</v>
      </c>
      <c r="F279" s="420" t="s">
        <v>1130</v>
      </c>
      <c r="G279" s="420" t="s">
        <v>1131</v>
      </c>
      <c r="H279" s="34" t="s">
        <v>582</v>
      </c>
      <c r="I279" s="34">
        <v>1</v>
      </c>
      <c r="J279" s="109" t="str">
        <f>IF((IF(OR((H279&amp;"."&amp;I279)=$R$8,(H279&amp;"."&amp;I279)=$S$8,(H279&amp;"."&amp;I279)=$T$8,(H279&amp;"."&amp;I279)=$U$8,(H279&amp;"."&amp;I279)=$V$8,(H279&amp;"."&amp;I279)=$W$8),1,0))=1,"EKSTREM",IF((IF(OR((H279&amp;"."&amp;I279)=$R$9,(H279&amp;"."&amp;I279)=$S$9,(H279&amp;"."&amp;I279)=$T$9,(H279&amp;"."&amp;I279)=$U$9,(H279&amp;"."&amp;I279)=$V$9,(H279&amp;"."&amp;I279)=$W$9,(H279&amp;"."&amp;I279)=$X$9),1,0))=1,"TINGGI",IF((IF(OR((H279&amp;"."&amp;I279)=$R$10,(H279&amp;"."&amp;I279)=$S$10,(H279&amp;"."&amp;I279)=$T$10,(H279&amp;"."&amp;I279)=$U$10,(H279&amp;"."&amp;I279)=$V$10,(H279&amp;"."&amp;I279)=$W$10),1,0))=1,"MODERAT",IF((IF(OR((H279&amp;"."&amp;I279)=$R$11,(H279&amp;"."&amp;I279)=$S$11,(H279&amp;"."&amp;I279)=$T$11,(H279&amp;"."&amp;I279)=$U$11,(H279&amp;"."&amp;I279)=$V$11,(H279&amp;"."&amp;I279)=$W$11),1,0))=1,"RENDAH","-"))))</f>
        <v>RENDAH</v>
      </c>
      <c r="K279" s="50"/>
      <c r="L279" s="413" t="s">
        <v>1132</v>
      </c>
      <c r="M279" s="413" t="s">
        <v>1133</v>
      </c>
      <c r="N279" s="517"/>
    </row>
    <row r="280" spans="1:14" ht="30" customHeight="1" x14ac:dyDescent="0.25">
      <c r="A280" s="417"/>
      <c r="B280" s="418"/>
      <c r="C280" s="430" t="s">
        <v>511</v>
      </c>
      <c r="D280" s="431"/>
      <c r="E280" s="382"/>
      <c r="F280" s="420"/>
      <c r="G280" s="420"/>
      <c r="H280" s="401"/>
      <c r="I280" s="401"/>
      <c r="J280" s="401"/>
      <c r="K280" s="116">
        <f>IF(AND(ISBLANK('Isian Prodi'!H101),ISBLANK('Isian Prodi'!I101),ISBLANK('Isian Prodi'!J101)),'Isian Prodi'!E101,'Isian Prodi'!K101)</f>
        <v>0</v>
      </c>
      <c r="L280" s="447"/>
      <c r="M280" s="413"/>
      <c r="N280" s="517"/>
    </row>
    <row r="281" spans="1:14" ht="30" customHeight="1" x14ac:dyDescent="0.25">
      <c r="A281" s="417"/>
      <c r="B281" s="418"/>
      <c r="C281" s="430" t="s">
        <v>512</v>
      </c>
      <c r="D281" s="431"/>
      <c r="E281" s="382"/>
      <c r="F281" s="420"/>
      <c r="G281" s="420"/>
      <c r="H281" s="402"/>
      <c r="I281" s="402"/>
      <c r="J281" s="402"/>
      <c r="K281" s="117">
        <f>IF(AND(ISBLANK('Isian Prodi'!H100),ISBLANK('Isian Prodi'!I100),ISBLANK('Isian Prodi'!J100)),'Isian Prodi'!E100,'Isian Prodi'!K100)</f>
        <v>0</v>
      </c>
      <c r="L281" s="447"/>
      <c r="M281" s="413"/>
      <c r="N281" s="517"/>
    </row>
    <row r="282" spans="1:14" ht="30" customHeight="1" x14ac:dyDescent="0.25">
      <c r="A282" s="417"/>
      <c r="B282" s="418"/>
      <c r="C282" s="430" t="s">
        <v>513</v>
      </c>
      <c r="D282" s="431"/>
      <c r="E282" s="382"/>
      <c r="F282" s="420"/>
      <c r="G282" s="420"/>
      <c r="H282" s="402"/>
      <c r="I282" s="402"/>
      <c r="J282" s="402"/>
      <c r="K282" s="117">
        <f>IF(AND(ISBLANK('Isian Prodi'!H99),ISBLANK('Isian Prodi'!I99),ISBLANK('Isian Prodi'!J99)),'Isian Prodi'!E99,'Isian Prodi'!K99)</f>
        <v>0</v>
      </c>
      <c r="L282" s="447"/>
      <c r="M282" s="413"/>
      <c r="N282" s="517"/>
    </row>
    <row r="283" spans="1:14" ht="30" customHeight="1" x14ac:dyDescent="0.25">
      <c r="A283" s="417"/>
      <c r="B283" s="418"/>
      <c r="C283" s="430" t="s">
        <v>102</v>
      </c>
      <c r="D283" s="431"/>
      <c r="E283" s="382"/>
      <c r="F283" s="420"/>
      <c r="G283" s="420"/>
      <c r="H283" s="402"/>
      <c r="I283" s="402"/>
      <c r="J283" s="402"/>
      <c r="K283" s="117">
        <f>IF(ISBLANK('Isian Prodi'!G60),'Isian Prodi'!C60,'Isian Prodi'!G60)</f>
        <v>0</v>
      </c>
      <c r="L283" s="447"/>
      <c r="M283" s="413"/>
      <c r="N283" s="517"/>
    </row>
    <row r="284" spans="1:14" ht="15" customHeight="1" x14ac:dyDescent="0.25">
      <c r="A284" s="417"/>
      <c r="B284" s="418"/>
      <c r="C284" s="430" t="s">
        <v>504</v>
      </c>
      <c r="D284" s="431"/>
      <c r="E284" s="382"/>
      <c r="F284" s="420"/>
      <c r="G284" s="420"/>
      <c r="H284" s="402"/>
      <c r="I284" s="402"/>
      <c r="J284" s="402"/>
      <c r="K284" s="118">
        <f>IF(K283&gt;0,K280/3/K283,0)</f>
        <v>0</v>
      </c>
      <c r="L284" s="447"/>
      <c r="M284" s="413"/>
      <c r="N284" s="517"/>
    </row>
    <row r="285" spans="1:14" ht="15" customHeight="1" x14ac:dyDescent="0.25">
      <c r="A285" s="417"/>
      <c r="B285" s="418"/>
      <c r="C285" s="430" t="s">
        <v>505</v>
      </c>
      <c r="D285" s="431"/>
      <c r="E285" s="382"/>
      <c r="F285" s="420"/>
      <c r="G285" s="420"/>
      <c r="H285" s="402"/>
      <c r="I285" s="402"/>
      <c r="J285" s="402"/>
      <c r="K285" s="118">
        <f>IF(K283&gt;0,K281/3/K283,0)</f>
        <v>0</v>
      </c>
      <c r="L285" s="447"/>
      <c r="M285" s="413"/>
      <c r="N285" s="517"/>
    </row>
    <row r="286" spans="1:14" ht="15" customHeight="1" x14ac:dyDescent="0.25">
      <c r="A286" s="417"/>
      <c r="B286" s="418"/>
      <c r="C286" s="430" t="s">
        <v>506</v>
      </c>
      <c r="D286" s="431"/>
      <c r="E286" s="382"/>
      <c r="F286" s="420"/>
      <c r="G286" s="420"/>
      <c r="H286" s="403"/>
      <c r="I286" s="403"/>
      <c r="J286" s="403"/>
      <c r="K286" s="118">
        <f>IF(K283&gt;0,K282/3/K283,0)</f>
        <v>0</v>
      </c>
      <c r="L286" s="447"/>
      <c r="M286" s="413"/>
      <c r="N286" s="517"/>
    </row>
    <row r="287" spans="1:14" ht="15" hidden="1" customHeight="1" x14ac:dyDescent="0.25">
      <c r="A287" s="417"/>
      <c r="B287" s="418"/>
      <c r="C287" s="52" t="s">
        <v>104</v>
      </c>
      <c r="D287" s="72">
        <v>7.0000000000000007E-2</v>
      </c>
      <c r="E287" s="382"/>
      <c r="F287" s="420"/>
      <c r="G287" s="420"/>
      <c r="H287" s="75"/>
      <c r="I287" s="75"/>
      <c r="J287" s="75"/>
      <c r="K287" s="119"/>
      <c r="L287" s="447"/>
      <c r="M287" s="413"/>
      <c r="N287" s="517"/>
    </row>
    <row r="288" spans="1:14" ht="15" hidden="1" customHeight="1" x14ac:dyDescent="0.25">
      <c r="A288" s="417"/>
      <c r="B288" s="418"/>
      <c r="C288" s="52" t="s">
        <v>105</v>
      </c>
      <c r="D288" s="72">
        <v>0.5</v>
      </c>
      <c r="E288" s="382"/>
      <c r="F288" s="420"/>
      <c r="G288" s="420"/>
      <c r="H288" s="75"/>
      <c r="I288" s="75"/>
      <c r="J288" s="75"/>
      <c r="K288" s="119"/>
      <c r="L288" s="447"/>
      <c r="M288" s="413"/>
      <c r="N288" s="517"/>
    </row>
    <row r="289" spans="1:14" ht="15" hidden="1" customHeight="1" x14ac:dyDescent="0.25">
      <c r="A289" s="417"/>
      <c r="B289" s="418"/>
      <c r="C289" s="52" t="s">
        <v>106</v>
      </c>
      <c r="D289" s="72">
        <v>1.5</v>
      </c>
      <c r="E289" s="382"/>
      <c r="F289" s="420"/>
      <c r="G289" s="420"/>
      <c r="H289" s="75"/>
      <c r="I289" s="75"/>
      <c r="J289" s="75"/>
      <c r="K289" s="119"/>
      <c r="L289" s="447"/>
      <c r="M289" s="413"/>
      <c r="N289" s="517"/>
    </row>
    <row r="290" spans="1:14" ht="15" hidden="1" customHeight="1" x14ac:dyDescent="0.25">
      <c r="A290" s="417"/>
      <c r="B290" s="418"/>
      <c r="C290" s="76"/>
      <c r="D290" s="77" t="s">
        <v>408</v>
      </c>
      <c r="E290" s="382"/>
      <c r="F290" s="420"/>
      <c r="G290" s="420"/>
      <c r="H290" s="75"/>
      <c r="I290" s="75"/>
      <c r="J290" s="75"/>
      <c r="K290" s="120" t="str">
        <f>IF(K284&gt;=D287,"YES","NO")</f>
        <v>NO</v>
      </c>
      <c r="L290" s="447"/>
      <c r="M290" s="413"/>
      <c r="N290" s="517"/>
    </row>
    <row r="291" spans="1:14" ht="15" hidden="1" customHeight="1" x14ac:dyDescent="0.25">
      <c r="A291" s="417"/>
      <c r="B291" s="418"/>
      <c r="C291" s="76"/>
      <c r="D291" s="77" t="s">
        <v>507</v>
      </c>
      <c r="E291" s="382"/>
      <c r="F291" s="420"/>
      <c r="G291" s="420"/>
      <c r="H291" s="75"/>
      <c r="I291" s="75"/>
      <c r="J291" s="75"/>
      <c r="K291" s="120" t="str">
        <f>IF(AND(K284&lt;D287,K285&gt;=D288),"YES","NO")</f>
        <v>NO</v>
      </c>
      <c r="L291" s="447"/>
      <c r="M291" s="413"/>
      <c r="N291" s="517"/>
    </row>
    <row r="292" spans="1:14" ht="15" hidden="1" customHeight="1" x14ac:dyDescent="0.25">
      <c r="A292" s="417"/>
      <c r="B292" s="418"/>
      <c r="C292" s="76"/>
      <c r="D292" s="77" t="s">
        <v>410</v>
      </c>
      <c r="E292" s="382"/>
      <c r="F292" s="420"/>
      <c r="G292" s="420"/>
      <c r="H292" s="75"/>
      <c r="I292" s="75"/>
      <c r="J292" s="75"/>
      <c r="K292" s="120" t="str">
        <f>IF(OR(AND(K284&gt;0,K284&lt;D287,K285=0),AND(K285&gt;0,K285&lt;D288,K284=0),AND(K284&gt;0,K284&lt;D287,K285&gt;0,K285&lt;D288)),"YES","NO")</f>
        <v>NO</v>
      </c>
      <c r="L292" s="447"/>
      <c r="M292" s="413"/>
      <c r="N292" s="517"/>
    </row>
    <row r="293" spans="1:14" ht="15" hidden="1" customHeight="1" x14ac:dyDescent="0.25">
      <c r="A293" s="417"/>
      <c r="B293" s="418"/>
      <c r="C293" s="76"/>
      <c r="D293" s="77" t="s">
        <v>460</v>
      </c>
      <c r="E293" s="382"/>
      <c r="F293" s="420"/>
      <c r="G293" s="420"/>
      <c r="H293" s="75"/>
      <c r="I293" s="75"/>
      <c r="J293" s="75"/>
      <c r="K293" s="120" t="str">
        <f>IF(AND(K284=0,K285=0,K286&gt;=D289),"YES","NO")</f>
        <v>NO</v>
      </c>
      <c r="L293" s="447"/>
      <c r="M293" s="413"/>
      <c r="N293" s="517"/>
    </row>
    <row r="294" spans="1:14" ht="15" hidden="1" customHeight="1" x14ac:dyDescent="0.25">
      <c r="A294" s="417"/>
      <c r="B294" s="418"/>
      <c r="C294" s="76"/>
      <c r="D294" s="77" t="s">
        <v>461</v>
      </c>
      <c r="E294" s="382"/>
      <c r="F294" s="420"/>
      <c r="G294" s="420"/>
      <c r="H294" s="75"/>
      <c r="I294" s="75"/>
      <c r="J294" s="75"/>
      <c r="K294" s="120" t="str">
        <f>IF(AND(K284=0,K285=0,K286&lt;D289),"YES","NO")</f>
        <v>YES</v>
      </c>
      <c r="L294" s="447"/>
      <c r="M294" s="413"/>
      <c r="N294" s="517"/>
    </row>
    <row r="295" spans="1:14" x14ac:dyDescent="0.25">
      <c r="A295" s="417"/>
      <c r="B295" s="418"/>
      <c r="C295" s="419" t="s">
        <v>6</v>
      </c>
      <c r="D295" s="419"/>
      <c r="E295" s="419"/>
      <c r="F295" s="419"/>
      <c r="G295" s="78"/>
      <c r="H295" s="78"/>
      <c r="I295" s="78"/>
      <c r="J295" s="78"/>
      <c r="K295" s="111">
        <f>IF(K290="YES",4,IF(K291="YES",3+K284/D287,IF(K292="YES",2+2*K284/D287+K285/D288-(K284*K285)/(D287*D288),IF(K293="YES",2,2*K286/D289))))</f>
        <v>0</v>
      </c>
      <c r="L295" s="447"/>
      <c r="M295" s="413"/>
      <c r="N295" s="517"/>
    </row>
    <row r="296" spans="1:14" x14ac:dyDescent="0.25">
      <c r="N296" s="1"/>
    </row>
    <row r="297" spans="1:14" ht="30" customHeight="1" x14ac:dyDescent="0.25">
      <c r="A297" s="417">
        <f>A279+1</f>
        <v>25</v>
      </c>
      <c r="B297" s="418"/>
      <c r="C297" s="428" t="s">
        <v>56</v>
      </c>
      <c r="D297" s="428"/>
      <c r="E297" s="382" t="s">
        <v>1743</v>
      </c>
      <c r="F297" s="420" t="s">
        <v>1130</v>
      </c>
      <c r="G297" s="420" t="s">
        <v>1131</v>
      </c>
      <c r="H297" s="34" t="s">
        <v>582</v>
      </c>
      <c r="I297" s="34">
        <v>1</v>
      </c>
      <c r="J297" s="109" t="str">
        <f>IF((IF(OR((H297&amp;"."&amp;I297)=$R$8,(H297&amp;"."&amp;I297)=$S$8,(H297&amp;"."&amp;I297)=$T$8,(H297&amp;"."&amp;I297)=$U$8,(H297&amp;"."&amp;I297)=$V$8,(H297&amp;"."&amp;I297)=$W$8),1,0))=1,"EKSTREM",IF((IF(OR((H297&amp;"."&amp;I297)=$R$9,(H297&amp;"."&amp;I297)=$S$9,(H297&amp;"."&amp;I297)=$T$9,(H297&amp;"."&amp;I297)=$U$9,(H297&amp;"."&amp;I297)=$V$9,(H297&amp;"."&amp;I297)=$W$9,(H297&amp;"."&amp;I297)=$X$9),1,0))=1,"TINGGI",IF((IF(OR((H297&amp;"."&amp;I297)=$R$10,(H297&amp;"."&amp;I297)=$S$10,(H297&amp;"."&amp;I297)=$T$10,(H297&amp;"."&amp;I297)=$U$10,(H297&amp;"."&amp;I297)=$V$10,(H297&amp;"."&amp;I297)=$W$10),1,0))=1,"MODERAT",IF((IF(OR((H297&amp;"."&amp;I297)=$R$11,(H297&amp;"."&amp;I297)=$S$11,(H297&amp;"."&amp;I297)=$T$11,(H297&amp;"."&amp;I297)=$U$11,(H297&amp;"."&amp;I297)=$V$11,(H297&amp;"."&amp;I297)=$W$11),1,0))=1,"RENDAH","-"))))</f>
        <v>RENDAH</v>
      </c>
      <c r="K297" s="50"/>
      <c r="L297" s="413" t="s">
        <v>1132</v>
      </c>
      <c r="M297" s="413" t="s">
        <v>1133</v>
      </c>
      <c r="N297" s="517"/>
    </row>
    <row r="298" spans="1:14" x14ac:dyDescent="0.25">
      <c r="A298" s="417"/>
      <c r="B298" s="418"/>
      <c r="C298" s="422" t="s">
        <v>515</v>
      </c>
      <c r="D298" s="422"/>
      <c r="E298" s="382"/>
      <c r="F298" s="420"/>
      <c r="G298" s="420"/>
      <c r="H298" s="401"/>
      <c r="I298" s="401"/>
      <c r="J298" s="401"/>
      <c r="K298" s="121">
        <f>IF(AND(ISBLANK('Isian Prodi'!H106),ISBLANK('Isian Prodi'!I106),ISBLANK('Isian Prodi'!J106)),'Isian Prodi'!E106,'Isian Prodi'!K106)</f>
        <v>0</v>
      </c>
      <c r="L298" s="413"/>
      <c r="M298" s="413"/>
      <c r="N298" s="517"/>
    </row>
    <row r="299" spans="1:14" x14ac:dyDescent="0.25">
      <c r="A299" s="417"/>
      <c r="B299" s="418"/>
      <c r="C299" s="422" t="s">
        <v>516</v>
      </c>
      <c r="D299" s="422"/>
      <c r="E299" s="382"/>
      <c r="F299" s="420"/>
      <c r="G299" s="420"/>
      <c r="H299" s="402"/>
      <c r="I299" s="402"/>
      <c r="J299" s="402"/>
      <c r="K299" s="121">
        <f>IF(AND(ISBLANK('Isian Prodi'!H107),ISBLANK('Isian Prodi'!I107),ISBLANK('Isian Prodi'!J107)),'Isian Prodi'!E107,'Isian Prodi'!K107)</f>
        <v>0</v>
      </c>
      <c r="L299" s="413"/>
      <c r="M299" s="413"/>
      <c r="N299" s="517"/>
    </row>
    <row r="300" spans="1:14" x14ac:dyDescent="0.25">
      <c r="A300" s="417"/>
      <c r="B300" s="418"/>
      <c r="C300" s="422" t="s">
        <v>517</v>
      </c>
      <c r="D300" s="422"/>
      <c r="E300" s="382"/>
      <c r="F300" s="420"/>
      <c r="G300" s="420"/>
      <c r="H300" s="402"/>
      <c r="I300" s="402"/>
      <c r="J300" s="402"/>
      <c r="K300" s="121">
        <f>IF(AND(ISBLANK('Isian Prodi'!H108),ISBLANK('Isian Prodi'!I108),ISBLANK('Isian Prodi'!J108)),'Isian Prodi'!E108,'Isian Prodi'!K108)</f>
        <v>0</v>
      </c>
      <c r="L300" s="413"/>
      <c r="M300" s="413"/>
      <c r="N300" s="517"/>
    </row>
    <row r="301" spans="1:14" x14ac:dyDescent="0.25">
      <c r="A301" s="417"/>
      <c r="B301" s="418"/>
      <c r="C301" s="422" t="s">
        <v>518</v>
      </c>
      <c r="D301" s="422"/>
      <c r="E301" s="382"/>
      <c r="F301" s="420"/>
      <c r="G301" s="420"/>
      <c r="H301" s="402"/>
      <c r="I301" s="402"/>
      <c r="J301" s="402"/>
      <c r="K301" s="121">
        <f>IF(AND(ISBLANK('Isian Prodi'!H109),ISBLANK('Isian Prodi'!I109),ISBLANK('Isian Prodi'!J109)),'Isian Prodi'!E109,'Isian Prodi'!K109)</f>
        <v>0</v>
      </c>
      <c r="L301" s="413"/>
      <c r="M301" s="413"/>
      <c r="N301" s="517"/>
    </row>
    <row r="302" spans="1:14" x14ac:dyDescent="0.25">
      <c r="A302" s="417"/>
      <c r="B302" s="418"/>
      <c r="C302" s="422" t="s">
        <v>519</v>
      </c>
      <c r="D302" s="422"/>
      <c r="E302" s="382"/>
      <c r="F302" s="420"/>
      <c r="G302" s="420"/>
      <c r="H302" s="402"/>
      <c r="I302" s="402"/>
      <c r="J302" s="402"/>
      <c r="K302" s="121">
        <f>IF(AND(ISBLANK('Isian Prodi'!H110),ISBLANK('Isian Prodi'!I110),ISBLANK('Isian Prodi'!J110)),'Isian Prodi'!E110,'Isian Prodi'!K110)</f>
        <v>0</v>
      </c>
      <c r="L302" s="413"/>
      <c r="M302" s="413"/>
      <c r="N302" s="517"/>
    </row>
    <row r="303" spans="1:14" x14ac:dyDescent="0.25">
      <c r="A303" s="417"/>
      <c r="B303" s="418"/>
      <c r="C303" s="422" t="s">
        <v>520</v>
      </c>
      <c r="D303" s="422"/>
      <c r="E303" s="382"/>
      <c r="F303" s="420"/>
      <c r="G303" s="420"/>
      <c r="H303" s="402"/>
      <c r="I303" s="402"/>
      <c r="J303" s="402"/>
      <c r="K303" s="121">
        <f>IF(AND(ISBLANK('Isian Prodi'!H111),ISBLANK('Isian Prodi'!I111),ISBLANK('Isian Prodi'!J111)),'Isian Prodi'!E111,'Isian Prodi'!K111)</f>
        <v>0</v>
      </c>
      <c r="L303" s="413"/>
      <c r="M303" s="413"/>
      <c r="N303" s="517"/>
    </row>
    <row r="304" spans="1:14" x14ac:dyDescent="0.25">
      <c r="A304" s="417"/>
      <c r="B304" s="418"/>
      <c r="C304" s="422" t="s">
        <v>521</v>
      </c>
      <c r="D304" s="422"/>
      <c r="E304" s="382"/>
      <c r="F304" s="420"/>
      <c r="G304" s="420"/>
      <c r="H304" s="402"/>
      <c r="I304" s="402"/>
      <c r="J304" s="402"/>
      <c r="K304" s="121">
        <f>IF(AND(ISBLANK('Isian Prodi'!H112),ISBLANK('Isian Prodi'!I112),ISBLANK('Isian Prodi'!J112)),'Isian Prodi'!E112,'Isian Prodi'!K112)</f>
        <v>0</v>
      </c>
      <c r="L304" s="413"/>
      <c r="M304" s="413"/>
      <c r="N304" s="517"/>
    </row>
    <row r="305" spans="1:14" ht="29.25" customHeight="1" x14ac:dyDescent="0.25">
      <c r="A305" s="417"/>
      <c r="B305" s="418"/>
      <c r="C305" s="422" t="s">
        <v>909</v>
      </c>
      <c r="D305" s="422"/>
      <c r="E305" s="382"/>
      <c r="F305" s="420"/>
      <c r="G305" s="420"/>
      <c r="H305" s="402"/>
      <c r="I305" s="402"/>
      <c r="J305" s="402"/>
      <c r="K305" s="121">
        <f>IF(AND(ISBLANK('Isian Prodi'!H113),ISBLANK('Isian Prodi'!I113),ISBLANK('Isian Prodi'!J113)),'Isian Prodi'!E113,'Isian Prodi'!K113)</f>
        <v>0</v>
      </c>
      <c r="L305" s="413"/>
      <c r="M305" s="413"/>
      <c r="N305" s="517"/>
    </row>
    <row r="306" spans="1:14" ht="29.25" customHeight="1" x14ac:dyDescent="0.25">
      <c r="A306" s="417"/>
      <c r="B306" s="418"/>
      <c r="C306" s="422" t="s">
        <v>910</v>
      </c>
      <c r="D306" s="422"/>
      <c r="E306" s="382"/>
      <c r="F306" s="420"/>
      <c r="G306" s="420"/>
      <c r="H306" s="402"/>
      <c r="I306" s="402"/>
      <c r="J306" s="402"/>
      <c r="K306" s="121">
        <f>IF(AND(ISBLANK('Isian Prodi'!H114),ISBLANK('Isian Prodi'!I114),ISBLANK('Isian Prodi'!J114)),'Isian Prodi'!E114,'Isian Prodi'!K114)</f>
        <v>0</v>
      </c>
      <c r="L306" s="413"/>
      <c r="M306" s="413"/>
      <c r="N306" s="517"/>
    </row>
    <row r="307" spans="1:14" ht="29.25" customHeight="1" x14ac:dyDescent="0.25">
      <c r="A307" s="417"/>
      <c r="B307" s="418"/>
      <c r="C307" s="422" t="s">
        <v>911</v>
      </c>
      <c r="D307" s="422"/>
      <c r="E307" s="382"/>
      <c r="F307" s="420"/>
      <c r="G307" s="420"/>
      <c r="H307" s="402"/>
      <c r="I307" s="402"/>
      <c r="J307" s="402"/>
      <c r="K307" s="121">
        <f>IF(AND(ISBLANK('Isian Prodi'!H115),ISBLANK('Isian Prodi'!I115),ISBLANK('Isian Prodi'!J115)),'Isian Prodi'!E115,'Isian Prodi'!K115)</f>
        <v>0</v>
      </c>
      <c r="L307" s="413"/>
      <c r="M307" s="413"/>
      <c r="N307" s="517"/>
    </row>
    <row r="308" spans="1:14" ht="50.1" customHeight="1" x14ac:dyDescent="0.25">
      <c r="A308" s="417"/>
      <c r="B308" s="418"/>
      <c r="C308" s="422" t="s">
        <v>102</v>
      </c>
      <c r="D308" s="422"/>
      <c r="E308" s="382"/>
      <c r="F308" s="420"/>
      <c r="G308" s="420"/>
      <c r="H308" s="402"/>
      <c r="I308" s="402"/>
      <c r="J308" s="402"/>
      <c r="K308" s="121">
        <f>IF(ISBLANK('Isian Prodi'!G60),'Isian Prodi'!C60,'Isian Prodi'!G60)</f>
        <v>0</v>
      </c>
      <c r="L308" s="413"/>
      <c r="M308" s="413"/>
      <c r="N308" s="517"/>
    </row>
    <row r="309" spans="1:14" x14ac:dyDescent="0.25">
      <c r="A309" s="417"/>
      <c r="B309" s="418"/>
      <c r="C309" s="422" t="s">
        <v>522</v>
      </c>
      <c r="D309" s="422"/>
      <c r="E309" s="382"/>
      <c r="F309" s="420"/>
      <c r="G309" s="420"/>
      <c r="H309" s="402"/>
      <c r="I309" s="402"/>
      <c r="J309" s="402"/>
      <c r="K309" s="122">
        <f>IF(K308&gt;0,(K301+K304+K307)/K308,0)</f>
        <v>0</v>
      </c>
      <c r="L309" s="413"/>
      <c r="M309" s="413"/>
      <c r="N309" s="517"/>
    </row>
    <row r="310" spans="1:14" x14ac:dyDescent="0.25">
      <c r="A310" s="417"/>
      <c r="B310" s="418"/>
      <c r="C310" s="422" t="s">
        <v>523</v>
      </c>
      <c r="D310" s="422"/>
      <c r="E310" s="382"/>
      <c r="F310" s="420"/>
      <c r="G310" s="420"/>
      <c r="H310" s="402"/>
      <c r="I310" s="402"/>
      <c r="J310" s="402"/>
      <c r="K310" s="122">
        <f>IF(K308&gt;0,(K299+K300+K303+K306)/K308,0)</f>
        <v>0</v>
      </c>
      <c r="L310" s="413"/>
      <c r="M310" s="413"/>
      <c r="N310" s="517"/>
    </row>
    <row r="311" spans="1:14" x14ac:dyDescent="0.25">
      <c r="A311" s="417"/>
      <c r="B311" s="418"/>
      <c r="C311" s="422" t="s">
        <v>524</v>
      </c>
      <c r="D311" s="422"/>
      <c r="E311" s="382"/>
      <c r="F311" s="420"/>
      <c r="G311" s="420"/>
      <c r="H311" s="403"/>
      <c r="I311" s="403"/>
      <c r="J311" s="403"/>
      <c r="K311" s="122">
        <f>IF(K308&gt;0,(K302+K305+K298)/K308,0)</f>
        <v>0</v>
      </c>
      <c r="L311" s="413"/>
      <c r="M311" s="413"/>
      <c r="N311" s="517"/>
    </row>
    <row r="312" spans="1:14" ht="15" hidden="1" customHeight="1" x14ac:dyDescent="0.25">
      <c r="A312" s="417"/>
      <c r="B312" s="418"/>
      <c r="C312" s="52" t="s">
        <v>104</v>
      </c>
      <c r="D312" s="72">
        <v>0.2</v>
      </c>
      <c r="E312" s="382"/>
      <c r="F312" s="420"/>
      <c r="G312" s="420"/>
      <c r="H312" s="73"/>
      <c r="I312" s="73"/>
      <c r="J312" s="73"/>
      <c r="K312" s="123"/>
      <c r="L312" s="413"/>
      <c r="M312" s="413"/>
      <c r="N312" s="517"/>
    </row>
    <row r="313" spans="1:14" ht="15" hidden="1" customHeight="1" x14ac:dyDescent="0.25">
      <c r="A313" s="417"/>
      <c r="B313" s="418"/>
      <c r="C313" s="52" t="s">
        <v>105</v>
      </c>
      <c r="D313" s="72">
        <v>2</v>
      </c>
      <c r="E313" s="382"/>
      <c r="F313" s="420"/>
      <c r="G313" s="420"/>
      <c r="H313" s="73"/>
      <c r="I313" s="73"/>
      <c r="J313" s="73"/>
      <c r="K313" s="123"/>
      <c r="L313" s="413"/>
      <c r="M313" s="413"/>
      <c r="N313" s="517"/>
    </row>
    <row r="314" spans="1:14" ht="15" hidden="1" customHeight="1" x14ac:dyDescent="0.25">
      <c r="A314" s="417"/>
      <c r="B314" s="418"/>
      <c r="C314" s="52" t="s">
        <v>106</v>
      </c>
      <c r="D314" s="72">
        <v>4</v>
      </c>
      <c r="E314" s="382"/>
      <c r="F314" s="420"/>
      <c r="G314" s="420"/>
      <c r="H314" s="73"/>
      <c r="I314" s="73"/>
      <c r="J314" s="73"/>
      <c r="K314" s="123"/>
      <c r="L314" s="413"/>
      <c r="M314" s="413"/>
      <c r="N314" s="517"/>
    </row>
    <row r="315" spans="1:14" ht="15" hidden="1" customHeight="1" x14ac:dyDescent="0.25">
      <c r="A315" s="417"/>
      <c r="B315" s="418"/>
      <c r="C315" s="52"/>
      <c r="D315" s="52" t="s">
        <v>408</v>
      </c>
      <c r="E315" s="382"/>
      <c r="F315" s="420"/>
      <c r="G315" s="420"/>
      <c r="H315" s="73"/>
      <c r="I315" s="73"/>
      <c r="J315" s="73"/>
      <c r="K315" s="124" t="str">
        <f>IF(K309&gt;=D312,"YES","NO")</f>
        <v>NO</v>
      </c>
      <c r="L315" s="413"/>
      <c r="M315" s="413"/>
      <c r="N315" s="517"/>
    </row>
    <row r="316" spans="1:14" ht="15" hidden="1" customHeight="1" x14ac:dyDescent="0.25">
      <c r="A316" s="417"/>
      <c r="B316" s="418"/>
      <c r="C316" s="52"/>
      <c r="D316" s="52" t="s">
        <v>507</v>
      </c>
      <c r="E316" s="382"/>
      <c r="F316" s="420"/>
      <c r="G316" s="420"/>
      <c r="H316" s="73"/>
      <c r="I316" s="73"/>
      <c r="J316" s="73"/>
      <c r="K316" s="124" t="str">
        <f>IF(AND(K309&lt;D312,K310&gt;=D313),"YES","NO")</f>
        <v>NO</v>
      </c>
      <c r="L316" s="413"/>
      <c r="M316" s="413"/>
      <c r="N316" s="517"/>
    </row>
    <row r="317" spans="1:14" ht="15" hidden="1" customHeight="1" x14ac:dyDescent="0.25">
      <c r="A317" s="417"/>
      <c r="B317" s="418"/>
      <c r="C317" s="52"/>
      <c r="D317" s="52" t="s">
        <v>410</v>
      </c>
      <c r="E317" s="382"/>
      <c r="F317" s="420"/>
      <c r="G317" s="420"/>
      <c r="H317" s="73"/>
      <c r="I317" s="73"/>
      <c r="J317" s="73"/>
      <c r="K317" s="124" t="str">
        <f>IF(OR(AND(K309&gt;0,K309&lt;D312,K310=0),AND(K310&gt;0,K310&lt;D313,K309=0),AND(K309&gt;0,K309&lt;D312,K310&gt;0,K310&lt;D313)),"YES","NO")</f>
        <v>NO</v>
      </c>
      <c r="L317" s="413"/>
      <c r="M317" s="413"/>
      <c r="N317" s="517"/>
    </row>
    <row r="318" spans="1:14" ht="15" hidden="1" customHeight="1" x14ac:dyDescent="0.25">
      <c r="A318" s="417"/>
      <c r="B318" s="418"/>
      <c r="C318" s="52"/>
      <c r="D318" s="52" t="s">
        <v>460</v>
      </c>
      <c r="E318" s="382"/>
      <c r="F318" s="420"/>
      <c r="G318" s="420"/>
      <c r="H318" s="73"/>
      <c r="I318" s="73"/>
      <c r="J318" s="73"/>
      <c r="K318" s="124" t="str">
        <f>IF(AND(K309=0,K310=0,K311&gt;=D314),"YES","NO")</f>
        <v>NO</v>
      </c>
      <c r="L318" s="413"/>
      <c r="M318" s="413"/>
      <c r="N318" s="517"/>
    </row>
    <row r="319" spans="1:14" ht="15" hidden="1" customHeight="1" x14ac:dyDescent="0.25">
      <c r="A319" s="417"/>
      <c r="B319" s="418"/>
      <c r="C319" s="52"/>
      <c r="D319" s="52" t="s">
        <v>461</v>
      </c>
      <c r="E319" s="382"/>
      <c r="F319" s="420"/>
      <c r="G319" s="420"/>
      <c r="H319" s="73"/>
      <c r="I319" s="73"/>
      <c r="J319" s="73"/>
      <c r="K319" s="124" t="str">
        <f>IF(AND(K309=0,K310=0,K311&lt;D314),"YES","NO")</f>
        <v>YES</v>
      </c>
      <c r="L319" s="413"/>
      <c r="M319" s="413"/>
      <c r="N319" s="517"/>
    </row>
    <row r="320" spans="1:14" x14ac:dyDescent="0.25">
      <c r="A320" s="417"/>
      <c r="B320" s="418"/>
      <c r="C320" s="419" t="s">
        <v>6</v>
      </c>
      <c r="D320" s="419"/>
      <c r="E320" s="419"/>
      <c r="F320" s="419"/>
      <c r="G320" s="64"/>
      <c r="H320" s="64"/>
      <c r="I320" s="64"/>
      <c r="J320" s="64"/>
      <c r="K320" s="111">
        <f>IF(K315="YES",4,IF(K316="YES",3+K309/D312,IF(K317="YES",2+2*K309/D312+K310/D313-(K309*K310)/(D312*D313),IF(K318="YES",2,2*K311/D314))))</f>
        <v>0</v>
      </c>
      <c r="L320" s="413"/>
      <c r="M320" s="413"/>
      <c r="N320" s="517"/>
    </row>
    <row r="321" spans="1:14" x14ac:dyDescent="0.25">
      <c r="N321" s="1"/>
    </row>
    <row r="322" spans="1:14" ht="15" customHeight="1" x14ac:dyDescent="0.25">
      <c r="A322" s="417">
        <f>A297+1</f>
        <v>26</v>
      </c>
      <c r="B322" s="418"/>
      <c r="C322" s="461" t="s">
        <v>57</v>
      </c>
      <c r="D322" s="461"/>
      <c r="E322" s="438" t="s">
        <v>1772</v>
      </c>
      <c r="F322" s="420" t="s">
        <v>1130</v>
      </c>
      <c r="G322" s="420" t="s">
        <v>1131</v>
      </c>
      <c r="H322" s="34" t="s">
        <v>582</v>
      </c>
      <c r="I322" s="34">
        <v>1</v>
      </c>
      <c r="J322" s="109" t="str">
        <f>IF((IF(OR((H322&amp;"."&amp;I322)=$R$8,(H322&amp;"."&amp;I322)=$S$8,(H322&amp;"."&amp;I322)=$T$8,(H322&amp;"."&amp;I322)=$U$8,(H322&amp;"."&amp;I322)=$V$8,(H322&amp;"."&amp;I322)=$W$8),1,0))=1,"EKSTREM",IF((IF(OR((H322&amp;"."&amp;I322)=$R$9,(H322&amp;"."&amp;I322)=$S$9,(H322&amp;"."&amp;I322)=$T$9,(H322&amp;"."&amp;I322)=$U$9,(H322&amp;"."&amp;I322)=$V$9,(H322&amp;"."&amp;I322)=$W$9,(H322&amp;"."&amp;I322)=$X$9),1,0))=1,"TINGGI",IF((IF(OR((H322&amp;"."&amp;I322)=$R$10,(H322&amp;"."&amp;I322)=$S$10,(H322&amp;"."&amp;I322)=$T$10,(H322&amp;"."&amp;I322)=$U$10,(H322&amp;"."&amp;I322)=$V$10,(H322&amp;"."&amp;I322)=$W$10),1,0))=1,"MODERAT",IF((IF(OR((H322&amp;"."&amp;I322)=$R$11,(H322&amp;"."&amp;I322)=$S$11,(H322&amp;"."&amp;I322)=$T$11,(H322&amp;"."&amp;I322)=$U$11,(H322&amp;"."&amp;I322)=$V$11,(H322&amp;"."&amp;I322)=$W$11),1,0))=1,"RENDAH","-"))))</f>
        <v>RENDAH</v>
      </c>
      <c r="K322" s="50"/>
      <c r="L322" s="413" t="s">
        <v>1132</v>
      </c>
      <c r="M322" s="413" t="s">
        <v>1133</v>
      </c>
      <c r="N322" s="517"/>
    </row>
    <row r="323" spans="1:14" ht="15" customHeight="1" x14ac:dyDescent="0.25">
      <c r="A323" s="417"/>
      <c r="B323" s="418"/>
      <c r="C323" s="446" t="s">
        <v>526</v>
      </c>
      <c r="D323" s="446"/>
      <c r="E323" s="438"/>
      <c r="F323" s="420"/>
      <c r="G323" s="420"/>
      <c r="H323" s="401"/>
      <c r="I323" s="401"/>
      <c r="J323" s="401"/>
      <c r="K323" s="121">
        <f>IF(AND(ISBLANK('Isian Prodi'!H134),ISBLANK('Isian Prodi'!I134),ISBLANK('Isian Prodi'!J134)),'Isian Prodi'!E134,'Isian Prodi'!K134)</f>
        <v>0</v>
      </c>
      <c r="L323" s="413"/>
      <c r="M323" s="413"/>
      <c r="N323" s="517"/>
    </row>
    <row r="324" spans="1:14" ht="15" customHeight="1" x14ac:dyDescent="0.25">
      <c r="A324" s="417"/>
      <c r="B324" s="418"/>
      <c r="C324" s="446" t="s">
        <v>527</v>
      </c>
      <c r="D324" s="446"/>
      <c r="E324" s="438"/>
      <c r="F324" s="420"/>
      <c r="G324" s="420"/>
      <c r="H324" s="402"/>
      <c r="I324" s="402"/>
      <c r="J324" s="402"/>
      <c r="K324" s="121">
        <f>IF(ISBLANK('Isian Prodi'!G60),'Isian Prodi'!C60,'Isian Prodi'!G60)</f>
        <v>0</v>
      </c>
      <c r="L324" s="413"/>
      <c r="M324" s="413"/>
      <c r="N324" s="517"/>
    </row>
    <row r="325" spans="1:14" ht="15" customHeight="1" x14ac:dyDescent="0.25">
      <c r="A325" s="417"/>
      <c r="B325" s="418"/>
      <c r="C325" s="446" t="s">
        <v>528</v>
      </c>
      <c r="D325" s="446"/>
      <c r="E325" s="438"/>
      <c r="F325" s="420"/>
      <c r="G325" s="420"/>
      <c r="H325" s="403"/>
      <c r="I325" s="403"/>
      <c r="J325" s="403"/>
      <c r="K325" s="125">
        <f>IF(K324&gt;0,K323/K324,0)</f>
        <v>0</v>
      </c>
      <c r="L325" s="413"/>
      <c r="M325" s="413"/>
      <c r="N325" s="517"/>
    </row>
    <row r="326" spans="1:14" ht="15" hidden="1" customHeight="1" x14ac:dyDescent="0.25">
      <c r="A326" s="417"/>
      <c r="B326" s="418"/>
      <c r="C326" s="52" t="s">
        <v>384</v>
      </c>
      <c r="D326" s="52">
        <v>1</v>
      </c>
      <c r="E326" s="438"/>
      <c r="F326" s="420"/>
      <c r="G326" s="420"/>
      <c r="H326" s="73"/>
      <c r="I326" s="73"/>
      <c r="J326" s="73"/>
      <c r="K326" s="119"/>
      <c r="L326" s="413"/>
      <c r="M326" s="413"/>
      <c r="N326" s="517"/>
    </row>
    <row r="327" spans="1:14" x14ac:dyDescent="0.25">
      <c r="A327" s="417"/>
      <c r="B327" s="418"/>
      <c r="C327" s="419" t="s">
        <v>6</v>
      </c>
      <c r="D327" s="419"/>
      <c r="E327" s="419"/>
      <c r="F327" s="419"/>
      <c r="G327" s="64"/>
      <c r="H327" s="64"/>
      <c r="I327" s="64"/>
      <c r="J327" s="64"/>
      <c r="K327" s="126">
        <f>IF(K325&gt;=D326,4,2+2/D326*K325)</f>
        <v>2</v>
      </c>
      <c r="L327" s="413"/>
      <c r="M327" s="413"/>
      <c r="N327" s="517"/>
    </row>
    <row r="328" spans="1:14" x14ac:dyDescent="0.25">
      <c r="A328" s="67"/>
      <c r="B328" s="68"/>
      <c r="C328" s="43"/>
      <c r="D328" s="43"/>
      <c r="E328" s="43"/>
      <c r="F328" s="43"/>
      <c r="G328" s="43"/>
      <c r="H328" s="43"/>
      <c r="I328" s="43"/>
      <c r="J328" s="43"/>
      <c r="K328" s="79"/>
      <c r="L328" s="8"/>
      <c r="M328" s="8"/>
      <c r="N328" s="8"/>
    </row>
    <row r="329" spans="1:14" ht="15" hidden="1" customHeight="1" x14ac:dyDescent="0.25">
      <c r="A329" s="417"/>
      <c r="B329" s="445"/>
      <c r="C329" s="395" t="s">
        <v>890</v>
      </c>
      <c r="D329" s="395"/>
      <c r="E329" s="382" t="s">
        <v>974</v>
      </c>
      <c r="F329" s="420" t="s">
        <v>877</v>
      </c>
      <c r="G329" s="414" t="s">
        <v>878</v>
      </c>
      <c r="H329" s="34" t="s">
        <v>582</v>
      </c>
      <c r="I329" s="34">
        <v>1</v>
      </c>
      <c r="J329" s="35" t="str">
        <f>IF((IF(OR((H329&amp;"."&amp;I329)=$R$8,(H329&amp;"."&amp;I329)=$S$8,(H329&amp;"."&amp;I329)=$T$8,(H329&amp;"."&amp;I329)=$U$8,(H329&amp;"."&amp;I329)=$V$8,(H329&amp;"."&amp;I329)=$W$8),1,0))=1,"EKSTREM",IF((IF(OR((H329&amp;"."&amp;I329)=$R$9,(H329&amp;"."&amp;I329)=$S$9,(H329&amp;"."&amp;I329)=$T$9,(H329&amp;"."&amp;I329)=$U$9,(H329&amp;"."&amp;I329)=$V$9,(H329&amp;"."&amp;I329)=$W$9,(H329&amp;"."&amp;I329)=$X$9),1,0))=1,"TINGGI",IF((IF(OR((H329&amp;"."&amp;I329)=$R$10,(H329&amp;"."&amp;I329)=$S$10,(H329&amp;"."&amp;I329)=$T$10,(H329&amp;"."&amp;I329)=$U$10,(H329&amp;"."&amp;I329)=$V$10,(H329&amp;"."&amp;I329)=$W$10),1,0))=1,"MODERAT",IF((IF(OR((H329&amp;"."&amp;I329)=$R$11,(H329&amp;"."&amp;I329)=$S$11,(H329&amp;"."&amp;I329)=$T$11,(H329&amp;"."&amp;I329)=$U$11,(H329&amp;"."&amp;I329)=$V$11,(H329&amp;"."&amp;I329)=$W$11),1,0))=1,"RENDAH","-"))))</f>
        <v>RENDAH</v>
      </c>
      <c r="K329" s="50"/>
      <c r="L329" s="413" t="s">
        <v>1022</v>
      </c>
      <c r="M329" s="413" t="s">
        <v>1023</v>
      </c>
      <c r="N329" s="413"/>
    </row>
    <row r="330" spans="1:14" ht="30" hidden="1" customHeight="1" x14ac:dyDescent="0.25">
      <c r="A330" s="417"/>
      <c r="B330" s="445"/>
      <c r="C330" s="380" t="s">
        <v>891</v>
      </c>
      <c r="D330" s="381"/>
      <c r="E330" s="382"/>
      <c r="F330" s="420"/>
      <c r="G330" s="415"/>
      <c r="H330" s="401"/>
      <c r="I330" s="401"/>
      <c r="J330" s="401"/>
      <c r="K330" s="65">
        <f>'Isian Prodi'!E139</f>
        <v>0</v>
      </c>
      <c r="L330" s="413"/>
      <c r="M330" s="413"/>
      <c r="N330" s="413"/>
    </row>
    <row r="331" spans="1:14" hidden="1" x14ac:dyDescent="0.25">
      <c r="A331" s="417"/>
      <c r="B331" s="445"/>
      <c r="C331" s="419" t="s">
        <v>171</v>
      </c>
      <c r="D331" s="419"/>
      <c r="E331" s="382"/>
      <c r="F331" s="420"/>
      <c r="G331" s="415"/>
      <c r="H331" s="402"/>
      <c r="I331" s="402"/>
      <c r="J331" s="402"/>
      <c r="K331" s="65">
        <f>'Isian Prodi'!C60</f>
        <v>0</v>
      </c>
      <c r="L331" s="413"/>
      <c r="M331" s="413"/>
      <c r="N331" s="413"/>
    </row>
    <row r="332" spans="1:14" ht="30.75" hidden="1" customHeight="1" x14ac:dyDescent="0.25">
      <c r="A332" s="417"/>
      <c r="B332" s="445"/>
      <c r="C332" s="380" t="s">
        <v>892</v>
      </c>
      <c r="D332" s="381"/>
      <c r="E332" s="382"/>
      <c r="F332" s="420"/>
      <c r="G332" s="416"/>
      <c r="H332" s="403"/>
      <c r="I332" s="403"/>
      <c r="J332" s="403"/>
      <c r="K332" s="65">
        <f>IF(K331&gt;0,K330/K331,0)</f>
        <v>0</v>
      </c>
      <c r="L332" s="413"/>
      <c r="M332" s="413"/>
      <c r="N332" s="413"/>
    </row>
    <row r="333" spans="1:14" hidden="1" x14ac:dyDescent="0.25">
      <c r="A333" s="417"/>
      <c r="B333" s="445"/>
      <c r="C333" s="434" t="s">
        <v>6</v>
      </c>
      <c r="D333" s="482"/>
      <c r="E333" s="482"/>
      <c r="F333" s="482"/>
      <c r="G333" s="482"/>
      <c r="H333" s="482"/>
      <c r="I333" s="482"/>
      <c r="J333" s="435"/>
      <c r="K333" s="65">
        <f>IF(K332&gt;=1,4,2+(2*K332))</f>
        <v>2</v>
      </c>
      <c r="L333" s="413"/>
      <c r="M333" s="413"/>
      <c r="N333" s="413"/>
    </row>
    <row r="334" spans="1:14" hidden="1" x14ac:dyDescent="0.25">
      <c r="N334" s="1"/>
    </row>
    <row r="335" spans="1:14" ht="30" customHeight="1" x14ac:dyDescent="0.25">
      <c r="A335" s="417">
        <v>27</v>
      </c>
      <c r="B335" s="418"/>
      <c r="C335" s="428" t="s">
        <v>58</v>
      </c>
      <c r="D335" s="428"/>
      <c r="E335" s="382" t="s">
        <v>975</v>
      </c>
      <c r="F335" s="420" t="s">
        <v>1130</v>
      </c>
      <c r="G335" s="420" t="s">
        <v>1131</v>
      </c>
      <c r="H335" s="34" t="s">
        <v>582</v>
      </c>
      <c r="I335" s="34">
        <v>1</v>
      </c>
      <c r="J335" s="109" t="str">
        <f>IF((IF(OR((H335&amp;"."&amp;I335)=$R$8,(H335&amp;"."&amp;I335)=$S$8,(H335&amp;"."&amp;I335)=$T$8,(H335&amp;"."&amp;I335)=$U$8,(H335&amp;"."&amp;I335)=$V$8,(H335&amp;"."&amp;I335)=$W$8),1,0))=1,"EKSTREM",IF((IF(OR((H335&amp;"."&amp;I335)=$R$9,(H335&amp;"."&amp;I335)=$S$9,(H335&amp;"."&amp;I335)=$T$9,(H335&amp;"."&amp;I335)=$U$9,(H335&amp;"."&amp;I335)=$V$9,(H335&amp;"."&amp;I335)=$W$9,(H335&amp;"."&amp;I335)=$X$9),1,0))=1,"TINGGI",IF((IF(OR((H335&amp;"."&amp;I335)=$R$10,(H335&amp;"."&amp;I335)=$S$10,(H335&amp;"."&amp;I335)=$T$10,(H335&amp;"."&amp;I335)=$U$10,(H335&amp;"."&amp;I335)=$V$10,(H335&amp;"."&amp;I335)=$W$10),1,0))=1,"MODERAT",IF((IF(OR((H335&amp;"."&amp;I335)=$R$11,(H335&amp;"."&amp;I335)=$S$11,(H335&amp;"."&amp;I335)=$T$11,(H335&amp;"."&amp;I335)=$U$11,(H335&amp;"."&amp;I335)=$V$11,(H335&amp;"."&amp;I335)=$W$11),1,0))=1,"RENDAH","-"))))</f>
        <v>RENDAH</v>
      </c>
      <c r="K335" s="50"/>
      <c r="L335" s="413" t="s">
        <v>1132</v>
      </c>
      <c r="M335" s="413" t="s">
        <v>1133</v>
      </c>
      <c r="N335" s="517"/>
    </row>
    <row r="336" spans="1:14" ht="30" customHeight="1" x14ac:dyDescent="0.25">
      <c r="A336" s="417"/>
      <c r="B336" s="418"/>
      <c r="C336" s="422" t="s">
        <v>529</v>
      </c>
      <c r="D336" s="422"/>
      <c r="E336" s="382"/>
      <c r="F336" s="420"/>
      <c r="G336" s="420"/>
      <c r="H336" s="401"/>
      <c r="I336" s="401"/>
      <c r="J336" s="401"/>
      <c r="K336" s="121">
        <f>IF(AND(ISBLANK('Isian Prodi'!H145),ISBLANK('Isian Prodi'!I145),ISBLANK('Isian Prodi'!J145)),'Isian Prodi'!E145,'Isian Prodi'!K145)</f>
        <v>0</v>
      </c>
      <c r="L336" s="413"/>
      <c r="M336" s="413"/>
      <c r="N336" s="517"/>
    </row>
    <row r="337" spans="1:14" ht="50.1" customHeight="1" x14ac:dyDescent="0.25">
      <c r="A337" s="417"/>
      <c r="B337" s="418"/>
      <c r="C337" s="422" t="s">
        <v>530</v>
      </c>
      <c r="D337" s="422"/>
      <c r="E337" s="382"/>
      <c r="F337" s="420"/>
      <c r="G337" s="420"/>
      <c r="H337" s="402"/>
      <c r="I337" s="402"/>
      <c r="J337" s="402"/>
      <c r="K337" s="121">
        <f>IF(AND(ISBLANK('Isian Prodi'!H146),ISBLANK('Isian Prodi'!I146),ISBLANK('Isian Prodi'!J146)),'Isian Prodi'!E146,'Isian Prodi'!K146)</f>
        <v>0</v>
      </c>
      <c r="L337" s="413"/>
      <c r="M337" s="413"/>
      <c r="N337" s="517"/>
    </row>
    <row r="338" spans="1:14" ht="50.1" customHeight="1" x14ac:dyDescent="0.25">
      <c r="A338" s="417"/>
      <c r="B338" s="418"/>
      <c r="C338" s="422" t="s">
        <v>531</v>
      </c>
      <c r="D338" s="422"/>
      <c r="E338" s="382"/>
      <c r="F338" s="420"/>
      <c r="G338" s="420"/>
      <c r="H338" s="402"/>
      <c r="I338" s="402"/>
      <c r="J338" s="402"/>
      <c r="K338" s="121">
        <f>IF(AND(ISBLANK('Isian Prodi'!H147),ISBLANK('Isian Prodi'!I147),ISBLANK('Isian Prodi'!J147)),'Isian Prodi'!E147,'Isian Prodi'!K147)</f>
        <v>0</v>
      </c>
      <c r="L338" s="413"/>
      <c r="M338" s="413"/>
      <c r="N338" s="517"/>
    </row>
    <row r="339" spans="1:14" ht="30" customHeight="1" x14ac:dyDescent="0.25">
      <c r="A339" s="417"/>
      <c r="B339" s="418"/>
      <c r="C339" s="422" t="s">
        <v>532</v>
      </c>
      <c r="D339" s="422"/>
      <c r="E339" s="382"/>
      <c r="F339" s="420"/>
      <c r="G339" s="420"/>
      <c r="H339" s="402"/>
      <c r="I339" s="402"/>
      <c r="J339" s="402"/>
      <c r="K339" s="121">
        <f>IF(AND(ISBLANK('Isian Prodi'!H148),ISBLANK('Isian Prodi'!I148),ISBLANK('Isian Prodi'!J148)),'Isian Prodi'!E148,'Isian Prodi'!K148)</f>
        <v>0</v>
      </c>
      <c r="L339" s="413"/>
      <c r="M339" s="413"/>
      <c r="N339" s="517"/>
    </row>
    <row r="340" spans="1:14" ht="50.1" customHeight="1" x14ac:dyDescent="0.25">
      <c r="A340" s="417"/>
      <c r="B340" s="418"/>
      <c r="C340" s="446" t="s">
        <v>527</v>
      </c>
      <c r="D340" s="446"/>
      <c r="E340" s="382"/>
      <c r="F340" s="420"/>
      <c r="G340" s="420"/>
      <c r="H340" s="402"/>
      <c r="I340" s="402"/>
      <c r="J340" s="402"/>
      <c r="K340" s="121">
        <f>IF(ISBLANK('Isian Prodi'!G60),'Isian Prodi'!C60,'Isian Prodi'!G60)</f>
        <v>0</v>
      </c>
      <c r="L340" s="413"/>
      <c r="M340" s="413"/>
      <c r="N340" s="517"/>
    </row>
    <row r="341" spans="1:14" x14ac:dyDescent="0.25">
      <c r="A341" s="417"/>
      <c r="B341" s="418"/>
      <c r="C341" s="422" t="s">
        <v>533</v>
      </c>
      <c r="D341" s="422"/>
      <c r="E341" s="382"/>
      <c r="F341" s="420"/>
      <c r="G341" s="420"/>
      <c r="H341" s="403"/>
      <c r="I341" s="403"/>
      <c r="J341" s="403"/>
      <c r="K341" s="122">
        <f>IF(K340&gt;0,(2*(K336+K337+K338)+K339)/K340,0)</f>
        <v>0</v>
      </c>
      <c r="L341" s="413"/>
      <c r="M341" s="413"/>
      <c r="N341" s="517"/>
    </row>
    <row r="342" spans="1:14" ht="15" hidden="1" customHeight="1" x14ac:dyDescent="0.25">
      <c r="A342" s="417"/>
      <c r="B342" s="418"/>
      <c r="C342" s="52" t="s">
        <v>105</v>
      </c>
      <c r="D342" s="72">
        <v>2</v>
      </c>
      <c r="E342" s="382"/>
      <c r="F342" s="420"/>
      <c r="G342" s="420"/>
      <c r="H342" s="73"/>
      <c r="I342" s="73"/>
      <c r="J342" s="73"/>
      <c r="K342" s="119"/>
      <c r="L342" s="413"/>
      <c r="M342" s="413"/>
      <c r="N342" s="517"/>
    </row>
    <row r="343" spans="1:14" ht="15" customHeight="1" x14ac:dyDescent="0.25">
      <c r="A343" s="417"/>
      <c r="B343" s="418"/>
      <c r="C343" s="419" t="s">
        <v>6</v>
      </c>
      <c r="D343" s="419"/>
      <c r="E343" s="419"/>
      <c r="F343" s="419"/>
      <c r="G343" s="64"/>
      <c r="H343" s="64"/>
      <c r="I343" s="64"/>
      <c r="J343" s="64"/>
      <c r="K343" s="111">
        <f>IF(K341&gt;=D342,4,2+2/D342*K341)</f>
        <v>2</v>
      </c>
      <c r="L343" s="413"/>
      <c r="M343" s="413"/>
      <c r="N343" s="517"/>
    </row>
    <row r="344" spans="1:14" ht="15" customHeight="1" x14ac:dyDescent="0.25">
      <c r="N344" s="1"/>
    </row>
    <row r="345" spans="1:14" ht="30.75" customHeight="1" x14ac:dyDescent="0.25">
      <c r="A345" s="417">
        <f>A335+1</f>
        <v>28</v>
      </c>
      <c r="B345" s="421" t="s">
        <v>667</v>
      </c>
      <c r="C345" s="385" t="s">
        <v>666</v>
      </c>
      <c r="D345" s="386"/>
      <c r="E345" s="382" t="s">
        <v>1744</v>
      </c>
      <c r="F345" s="420" t="s">
        <v>1130</v>
      </c>
      <c r="G345" s="420" t="s">
        <v>1131</v>
      </c>
      <c r="H345" s="34" t="s">
        <v>582</v>
      </c>
      <c r="I345" s="34">
        <v>1</v>
      </c>
      <c r="J345" s="109" t="str">
        <f>IF((IF(OR((H345&amp;"."&amp;I345)=$R$8,(H345&amp;"."&amp;I345)=$S$8,(H345&amp;"."&amp;I345)=$T$8,(H345&amp;"."&amp;I345)=$U$8,(H345&amp;"."&amp;I345)=$V$8,(H345&amp;"."&amp;I345)=$W$8),1,0))=1,"EKSTREM",IF((IF(OR((H345&amp;"."&amp;I345)=$R$9,(H345&amp;"."&amp;I345)=$S$9,(H345&amp;"."&amp;I345)=$T$9,(H345&amp;"."&amp;I345)=$U$9,(H345&amp;"."&amp;I345)=$V$9,(H345&amp;"."&amp;I345)=$W$9,(H345&amp;"."&amp;I345)=$X$9),1,0))=1,"TINGGI",IF((IF(OR((H345&amp;"."&amp;I345)=$R$10,(H345&amp;"."&amp;I345)=$S$10,(H345&amp;"."&amp;I345)=$T$10,(H345&amp;"."&amp;I345)=$U$10,(H345&amp;"."&amp;I345)=$V$10,(H345&amp;"."&amp;I345)=$W$10),1,0))=1,"MODERAT",IF((IF(OR((H345&amp;"."&amp;I345)=$R$11,(H345&amp;"."&amp;I345)=$S$11,(H345&amp;"."&amp;I345)=$T$11,(H345&amp;"."&amp;I345)=$U$11,(H345&amp;"."&amp;I345)=$V$11,(H345&amp;"."&amp;I345)=$W$11),1,0))=1,"RENDAH","-"))))</f>
        <v>RENDAH</v>
      </c>
      <c r="K345" s="36">
        <v>0</v>
      </c>
      <c r="L345" s="413" t="s">
        <v>1132</v>
      </c>
      <c r="M345" s="413" t="s">
        <v>1133</v>
      </c>
      <c r="N345" s="517"/>
    </row>
    <row r="346" spans="1:14" ht="15" customHeight="1" x14ac:dyDescent="0.25">
      <c r="A346" s="417"/>
      <c r="B346" s="421"/>
      <c r="C346" s="380" t="s">
        <v>525</v>
      </c>
      <c r="D346" s="381"/>
      <c r="E346" s="382"/>
      <c r="F346" s="420"/>
      <c r="G346" s="420"/>
      <c r="H346" s="401"/>
      <c r="I346" s="401"/>
      <c r="J346" s="401"/>
      <c r="K346" s="127">
        <f>AVERAGE(K202,K208,K214,K222,K231,K237,K241,K247,K253)</f>
        <v>1.6666666666666667</v>
      </c>
      <c r="L346" s="413"/>
      <c r="M346" s="413"/>
      <c r="N346" s="517"/>
    </row>
    <row r="347" spans="1:14" ht="45" x14ac:dyDescent="0.25">
      <c r="A347" s="417"/>
      <c r="B347" s="421"/>
      <c r="C347" s="37">
        <v>4</v>
      </c>
      <c r="D347" s="41" t="s">
        <v>176</v>
      </c>
      <c r="E347" s="382"/>
      <c r="F347" s="420"/>
      <c r="G347" s="420"/>
      <c r="H347" s="402"/>
      <c r="I347" s="402"/>
      <c r="J347" s="402"/>
      <c r="K347" s="401"/>
      <c r="L347" s="413"/>
      <c r="M347" s="413"/>
      <c r="N347" s="517"/>
    </row>
    <row r="348" spans="1:14" ht="45" x14ac:dyDescent="0.25">
      <c r="A348" s="417"/>
      <c r="B348" s="421"/>
      <c r="C348" s="37">
        <v>3</v>
      </c>
      <c r="D348" s="41" t="s">
        <v>177</v>
      </c>
      <c r="E348" s="382"/>
      <c r="F348" s="420"/>
      <c r="G348" s="420"/>
      <c r="H348" s="402"/>
      <c r="I348" s="402"/>
      <c r="J348" s="402"/>
      <c r="K348" s="402"/>
      <c r="L348" s="413"/>
      <c r="M348" s="413"/>
      <c r="N348" s="517"/>
    </row>
    <row r="349" spans="1:14" ht="30" x14ac:dyDescent="0.25">
      <c r="A349" s="417"/>
      <c r="B349" s="421"/>
      <c r="C349" s="37">
        <v>2</v>
      </c>
      <c r="D349" s="41" t="s">
        <v>178</v>
      </c>
      <c r="E349" s="382"/>
      <c r="F349" s="420"/>
      <c r="G349" s="420"/>
      <c r="H349" s="402"/>
      <c r="I349" s="402"/>
      <c r="J349" s="402"/>
      <c r="K349" s="402"/>
      <c r="L349" s="413"/>
      <c r="M349" s="413"/>
      <c r="N349" s="517"/>
    </row>
    <row r="350" spans="1:14" ht="45" x14ac:dyDescent="0.25">
      <c r="A350" s="417"/>
      <c r="B350" s="421"/>
      <c r="C350" s="37">
        <v>1</v>
      </c>
      <c r="D350" s="41" t="s">
        <v>179</v>
      </c>
      <c r="E350" s="382"/>
      <c r="F350" s="420"/>
      <c r="G350" s="420"/>
      <c r="H350" s="402"/>
      <c r="I350" s="402"/>
      <c r="J350" s="402"/>
      <c r="K350" s="402"/>
      <c r="L350" s="413"/>
      <c r="M350" s="413"/>
      <c r="N350" s="517"/>
    </row>
    <row r="351" spans="1:14" ht="30" x14ac:dyDescent="0.25">
      <c r="A351" s="417"/>
      <c r="B351" s="421"/>
      <c r="C351" s="37">
        <v>0</v>
      </c>
      <c r="D351" s="41" t="s">
        <v>180</v>
      </c>
      <c r="E351" s="382"/>
      <c r="F351" s="420"/>
      <c r="G351" s="420"/>
      <c r="H351" s="403"/>
      <c r="I351" s="403"/>
      <c r="J351" s="403"/>
      <c r="K351" s="403"/>
      <c r="L351" s="413"/>
      <c r="M351" s="413"/>
      <c r="N351" s="517"/>
    </row>
    <row r="352" spans="1:14" x14ac:dyDescent="0.25">
      <c r="A352" s="417"/>
      <c r="B352" s="421"/>
      <c r="C352" s="419" t="s">
        <v>6</v>
      </c>
      <c r="D352" s="419"/>
      <c r="E352" s="419"/>
      <c r="F352" s="419"/>
      <c r="G352" s="64"/>
      <c r="H352" s="64"/>
      <c r="I352" s="64"/>
      <c r="J352" s="64"/>
      <c r="K352" s="110">
        <f>IF(OR(ISBLANK(K345),K345&lt;0,K345&gt;4),0,IF(K346&gt;=3.5,4,K345))</f>
        <v>0</v>
      </c>
      <c r="L352" s="413"/>
      <c r="M352" s="413"/>
      <c r="N352" s="517"/>
    </row>
    <row r="353" spans="1:14" x14ac:dyDescent="0.25">
      <c r="N353" s="1"/>
    </row>
    <row r="354" spans="1:14" ht="105" customHeight="1" x14ac:dyDescent="0.25">
      <c r="A354" s="448">
        <f>A345+1</f>
        <v>29</v>
      </c>
      <c r="B354" s="423" t="s">
        <v>668</v>
      </c>
      <c r="C354" s="395" t="s">
        <v>669</v>
      </c>
      <c r="D354" s="395"/>
      <c r="E354" s="382" t="s">
        <v>1745</v>
      </c>
      <c r="F354" s="414" t="s">
        <v>1130</v>
      </c>
      <c r="G354" s="414" t="s">
        <v>1131</v>
      </c>
      <c r="H354" s="34" t="s">
        <v>582</v>
      </c>
      <c r="I354" s="34">
        <v>1</v>
      </c>
      <c r="J354" s="109" t="str">
        <f>IF((IF(OR((H354&amp;"."&amp;I354)=$R$8,(H354&amp;"."&amp;I354)=$S$8,(H354&amp;"."&amp;I354)=$T$8,(H354&amp;"."&amp;I354)=$U$8,(H354&amp;"."&amp;I354)=$V$8,(H354&amp;"."&amp;I354)=$W$8),1,0))=1,"EKSTREM",IF((IF(OR((H354&amp;"."&amp;I354)=$R$9,(H354&amp;"."&amp;I354)=$S$9,(H354&amp;"."&amp;I354)=$T$9,(H354&amp;"."&amp;I354)=$U$9,(H354&amp;"."&amp;I354)=$V$9,(H354&amp;"."&amp;I354)=$W$9,(H354&amp;"."&amp;I354)=$X$9),1,0))=1,"TINGGI",IF((IF(OR((H354&amp;"."&amp;I354)=$R$10,(H354&amp;"."&amp;I354)=$S$10,(H354&amp;"."&amp;I354)=$T$10,(H354&amp;"."&amp;I354)=$U$10,(H354&amp;"."&amp;I354)=$V$10,(H354&amp;"."&amp;I354)=$W$10),1,0))=1,"MODERAT",IF((IF(OR((H354&amp;"."&amp;I354)=$R$11,(H354&amp;"."&amp;I354)=$S$11,(H354&amp;"."&amp;I354)=$T$11,(H354&amp;"."&amp;I354)=$U$11,(H354&amp;"."&amp;I354)=$V$11,(H354&amp;"."&amp;I354)=$W$11),1,0))=1,"RENDAH","-"))))</f>
        <v>RENDAH</v>
      </c>
      <c r="K354" s="36">
        <v>0</v>
      </c>
      <c r="L354" s="440" t="s">
        <v>1132</v>
      </c>
      <c r="M354" s="440" t="s">
        <v>1133</v>
      </c>
      <c r="N354" s="514"/>
    </row>
    <row r="355" spans="1:14" ht="60" x14ac:dyDescent="0.25">
      <c r="A355" s="449"/>
      <c r="B355" s="424"/>
      <c r="C355" s="37">
        <v>4</v>
      </c>
      <c r="D355" s="41" t="s">
        <v>670</v>
      </c>
      <c r="E355" s="382"/>
      <c r="F355" s="415"/>
      <c r="G355" s="415"/>
      <c r="H355" s="401"/>
      <c r="I355" s="401"/>
      <c r="J355" s="401"/>
      <c r="K355" s="401"/>
      <c r="L355" s="441"/>
      <c r="M355" s="441"/>
      <c r="N355" s="515"/>
    </row>
    <row r="356" spans="1:14" ht="60" x14ac:dyDescent="0.25">
      <c r="A356" s="449"/>
      <c r="B356" s="424"/>
      <c r="C356" s="37">
        <v>3</v>
      </c>
      <c r="D356" s="41" t="s">
        <v>671</v>
      </c>
      <c r="E356" s="382"/>
      <c r="F356" s="415"/>
      <c r="G356" s="415"/>
      <c r="H356" s="402"/>
      <c r="I356" s="402"/>
      <c r="J356" s="402"/>
      <c r="K356" s="402"/>
      <c r="L356" s="441"/>
      <c r="M356" s="441"/>
      <c r="N356" s="515"/>
    </row>
    <row r="357" spans="1:14" ht="45" x14ac:dyDescent="0.25">
      <c r="A357" s="449"/>
      <c r="B357" s="424"/>
      <c r="C357" s="37">
        <v>2</v>
      </c>
      <c r="D357" s="41" t="s">
        <v>672</v>
      </c>
      <c r="E357" s="382"/>
      <c r="F357" s="415"/>
      <c r="G357" s="415"/>
      <c r="H357" s="402"/>
      <c r="I357" s="402"/>
      <c r="J357" s="402"/>
      <c r="K357" s="402"/>
      <c r="L357" s="441"/>
      <c r="M357" s="441"/>
      <c r="N357" s="515"/>
    </row>
    <row r="358" spans="1:14" ht="45" x14ac:dyDescent="0.25">
      <c r="A358" s="449"/>
      <c r="B358" s="424"/>
      <c r="C358" s="37">
        <v>1</v>
      </c>
      <c r="D358" s="41" t="s">
        <v>673</v>
      </c>
      <c r="E358" s="382"/>
      <c r="F358" s="415"/>
      <c r="G358" s="415"/>
      <c r="H358" s="402"/>
      <c r="I358" s="402"/>
      <c r="J358" s="402"/>
      <c r="K358" s="402"/>
      <c r="L358" s="441"/>
      <c r="M358" s="441"/>
      <c r="N358" s="515"/>
    </row>
    <row r="359" spans="1:14" ht="45" x14ac:dyDescent="0.25">
      <c r="A359" s="449"/>
      <c r="B359" s="424"/>
      <c r="C359" s="37">
        <v>0</v>
      </c>
      <c r="D359" s="41" t="s">
        <v>674</v>
      </c>
      <c r="E359" s="382"/>
      <c r="F359" s="415"/>
      <c r="G359" s="415"/>
      <c r="H359" s="402"/>
      <c r="I359" s="402"/>
      <c r="J359" s="402"/>
      <c r="K359" s="403"/>
      <c r="L359" s="441"/>
      <c r="M359" s="441"/>
      <c r="N359" s="515"/>
    </row>
    <row r="360" spans="1:14" ht="30.75" customHeight="1" x14ac:dyDescent="0.25">
      <c r="A360" s="449"/>
      <c r="B360" s="424"/>
      <c r="C360" s="395" t="s">
        <v>675</v>
      </c>
      <c r="D360" s="395"/>
      <c r="E360" s="382" t="s">
        <v>1780</v>
      </c>
      <c r="F360" s="415"/>
      <c r="G360" s="415"/>
      <c r="H360" s="402"/>
      <c r="I360" s="402"/>
      <c r="J360" s="402"/>
      <c r="K360" s="36">
        <v>0</v>
      </c>
      <c r="L360" s="441"/>
      <c r="M360" s="441"/>
      <c r="N360" s="515"/>
    </row>
    <row r="361" spans="1:14" ht="90" x14ac:dyDescent="0.25">
      <c r="A361" s="449"/>
      <c r="B361" s="424"/>
      <c r="C361" s="37">
        <v>4</v>
      </c>
      <c r="D361" s="41" t="s">
        <v>676</v>
      </c>
      <c r="E361" s="382"/>
      <c r="F361" s="415"/>
      <c r="G361" s="415"/>
      <c r="H361" s="402"/>
      <c r="I361" s="402"/>
      <c r="J361" s="402"/>
      <c r="K361" s="401"/>
      <c r="L361" s="441"/>
      <c r="M361" s="441"/>
      <c r="N361" s="515"/>
    </row>
    <row r="362" spans="1:14" ht="90" x14ac:dyDescent="0.25">
      <c r="A362" s="449"/>
      <c r="B362" s="424"/>
      <c r="C362" s="37">
        <v>3</v>
      </c>
      <c r="D362" s="41" t="s">
        <v>677</v>
      </c>
      <c r="E362" s="382"/>
      <c r="F362" s="415"/>
      <c r="G362" s="415"/>
      <c r="H362" s="402"/>
      <c r="I362" s="402"/>
      <c r="J362" s="402"/>
      <c r="K362" s="402"/>
      <c r="L362" s="441"/>
      <c r="M362" s="441"/>
      <c r="N362" s="515"/>
    </row>
    <row r="363" spans="1:14" ht="45" x14ac:dyDescent="0.25">
      <c r="A363" s="449"/>
      <c r="B363" s="424"/>
      <c r="C363" s="37">
        <v>2</v>
      </c>
      <c r="D363" s="41" t="s">
        <v>678</v>
      </c>
      <c r="E363" s="382"/>
      <c r="F363" s="415"/>
      <c r="G363" s="415"/>
      <c r="H363" s="402"/>
      <c r="I363" s="402"/>
      <c r="J363" s="402"/>
      <c r="K363" s="402"/>
      <c r="L363" s="441"/>
      <c r="M363" s="441"/>
      <c r="N363" s="515"/>
    </row>
    <row r="364" spans="1:14" ht="30" x14ac:dyDescent="0.25">
      <c r="A364" s="449"/>
      <c r="B364" s="424"/>
      <c r="C364" s="37">
        <v>1</v>
      </c>
      <c r="D364" s="41" t="s">
        <v>679</v>
      </c>
      <c r="E364" s="382"/>
      <c r="F364" s="415"/>
      <c r="G364" s="415"/>
      <c r="H364" s="402"/>
      <c r="I364" s="402"/>
      <c r="J364" s="402"/>
      <c r="K364" s="402"/>
      <c r="L364" s="441"/>
      <c r="M364" s="441"/>
      <c r="N364" s="515"/>
    </row>
    <row r="365" spans="1:14" x14ac:dyDescent="0.25">
      <c r="A365" s="449"/>
      <c r="B365" s="424"/>
      <c r="C365" s="37">
        <v>0</v>
      </c>
      <c r="D365" s="41" t="s">
        <v>680</v>
      </c>
      <c r="E365" s="382"/>
      <c r="F365" s="416"/>
      <c r="G365" s="416"/>
      <c r="H365" s="403"/>
      <c r="I365" s="403"/>
      <c r="J365" s="403"/>
      <c r="K365" s="403"/>
      <c r="L365" s="441"/>
      <c r="M365" s="441"/>
      <c r="N365" s="515"/>
    </row>
    <row r="366" spans="1:14" x14ac:dyDescent="0.25">
      <c r="A366" s="450"/>
      <c r="B366" s="425"/>
      <c r="C366" s="419" t="s">
        <v>241</v>
      </c>
      <c r="D366" s="419"/>
      <c r="E366" s="419"/>
      <c r="F366" s="419"/>
      <c r="G366" s="64"/>
      <c r="H366" s="64"/>
      <c r="I366" s="64"/>
      <c r="J366" s="64"/>
      <c r="K366" s="110">
        <f>IF(OR(ISBLANK(K354),K354&lt;0,K354&gt;4,ISBLANK(K360),K360&lt;0,K360&gt;4),0,(K354+K360)/2)</f>
        <v>0</v>
      </c>
      <c r="L366" s="442"/>
      <c r="M366" s="442"/>
      <c r="N366" s="516"/>
    </row>
    <row r="367" spans="1:14" x14ac:dyDescent="0.25">
      <c r="N367" s="1"/>
    </row>
    <row r="368" spans="1:14" ht="45" hidden="1" customHeight="1" x14ac:dyDescent="0.25">
      <c r="A368" s="417"/>
      <c r="B368" s="418" t="s">
        <v>181</v>
      </c>
      <c r="C368" s="395" t="s">
        <v>182</v>
      </c>
      <c r="D368" s="395"/>
      <c r="E368" s="382" t="s">
        <v>189</v>
      </c>
      <c r="F368" s="474"/>
      <c r="G368" s="73"/>
      <c r="H368" s="73"/>
      <c r="I368" s="73"/>
      <c r="J368" s="73"/>
      <c r="K368" s="36">
        <v>0</v>
      </c>
      <c r="L368" s="471"/>
      <c r="M368" s="413"/>
      <c r="N368" s="413"/>
    </row>
    <row r="369" spans="1:14" ht="60" hidden="1" x14ac:dyDescent="0.25">
      <c r="A369" s="417"/>
      <c r="B369" s="418"/>
      <c r="C369" s="37">
        <v>4</v>
      </c>
      <c r="D369" s="41" t="s">
        <v>184</v>
      </c>
      <c r="E369" s="382"/>
      <c r="F369" s="474"/>
      <c r="G369" s="73"/>
      <c r="H369" s="73"/>
      <c r="I369" s="73"/>
      <c r="J369" s="73"/>
      <c r="K369" s="50"/>
      <c r="L369" s="471"/>
      <c r="M369" s="413"/>
      <c r="N369" s="413"/>
    </row>
    <row r="370" spans="1:14" ht="60" hidden="1" x14ac:dyDescent="0.25">
      <c r="A370" s="417"/>
      <c r="B370" s="418"/>
      <c r="C370" s="37">
        <v>3</v>
      </c>
      <c r="D370" s="41" t="s">
        <v>185</v>
      </c>
      <c r="E370" s="382"/>
      <c r="F370" s="474"/>
      <c r="G370" s="73"/>
      <c r="H370" s="73"/>
      <c r="I370" s="73"/>
      <c r="J370" s="73"/>
      <c r="K370" s="50"/>
      <c r="L370" s="471"/>
      <c r="M370" s="413"/>
      <c r="N370" s="413"/>
    </row>
    <row r="371" spans="1:14" ht="60" hidden="1" x14ac:dyDescent="0.25">
      <c r="A371" s="417"/>
      <c r="B371" s="418"/>
      <c r="C371" s="37">
        <v>2</v>
      </c>
      <c r="D371" s="41" t="s">
        <v>186</v>
      </c>
      <c r="E371" s="382"/>
      <c r="F371" s="474"/>
      <c r="G371" s="73"/>
      <c r="H371" s="73"/>
      <c r="I371" s="73"/>
      <c r="J371" s="73"/>
      <c r="K371" s="50"/>
      <c r="L371" s="471"/>
      <c r="M371" s="413"/>
      <c r="N371" s="413"/>
    </row>
    <row r="372" spans="1:14" ht="45" hidden="1" x14ac:dyDescent="0.25">
      <c r="A372" s="417"/>
      <c r="B372" s="418"/>
      <c r="C372" s="37">
        <v>1</v>
      </c>
      <c r="D372" s="41" t="s">
        <v>187</v>
      </c>
      <c r="E372" s="382"/>
      <c r="F372" s="474"/>
      <c r="G372" s="73"/>
      <c r="H372" s="73"/>
      <c r="I372" s="73"/>
      <c r="J372" s="73"/>
      <c r="K372" s="50"/>
      <c r="L372" s="471"/>
      <c r="M372" s="413"/>
      <c r="N372" s="413"/>
    </row>
    <row r="373" spans="1:14" ht="45" hidden="1" x14ac:dyDescent="0.25">
      <c r="A373" s="417"/>
      <c r="B373" s="418"/>
      <c r="C373" s="37">
        <v>0</v>
      </c>
      <c r="D373" s="41" t="s">
        <v>188</v>
      </c>
      <c r="E373" s="382"/>
      <c r="F373" s="474"/>
      <c r="G373" s="73"/>
      <c r="H373" s="73"/>
      <c r="I373" s="73"/>
      <c r="J373" s="73"/>
      <c r="K373" s="50"/>
      <c r="L373" s="471"/>
      <c r="M373" s="413"/>
      <c r="N373" s="413"/>
    </row>
    <row r="374" spans="1:14" hidden="1" x14ac:dyDescent="0.25">
      <c r="A374" s="417"/>
      <c r="B374" s="418"/>
      <c r="C374" s="419" t="s">
        <v>6</v>
      </c>
      <c r="D374" s="419"/>
      <c r="E374" s="419"/>
      <c r="F374" s="419"/>
      <c r="G374" s="64"/>
      <c r="H374" s="64"/>
      <c r="I374" s="64"/>
      <c r="J374" s="64"/>
      <c r="K374" s="40">
        <f>IF(OR(ISBLANK(K368),K368&lt;0,K368&gt;4),0,K368)</f>
        <v>0</v>
      </c>
      <c r="L374" s="471"/>
      <c r="M374" s="413"/>
      <c r="N374" s="413"/>
    </row>
    <row r="375" spans="1:14" hidden="1" x14ac:dyDescent="0.25">
      <c r="N375" s="1"/>
    </row>
    <row r="376" spans="1:14" ht="45" hidden="1" customHeight="1" x14ac:dyDescent="0.25">
      <c r="A376" s="417"/>
      <c r="B376" s="418" t="s">
        <v>190</v>
      </c>
      <c r="C376" s="395" t="s">
        <v>191</v>
      </c>
      <c r="D376" s="395"/>
      <c r="E376" s="382" t="s">
        <v>183</v>
      </c>
      <c r="F376" s="474"/>
      <c r="G376" s="73"/>
      <c r="H376" s="73"/>
      <c r="I376" s="73"/>
      <c r="J376" s="73"/>
      <c r="K376" s="36">
        <v>0</v>
      </c>
      <c r="L376" s="471"/>
      <c r="M376" s="413"/>
      <c r="N376" s="413"/>
    </row>
    <row r="377" spans="1:14" ht="60" hidden="1" x14ac:dyDescent="0.25">
      <c r="A377" s="417"/>
      <c r="B377" s="418"/>
      <c r="C377" s="37">
        <v>4</v>
      </c>
      <c r="D377" s="41" t="s">
        <v>192</v>
      </c>
      <c r="E377" s="382"/>
      <c r="F377" s="474"/>
      <c r="G377" s="73"/>
      <c r="H377" s="73"/>
      <c r="I377" s="73"/>
      <c r="J377" s="73"/>
      <c r="K377" s="50"/>
      <c r="L377" s="471"/>
      <c r="M377" s="413"/>
      <c r="N377" s="413"/>
    </row>
    <row r="378" spans="1:14" ht="60" hidden="1" x14ac:dyDescent="0.25">
      <c r="A378" s="417"/>
      <c r="B378" s="418"/>
      <c r="C378" s="37">
        <v>3</v>
      </c>
      <c r="D378" s="41" t="s">
        <v>193</v>
      </c>
      <c r="E378" s="382"/>
      <c r="F378" s="474"/>
      <c r="G378" s="73"/>
      <c r="H378" s="73"/>
      <c r="I378" s="73"/>
      <c r="J378" s="73"/>
      <c r="K378" s="50"/>
      <c r="L378" s="471"/>
      <c r="M378" s="413"/>
      <c r="N378" s="413"/>
    </row>
    <row r="379" spans="1:14" ht="45" hidden="1" x14ac:dyDescent="0.25">
      <c r="A379" s="417"/>
      <c r="B379" s="418"/>
      <c r="C379" s="37">
        <v>2</v>
      </c>
      <c r="D379" s="41" t="s">
        <v>194</v>
      </c>
      <c r="E379" s="382"/>
      <c r="F379" s="474"/>
      <c r="G379" s="73"/>
      <c r="H379" s="73"/>
      <c r="I379" s="73"/>
      <c r="J379" s="73"/>
      <c r="K379" s="50"/>
      <c r="L379" s="471"/>
      <c r="M379" s="413"/>
      <c r="N379" s="413"/>
    </row>
    <row r="380" spans="1:14" ht="45" hidden="1" x14ac:dyDescent="0.25">
      <c r="A380" s="417"/>
      <c r="B380" s="418"/>
      <c r="C380" s="37">
        <v>1</v>
      </c>
      <c r="D380" s="41" t="s">
        <v>195</v>
      </c>
      <c r="E380" s="382"/>
      <c r="F380" s="474"/>
      <c r="G380" s="73"/>
      <c r="H380" s="73"/>
      <c r="I380" s="73"/>
      <c r="J380" s="73"/>
      <c r="K380" s="50"/>
      <c r="L380" s="471"/>
      <c r="M380" s="413"/>
      <c r="N380" s="413"/>
    </row>
    <row r="381" spans="1:14" ht="45" hidden="1" x14ac:dyDescent="0.25">
      <c r="A381" s="417"/>
      <c r="B381" s="418"/>
      <c r="C381" s="37">
        <v>0</v>
      </c>
      <c r="D381" s="41" t="s">
        <v>196</v>
      </c>
      <c r="E381" s="382"/>
      <c r="F381" s="474"/>
      <c r="G381" s="73"/>
      <c r="H381" s="73"/>
      <c r="I381" s="73"/>
      <c r="J381" s="73"/>
      <c r="K381" s="50"/>
      <c r="L381" s="471"/>
      <c r="M381" s="413"/>
      <c r="N381" s="413"/>
    </row>
    <row r="382" spans="1:14" hidden="1" x14ac:dyDescent="0.25">
      <c r="A382" s="417"/>
      <c r="B382" s="418"/>
      <c r="C382" s="419" t="s">
        <v>6</v>
      </c>
      <c r="D382" s="419"/>
      <c r="E382" s="419"/>
      <c r="F382" s="419"/>
      <c r="G382" s="64"/>
      <c r="H382" s="64"/>
      <c r="I382" s="64"/>
      <c r="J382" s="64"/>
      <c r="K382" s="40">
        <f>IF(OR(ISBLANK(K376),K376&lt;0,K376&gt;4),0,K376)</f>
        <v>0</v>
      </c>
      <c r="L382" s="471"/>
      <c r="M382" s="413"/>
      <c r="N382" s="413"/>
    </row>
    <row r="383" spans="1:14" hidden="1" x14ac:dyDescent="0.25">
      <c r="N383" s="1"/>
    </row>
    <row r="384" spans="1:14" ht="45" hidden="1" customHeight="1" x14ac:dyDescent="0.25">
      <c r="A384" s="417"/>
      <c r="B384" s="418" t="s">
        <v>197</v>
      </c>
      <c r="C384" s="395" t="s">
        <v>198</v>
      </c>
      <c r="D384" s="395"/>
      <c r="E384" s="382" t="s">
        <v>204</v>
      </c>
      <c r="F384" s="474"/>
      <c r="G384" s="73"/>
      <c r="H384" s="73"/>
      <c r="I384" s="73"/>
      <c r="J384" s="73"/>
      <c r="K384" s="36">
        <v>0</v>
      </c>
      <c r="L384" s="471"/>
      <c r="M384" s="413"/>
      <c r="N384" s="413"/>
    </row>
    <row r="385" spans="1:14" ht="90" hidden="1" x14ac:dyDescent="0.25">
      <c r="A385" s="417"/>
      <c r="B385" s="418"/>
      <c r="C385" s="37">
        <v>4</v>
      </c>
      <c r="D385" s="41" t="s">
        <v>199</v>
      </c>
      <c r="E385" s="382"/>
      <c r="F385" s="474"/>
      <c r="G385" s="73"/>
      <c r="H385" s="73"/>
      <c r="I385" s="73"/>
      <c r="J385" s="73"/>
      <c r="K385" s="50"/>
      <c r="L385" s="471"/>
      <c r="M385" s="413"/>
      <c r="N385" s="413"/>
    </row>
    <row r="386" spans="1:14" ht="75" hidden="1" x14ac:dyDescent="0.25">
      <c r="A386" s="417"/>
      <c r="B386" s="418"/>
      <c r="C386" s="37">
        <v>3</v>
      </c>
      <c r="D386" s="41" t="s">
        <v>200</v>
      </c>
      <c r="E386" s="382"/>
      <c r="F386" s="474"/>
      <c r="G386" s="73"/>
      <c r="H386" s="73"/>
      <c r="I386" s="73"/>
      <c r="J386" s="73"/>
      <c r="K386" s="50"/>
      <c r="L386" s="471"/>
      <c r="M386" s="413"/>
      <c r="N386" s="413"/>
    </row>
    <row r="387" spans="1:14" ht="60" hidden="1" x14ac:dyDescent="0.25">
      <c r="A387" s="417"/>
      <c r="B387" s="418"/>
      <c r="C387" s="37">
        <v>2</v>
      </c>
      <c r="D387" s="41" t="s">
        <v>201</v>
      </c>
      <c r="E387" s="382"/>
      <c r="F387" s="474"/>
      <c r="G387" s="73"/>
      <c r="H387" s="73"/>
      <c r="I387" s="73"/>
      <c r="J387" s="73"/>
      <c r="K387" s="50"/>
      <c r="L387" s="471"/>
      <c r="M387" s="413"/>
      <c r="N387" s="413"/>
    </row>
    <row r="388" spans="1:14" ht="60" hidden="1" x14ac:dyDescent="0.25">
      <c r="A388" s="417"/>
      <c r="B388" s="418"/>
      <c r="C388" s="37">
        <v>1</v>
      </c>
      <c r="D388" s="41" t="s">
        <v>202</v>
      </c>
      <c r="E388" s="382"/>
      <c r="F388" s="474"/>
      <c r="G388" s="73"/>
      <c r="H388" s="73"/>
      <c r="I388" s="73"/>
      <c r="J388" s="73"/>
      <c r="K388" s="50"/>
      <c r="L388" s="471"/>
      <c r="M388" s="413"/>
      <c r="N388" s="413"/>
    </row>
    <row r="389" spans="1:14" ht="60" hidden="1" x14ac:dyDescent="0.25">
      <c r="A389" s="417"/>
      <c r="B389" s="418"/>
      <c r="C389" s="37">
        <v>0</v>
      </c>
      <c r="D389" s="41" t="s">
        <v>203</v>
      </c>
      <c r="E389" s="382"/>
      <c r="F389" s="474"/>
      <c r="G389" s="73"/>
      <c r="H389" s="73"/>
      <c r="I389" s="73"/>
      <c r="J389" s="73"/>
      <c r="K389" s="50"/>
      <c r="L389" s="471"/>
      <c r="M389" s="413"/>
      <c r="N389" s="413"/>
    </row>
    <row r="390" spans="1:14" hidden="1" x14ac:dyDescent="0.25">
      <c r="A390" s="417"/>
      <c r="B390" s="418"/>
      <c r="C390" s="419" t="s">
        <v>6</v>
      </c>
      <c r="D390" s="419"/>
      <c r="E390" s="419"/>
      <c r="F390" s="419"/>
      <c r="G390" s="64"/>
      <c r="H390" s="64"/>
      <c r="I390" s="64"/>
      <c r="J390" s="64"/>
      <c r="K390" s="40">
        <f>IF(OR(ISBLANK(K384),K384&lt;0,K384&gt;4),0,K384)</f>
        <v>0</v>
      </c>
      <c r="L390" s="471"/>
      <c r="M390" s="413"/>
      <c r="N390" s="413"/>
    </row>
    <row r="391" spans="1:14" hidden="1" x14ac:dyDescent="0.25">
      <c r="N391" s="1"/>
    </row>
    <row r="392" spans="1:14" ht="30" customHeight="1" x14ac:dyDescent="0.25">
      <c r="A392" s="417">
        <f>A354+1</f>
        <v>30</v>
      </c>
      <c r="B392" s="444" t="s">
        <v>681</v>
      </c>
      <c r="C392" s="395" t="s">
        <v>682</v>
      </c>
      <c r="D392" s="395"/>
      <c r="E392" s="382" t="s">
        <v>1746</v>
      </c>
      <c r="F392" s="420" t="s">
        <v>1130</v>
      </c>
      <c r="G392" s="420" t="s">
        <v>1131</v>
      </c>
      <c r="H392" s="34" t="s">
        <v>582</v>
      </c>
      <c r="I392" s="34">
        <v>1</v>
      </c>
      <c r="J392" s="109" t="str">
        <f>IF((IF(OR((H392&amp;"."&amp;I392)=$R$8,(H392&amp;"."&amp;I392)=$S$8,(H392&amp;"."&amp;I392)=$T$8,(H392&amp;"."&amp;I392)=$U$8,(H392&amp;"."&amp;I392)=$V$8,(H392&amp;"."&amp;I392)=$W$8),1,0))=1,"EKSTREM",IF((IF(OR((H392&amp;"."&amp;I392)=$R$9,(H392&amp;"."&amp;I392)=$S$9,(H392&amp;"."&amp;I392)=$T$9,(H392&amp;"."&amp;I392)=$U$9,(H392&amp;"."&amp;I392)=$V$9,(H392&amp;"."&amp;I392)=$W$9,(H392&amp;"."&amp;I392)=$X$9),1,0))=1,"TINGGI",IF((IF(OR((H392&amp;"."&amp;I392)=$R$10,(H392&amp;"."&amp;I392)=$S$10,(H392&amp;"."&amp;I392)=$T$10,(H392&amp;"."&amp;I392)=$U$10,(H392&amp;"."&amp;I392)=$V$10,(H392&amp;"."&amp;I392)=$W$10),1,0))=1,"MODERAT",IF((IF(OR((H392&amp;"."&amp;I392)=$R$11,(H392&amp;"."&amp;I392)=$S$11,(H392&amp;"."&amp;I392)=$T$11,(H392&amp;"."&amp;I392)=$U$11,(H392&amp;"."&amp;I392)=$V$11,(H392&amp;"."&amp;I392)=$W$11),1,0))=1,"RENDAH","-"))))</f>
        <v>RENDAH</v>
      </c>
      <c r="K392" s="50"/>
      <c r="L392" s="413" t="s">
        <v>1132</v>
      </c>
      <c r="M392" s="413" t="s">
        <v>1133</v>
      </c>
      <c r="N392" s="517"/>
    </row>
    <row r="393" spans="1:14" ht="30.75" customHeight="1" x14ac:dyDescent="0.25">
      <c r="A393" s="417"/>
      <c r="B393" s="418"/>
      <c r="C393" s="382" t="s">
        <v>683</v>
      </c>
      <c r="D393" s="382"/>
      <c r="E393" s="382"/>
      <c r="F393" s="420"/>
      <c r="G393" s="420"/>
      <c r="H393" s="401"/>
      <c r="I393" s="401"/>
      <c r="J393" s="401"/>
      <c r="K393" s="114">
        <f>IF(ISBLANK('Isian Prodi'!E85),'Isian Prodi'!B85,'Isian Prodi'!E85)</f>
        <v>0</v>
      </c>
      <c r="L393" s="413"/>
      <c r="M393" s="413"/>
      <c r="N393" s="517"/>
    </row>
    <row r="394" spans="1:14" ht="30.75" customHeight="1" x14ac:dyDescent="0.25">
      <c r="A394" s="417"/>
      <c r="B394" s="418"/>
      <c r="C394" s="382" t="s">
        <v>684</v>
      </c>
      <c r="D394" s="382"/>
      <c r="E394" s="382"/>
      <c r="F394" s="420"/>
      <c r="G394" s="420"/>
      <c r="H394" s="402"/>
      <c r="I394" s="402"/>
      <c r="J394" s="402"/>
      <c r="K394" s="114">
        <f>IF(AND(ISBLANK('Isian Prodi'!P35),ISBLANK('Isian Prodi'!Q35)),'Isian Prodi'!B46,'Isian Prodi'!F46)</f>
        <v>0</v>
      </c>
      <c r="L394" s="413"/>
      <c r="M394" s="413"/>
      <c r="N394" s="517"/>
    </row>
    <row r="395" spans="1:14" ht="30.75" customHeight="1" x14ac:dyDescent="0.25">
      <c r="A395" s="417"/>
      <c r="B395" s="418"/>
      <c r="C395" s="382" t="s">
        <v>685</v>
      </c>
      <c r="D395" s="382"/>
      <c r="E395" s="382"/>
      <c r="F395" s="420"/>
      <c r="G395" s="420"/>
      <c r="H395" s="403"/>
      <c r="I395" s="403"/>
      <c r="J395" s="403"/>
      <c r="K395" s="114">
        <f>IF(K394&gt;0,(K393/3)/K394,0)</f>
        <v>0</v>
      </c>
      <c r="L395" s="413"/>
      <c r="M395" s="413"/>
      <c r="N395" s="517"/>
    </row>
    <row r="396" spans="1:14" ht="30" customHeight="1" x14ac:dyDescent="0.25">
      <c r="A396" s="417"/>
      <c r="B396" s="418"/>
      <c r="C396" s="419" t="s">
        <v>6</v>
      </c>
      <c r="D396" s="419"/>
      <c r="E396" s="419"/>
      <c r="F396" s="419"/>
      <c r="G396" s="64"/>
      <c r="H396" s="64"/>
      <c r="I396" s="64"/>
      <c r="J396" s="64"/>
      <c r="K396" s="114">
        <f>IF(K395&gt;=28,4,K395/7)</f>
        <v>0</v>
      </c>
      <c r="L396" s="413"/>
      <c r="M396" s="413"/>
      <c r="N396" s="517"/>
    </row>
    <row r="397" spans="1:14" x14ac:dyDescent="0.25">
      <c r="N397" s="1"/>
    </row>
    <row r="398" spans="1:14" ht="30" customHeight="1" x14ac:dyDescent="0.25">
      <c r="A398" s="417">
        <f>A392+1</f>
        <v>31</v>
      </c>
      <c r="B398" s="418"/>
      <c r="C398" s="395" t="s">
        <v>686</v>
      </c>
      <c r="D398" s="395"/>
      <c r="E398" s="382" t="s">
        <v>1747</v>
      </c>
      <c r="F398" s="420" t="s">
        <v>1130</v>
      </c>
      <c r="G398" s="420" t="s">
        <v>1131</v>
      </c>
      <c r="H398" s="34" t="s">
        <v>582</v>
      </c>
      <c r="I398" s="34">
        <v>1</v>
      </c>
      <c r="J398" s="109" t="str">
        <f>IF((IF(OR((H398&amp;"."&amp;I398)=$R$8,(H398&amp;"."&amp;I398)=$S$8,(H398&amp;"."&amp;I398)=$T$8,(H398&amp;"."&amp;I398)=$U$8,(H398&amp;"."&amp;I398)=$V$8,(H398&amp;"."&amp;I398)=$W$8),1,0))=1,"EKSTREM",IF((IF(OR((H398&amp;"."&amp;I398)=$R$9,(H398&amp;"."&amp;I398)=$S$9,(H398&amp;"."&amp;I398)=$T$9,(H398&amp;"."&amp;I398)=$U$9,(H398&amp;"."&amp;I398)=$V$9,(H398&amp;"."&amp;I398)=$W$9,(H398&amp;"."&amp;I398)=$X$9),1,0))=1,"TINGGI",IF((IF(OR((H398&amp;"."&amp;I398)=$R$10,(H398&amp;"."&amp;I398)=$S$10,(H398&amp;"."&amp;I398)=$T$10,(H398&amp;"."&amp;I398)=$U$10,(H398&amp;"."&amp;I398)=$V$10,(H398&amp;"."&amp;I398)=$W$10),1,0))=1,"MODERAT",IF((IF(OR((H398&amp;"."&amp;I398)=$R$11,(H398&amp;"."&amp;I398)=$S$11,(H398&amp;"."&amp;I398)=$T$11,(H398&amp;"."&amp;I398)=$U$11,(H398&amp;"."&amp;I398)=$V$11,(H398&amp;"."&amp;I398)=$W$11),1,0))=1,"RENDAH","-"))))</f>
        <v>RENDAH</v>
      </c>
      <c r="K398" s="50"/>
      <c r="L398" s="413" t="s">
        <v>1132</v>
      </c>
      <c r="M398" s="413" t="s">
        <v>1133</v>
      </c>
      <c r="N398" s="517"/>
    </row>
    <row r="399" spans="1:14" ht="30.75" customHeight="1" x14ac:dyDescent="0.25">
      <c r="A399" s="417"/>
      <c r="B399" s="418"/>
      <c r="C399" s="430" t="s">
        <v>687</v>
      </c>
      <c r="D399" s="431"/>
      <c r="E399" s="382"/>
      <c r="F399" s="420"/>
      <c r="G399" s="420"/>
      <c r="H399" s="401"/>
      <c r="I399" s="401"/>
      <c r="J399" s="401"/>
      <c r="K399" s="114">
        <f>IF(ISBLANK('Isian Prodi'!E86),'Isian Prodi'!B86,'Isian Prodi'!E86)</f>
        <v>0</v>
      </c>
      <c r="L399" s="413"/>
      <c r="M399" s="413"/>
      <c r="N399" s="517"/>
    </row>
    <row r="400" spans="1:14" ht="45.75" customHeight="1" x14ac:dyDescent="0.25">
      <c r="A400" s="417"/>
      <c r="B400" s="418"/>
      <c r="C400" s="472" t="s">
        <v>527</v>
      </c>
      <c r="D400" s="473"/>
      <c r="E400" s="382"/>
      <c r="F400" s="420"/>
      <c r="G400" s="420"/>
      <c r="H400" s="402"/>
      <c r="I400" s="402"/>
      <c r="J400" s="402"/>
      <c r="K400" s="114">
        <f>IF(ISBLANK('Isian Prodi'!G60),'Isian Prodi'!C60,'Isian Prodi'!G60)</f>
        <v>0</v>
      </c>
      <c r="L400" s="413"/>
      <c r="M400" s="413"/>
      <c r="N400" s="517"/>
    </row>
    <row r="401" spans="1:14" ht="30.75" customHeight="1" x14ac:dyDescent="0.25">
      <c r="A401" s="417"/>
      <c r="B401" s="418"/>
      <c r="C401" s="430" t="s">
        <v>688</v>
      </c>
      <c r="D401" s="431"/>
      <c r="E401" s="382"/>
      <c r="F401" s="420"/>
      <c r="G401" s="420"/>
      <c r="H401" s="403"/>
      <c r="I401" s="403"/>
      <c r="J401" s="403"/>
      <c r="K401" s="114">
        <f>IF(K400&gt;0,(K399/3)/K400,0)</f>
        <v>0</v>
      </c>
      <c r="L401" s="413"/>
      <c r="M401" s="413"/>
      <c r="N401" s="517"/>
    </row>
    <row r="402" spans="1:14" x14ac:dyDescent="0.25">
      <c r="A402" s="417"/>
      <c r="B402" s="418"/>
      <c r="C402" s="419" t="s">
        <v>6</v>
      </c>
      <c r="D402" s="419"/>
      <c r="E402" s="419"/>
      <c r="F402" s="419"/>
      <c r="G402" s="64"/>
      <c r="H402" s="64"/>
      <c r="I402" s="64"/>
      <c r="J402" s="64"/>
      <c r="K402" s="114">
        <f>IF(K401&gt;=20,4,K401/5)</f>
        <v>0</v>
      </c>
      <c r="L402" s="413"/>
      <c r="M402" s="413"/>
      <c r="N402" s="517"/>
    </row>
    <row r="403" spans="1:14" x14ac:dyDescent="0.25">
      <c r="N403" s="1"/>
    </row>
    <row r="404" spans="1:14" ht="30" customHeight="1" x14ac:dyDescent="0.25">
      <c r="A404" s="417">
        <f>A398+1</f>
        <v>32</v>
      </c>
      <c r="B404" s="418"/>
      <c r="C404" s="395" t="s">
        <v>689</v>
      </c>
      <c r="D404" s="395"/>
      <c r="E404" s="382" t="s">
        <v>1748</v>
      </c>
      <c r="F404" s="420" t="s">
        <v>1130</v>
      </c>
      <c r="G404" s="420" t="s">
        <v>1131</v>
      </c>
      <c r="H404" s="34" t="s">
        <v>582</v>
      </c>
      <c r="I404" s="34">
        <v>1</v>
      </c>
      <c r="J404" s="109" t="str">
        <f>IF((IF(OR((H404&amp;"."&amp;I404)=$R$8,(H404&amp;"."&amp;I404)=$S$8,(H404&amp;"."&amp;I404)=$T$8,(H404&amp;"."&amp;I404)=$U$8,(H404&amp;"."&amp;I404)=$V$8,(H404&amp;"."&amp;I404)=$W$8),1,0))=1,"EKSTREM",IF((IF(OR((H404&amp;"."&amp;I404)=$R$9,(H404&amp;"."&amp;I404)=$S$9,(H404&amp;"."&amp;I404)=$T$9,(H404&amp;"."&amp;I404)=$U$9,(H404&amp;"."&amp;I404)=$V$9,(H404&amp;"."&amp;I404)=$W$9,(H404&amp;"."&amp;I404)=$X$9),1,0))=1,"TINGGI",IF((IF(OR((H404&amp;"."&amp;I404)=$R$10,(H404&amp;"."&amp;I404)=$S$10,(H404&amp;"."&amp;I404)=$T$10,(H404&amp;"."&amp;I404)=$U$10,(H404&amp;"."&amp;I404)=$V$10,(H404&amp;"."&amp;I404)=$W$10),1,0))=1,"MODERAT",IF((IF(OR((H404&amp;"."&amp;I404)=$R$11,(H404&amp;"."&amp;I404)=$S$11,(H404&amp;"."&amp;I404)=$T$11,(H404&amp;"."&amp;I404)=$U$11,(H404&amp;"."&amp;I404)=$V$11,(H404&amp;"."&amp;I404)=$W$11),1,0))=1,"RENDAH","-"))))</f>
        <v>RENDAH</v>
      </c>
      <c r="K404" s="50"/>
      <c r="L404" s="413" t="s">
        <v>1132</v>
      </c>
      <c r="M404" s="413" t="s">
        <v>1133</v>
      </c>
      <c r="N404" s="517"/>
    </row>
    <row r="405" spans="1:14" ht="30.75" customHeight="1" x14ac:dyDescent="0.25">
      <c r="A405" s="417"/>
      <c r="B405" s="418"/>
      <c r="C405" s="430" t="s">
        <v>690</v>
      </c>
      <c r="D405" s="431"/>
      <c r="E405" s="382"/>
      <c r="F405" s="420"/>
      <c r="G405" s="420"/>
      <c r="H405" s="401"/>
      <c r="I405" s="401"/>
      <c r="J405" s="401"/>
      <c r="K405" s="114">
        <f>IF(ISBLANK('Isian Prodi'!E87),'Isian Prodi'!B87,'Isian Prodi'!E87)</f>
        <v>0</v>
      </c>
      <c r="L405" s="413"/>
      <c r="M405" s="413"/>
      <c r="N405" s="517"/>
    </row>
    <row r="406" spans="1:14" ht="45.75" customHeight="1" x14ac:dyDescent="0.25">
      <c r="A406" s="417"/>
      <c r="B406" s="418"/>
      <c r="C406" s="472" t="s">
        <v>527</v>
      </c>
      <c r="D406" s="473"/>
      <c r="E406" s="382"/>
      <c r="F406" s="420"/>
      <c r="G406" s="420"/>
      <c r="H406" s="402"/>
      <c r="I406" s="402"/>
      <c r="J406" s="402"/>
      <c r="K406" s="114">
        <f>IF(ISBLANK('Isian Prodi'!G60),'Isian Prodi'!C60,'Isian Prodi'!G60)</f>
        <v>0</v>
      </c>
      <c r="L406" s="413"/>
      <c r="M406" s="413"/>
      <c r="N406" s="517"/>
    </row>
    <row r="407" spans="1:14" ht="30.75" customHeight="1" x14ac:dyDescent="0.25">
      <c r="A407" s="417"/>
      <c r="B407" s="418"/>
      <c r="C407" s="430" t="s">
        <v>691</v>
      </c>
      <c r="D407" s="431"/>
      <c r="E407" s="382"/>
      <c r="F407" s="420"/>
      <c r="G407" s="420"/>
      <c r="H407" s="403"/>
      <c r="I407" s="403"/>
      <c r="J407" s="403"/>
      <c r="K407" s="114">
        <f>IF(K406&gt;0,(K405/3)/K406,0)</f>
        <v>0</v>
      </c>
      <c r="L407" s="413"/>
      <c r="M407" s="413"/>
      <c r="N407" s="517"/>
    </row>
    <row r="408" spans="1:14" x14ac:dyDescent="0.25">
      <c r="A408" s="417"/>
      <c r="B408" s="418"/>
      <c r="C408" s="419" t="s">
        <v>6</v>
      </c>
      <c r="D408" s="419"/>
      <c r="E408" s="419"/>
      <c r="F408" s="419"/>
      <c r="G408" s="64"/>
      <c r="H408" s="64"/>
      <c r="I408" s="64"/>
      <c r="J408" s="64"/>
      <c r="K408" s="114">
        <f>IF(K407&gt;=5,4,(4*K407)/5)</f>
        <v>0</v>
      </c>
      <c r="L408" s="413"/>
      <c r="M408" s="413"/>
      <c r="N408" s="517"/>
    </row>
    <row r="409" spans="1:14" x14ac:dyDescent="0.25">
      <c r="N409" s="1"/>
    </row>
    <row r="410" spans="1:14" ht="60" customHeight="1" x14ac:dyDescent="0.25">
      <c r="A410" s="417">
        <f>A404+1</f>
        <v>33</v>
      </c>
      <c r="B410" s="418"/>
      <c r="C410" s="395" t="s">
        <v>692</v>
      </c>
      <c r="D410" s="395"/>
      <c r="E410" s="382" t="s">
        <v>1749</v>
      </c>
      <c r="F410" s="420" t="s">
        <v>1130</v>
      </c>
      <c r="G410" s="420" t="s">
        <v>1131</v>
      </c>
      <c r="H410" s="34" t="s">
        <v>582</v>
      </c>
      <c r="I410" s="34">
        <v>1</v>
      </c>
      <c r="J410" s="109" t="str">
        <f>IF((IF(OR((H410&amp;"."&amp;I410)=$R$8,(H410&amp;"."&amp;I410)=$S$8,(H410&amp;"."&amp;I410)=$T$8,(H410&amp;"."&amp;I410)=$U$8,(H410&amp;"."&amp;I410)=$V$8,(H410&amp;"."&amp;I410)=$W$8),1,0))=1,"EKSTREM",IF((IF(OR((H410&amp;"."&amp;I410)=$R$9,(H410&amp;"."&amp;I410)=$S$9,(H410&amp;"."&amp;I410)=$T$9,(H410&amp;"."&amp;I410)=$U$9,(H410&amp;"."&amp;I410)=$V$9,(H410&amp;"."&amp;I410)=$W$9,(H410&amp;"."&amp;I410)=$X$9),1,0))=1,"TINGGI",IF((IF(OR((H410&amp;"."&amp;I410)=$R$10,(H410&amp;"."&amp;I410)=$S$10,(H410&amp;"."&amp;I410)=$T$10,(H410&amp;"."&amp;I410)=$U$10,(H410&amp;"."&amp;I410)=$V$10,(H410&amp;"."&amp;I410)=$W$10),1,0))=1,"MODERAT",IF((IF(OR((H410&amp;"."&amp;I410)=$R$11,(H410&amp;"."&amp;I410)=$S$11,(H410&amp;"."&amp;I410)=$T$11,(H410&amp;"."&amp;I410)=$U$11,(H410&amp;"."&amp;I410)=$V$11,(H410&amp;"."&amp;I410)=$W$11),1,0))=1,"RENDAH","-"))))</f>
        <v>RENDAH</v>
      </c>
      <c r="K410" s="36">
        <v>0</v>
      </c>
      <c r="L410" s="413" t="s">
        <v>1132</v>
      </c>
      <c r="M410" s="413" t="s">
        <v>1133</v>
      </c>
      <c r="N410" s="517"/>
    </row>
    <row r="411" spans="1:14" ht="15" customHeight="1" x14ac:dyDescent="0.25">
      <c r="A411" s="417"/>
      <c r="B411" s="418"/>
      <c r="C411" s="380" t="s">
        <v>535</v>
      </c>
      <c r="D411" s="381"/>
      <c r="E411" s="382"/>
      <c r="F411" s="420"/>
      <c r="G411" s="420"/>
      <c r="H411" s="401"/>
      <c r="I411" s="401"/>
      <c r="J411" s="401"/>
      <c r="K411" s="127">
        <f>AVERAGE(K202,K208,K214,K222,K231,K237,K241,K247,K253,K433)</f>
        <v>1.5</v>
      </c>
      <c r="L411" s="413"/>
      <c r="M411" s="413"/>
      <c r="N411" s="517"/>
    </row>
    <row r="412" spans="1:14" ht="60" x14ac:dyDescent="0.25">
      <c r="A412" s="417"/>
      <c r="B412" s="418"/>
      <c r="C412" s="37">
        <v>4</v>
      </c>
      <c r="D412" s="41" t="s">
        <v>205</v>
      </c>
      <c r="E412" s="382"/>
      <c r="F412" s="420"/>
      <c r="G412" s="420"/>
      <c r="H412" s="402"/>
      <c r="I412" s="402"/>
      <c r="J412" s="402"/>
      <c r="K412" s="401"/>
      <c r="L412" s="413"/>
      <c r="M412" s="413"/>
      <c r="N412" s="517"/>
    </row>
    <row r="413" spans="1:14" ht="60" customHeight="1" x14ac:dyDescent="0.25">
      <c r="A413" s="417"/>
      <c r="B413" s="418"/>
      <c r="C413" s="37">
        <v>3</v>
      </c>
      <c r="D413" s="41" t="s">
        <v>206</v>
      </c>
      <c r="E413" s="382"/>
      <c r="F413" s="420"/>
      <c r="G413" s="420"/>
      <c r="H413" s="402"/>
      <c r="I413" s="402"/>
      <c r="J413" s="402"/>
      <c r="K413" s="402"/>
      <c r="L413" s="413"/>
      <c r="M413" s="413"/>
      <c r="N413" s="517"/>
    </row>
    <row r="414" spans="1:14" ht="45" customHeight="1" x14ac:dyDescent="0.25">
      <c r="A414" s="417"/>
      <c r="B414" s="418"/>
      <c r="C414" s="37">
        <v>2</v>
      </c>
      <c r="D414" s="41" t="s">
        <v>207</v>
      </c>
      <c r="E414" s="382"/>
      <c r="F414" s="420"/>
      <c r="G414" s="420"/>
      <c r="H414" s="402"/>
      <c r="I414" s="402"/>
      <c r="J414" s="402"/>
      <c r="K414" s="402"/>
      <c r="L414" s="413"/>
      <c r="M414" s="413"/>
      <c r="N414" s="517"/>
    </row>
    <row r="415" spans="1:14" ht="30" customHeight="1" x14ac:dyDescent="0.25">
      <c r="A415" s="417"/>
      <c r="B415" s="418"/>
      <c r="C415" s="37">
        <v>1</v>
      </c>
      <c r="D415" s="41" t="s">
        <v>208</v>
      </c>
      <c r="E415" s="382"/>
      <c r="F415" s="420"/>
      <c r="G415" s="420"/>
      <c r="H415" s="402"/>
      <c r="I415" s="402"/>
      <c r="J415" s="402"/>
      <c r="K415" s="402"/>
      <c r="L415" s="413"/>
      <c r="M415" s="413"/>
      <c r="N415" s="517"/>
    </row>
    <row r="416" spans="1:14" ht="30" x14ac:dyDescent="0.25">
      <c r="A416" s="417"/>
      <c r="B416" s="418"/>
      <c r="C416" s="37">
        <v>0</v>
      </c>
      <c r="D416" s="41" t="s">
        <v>209</v>
      </c>
      <c r="E416" s="382"/>
      <c r="F416" s="420"/>
      <c r="G416" s="420"/>
      <c r="H416" s="403"/>
      <c r="I416" s="403"/>
      <c r="J416" s="403"/>
      <c r="K416" s="403"/>
      <c r="L416" s="413"/>
      <c r="M416" s="413"/>
      <c r="N416" s="517"/>
    </row>
    <row r="417" spans="1:14" x14ac:dyDescent="0.25">
      <c r="A417" s="417"/>
      <c r="B417" s="418"/>
      <c r="C417" s="419" t="s">
        <v>6</v>
      </c>
      <c r="D417" s="419"/>
      <c r="E417" s="419"/>
      <c r="F417" s="419"/>
      <c r="G417" s="64"/>
      <c r="H417" s="64"/>
      <c r="I417" s="64"/>
      <c r="J417" s="64"/>
      <c r="K417" s="110">
        <f>IF(OR(ISBLANK(K410),K410&lt;0,K410&gt;4),0,IF(K411&gt;=3.5,4,K410))</f>
        <v>0</v>
      </c>
      <c r="L417" s="413"/>
      <c r="M417" s="413"/>
      <c r="N417" s="517"/>
    </row>
    <row r="418" spans="1:14" x14ac:dyDescent="0.25">
      <c r="N418" s="1"/>
    </row>
    <row r="419" spans="1:14" ht="15" customHeight="1" x14ac:dyDescent="0.25">
      <c r="A419" s="417">
        <f>A410+1</f>
        <v>34</v>
      </c>
      <c r="B419" s="418"/>
      <c r="C419" s="395" t="s">
        <v>65</v>
      </c>
      <c r="D419" s="395"/>
      <c r="E419" s="382" t="s">
        <v>1750</v>
      </c>
      <c r="F419" s="420" t="s">
        <v>1130</v>
      </c>
      <c r="G419" s="420" t="s">
        <v>1131</v>
      </c>
      <c r="H419" s="34" t="s">
        <v>582</v>
      </c>
      <c r="I419" s="34">
        <v>1</v>
      </c>
      <c r="J419" s="109" t="str">
        <f>IF((IF(OR((H419&amp;"."&amp;I419)=$R$8,(H419&amp;"."&amp;I419)=$S$8,(H419&amp;"."&amp;I419)=$T$8,(H419&amp;"."&amp;I419)=$U$8,(H419&amp;"."&amp;I419)=$V$8,(H419&amp;"."&amp;I419)=$W$8),1,0))=1,"EKSTREM",IF((IF(OR((H419&amp;"."&amp;I419)=$R$9,(H419&amp;"."&amp;I419)=$S$9,(H419&amp;"."&amp;I419)=$T$9,(H419&amp;"."&amp;I419)=$U$9,(H419&amp;"."&amp;I419)=$V$9,(H419&amp;"."&amp;I419)=$W$9,(H419&amp;"."&amp;I419)=$X$9),1,0))=1,"TINGGI",IF((IF(OR((H419&amp;"."&amp;I419)=$R$10,(H419&amp;"."&amp;I419)=$S$10,(H419&amp;"."&amp;I419)=$T$10,(H419&amp;"."&amp;I419)=$U$10,(H419&amp;"."&amp;I419)=$V$10,(H419&amp;"."&amp;I419)=$W$10),1,0))=1,"MODERAT",IF((IF(OR((H419&amp;"."&amp;I419)=$R$11,(H419&amp;"."&amp;I419)=$S$11,(H419&amp;"."&amp;I419)=$T$11,(H419&amp;"."&amp;I419)=$U$11,(H419&amp;"."&amp;I419)=$V$11,(H419&amp;"."&amp;I419)=$W$11),1,0))=1,"RENDAH","-"))))</f>
        <v>RENDAH</v>
      </c>
      <c r="K419" s="36">
        <v>0</v>
      </c>
      <c r="L419" s="413" t="s">
        <v>1132</v>
      </c>
      <c r="M419" s="413" t="s">
        <v>1133</v>
      </c>
      <c r="N419" s="517"/>
    </row>
    <row r="420" spans="1:14" ht="60" x14ac:dyDescent="0.25">
      <c r="A420" s="417"/>
      <c r="B420" s="418"/>
      <c r="C420" s="37">
        <v>4</v>
      </c>
      <c r="D420" s="41" t="s">
        <v>210</v>
      </c>
      <c r="E420" s="382"/>
      <c r="F420" s="420"/>
      <c r="G420" s="420"/>
      <c r="H420" s="401"/>
      <c r="I420" s="401"/>
      <c r="J420" s="401"/>
      <c r="K420" s="401"/>
      <c r="L420" s="413"/>
      <c r="M420" s="413"/>
      <c r="N420" s="517"/>
    </row>
    <row r="421" spans="1:14" ht="30" x14ac:dyDescent="0.25">
      <c r="A421" s="417"/>
      <c r="B421" s="418"/>
      <c r="C421" s="37">
        <v>3</v>
      </c>
      <c r="D421" s="41" t="s">
        <v>211</v>
      </c>
      <c r="E421" s="382"/>
      <c r="F421" s="420"/>
      <c r="G421" s="420"/>
      <c r="H421" s="402"/>
      <c r="I421" s="402"/>
      <c r="J421" s="402"/>
      <c r="K421" s="402"/>
      <c r="L421" s="413"/>
      <c r="M421" s="413"/>
      <c r="N421" s="517"/>
    </row>
    <row r="422" spans="1:14" ht="30" x14ac:dyDescent="0.25">
      <c r="A422" s="417"/>
      <c r="B422" s="418"/>
      <c r="C422" s="37">
        <v>2</v>
      </c>
      <c r="D422" s="41" t="s">
        <v>212</v>
      </c>
      <c r="E422" s="382"/>
      <c r="F422" s="420"/>
      <c r="G422" s="420"/>
      <c r="H422" s="402"/>
      <c r="I422" s="402"/>
      <c r="J422" s="402"/>
      <c r="K422" s="402"/>
      <c r="L422" s="413"/>
      <c r="M422" s="413"/>
      <c r="N422" s="517"/>
    </row>
    <row r="423" spans="1:14" ht="30" x14ac:dyDescent="0.25">
      <c r="A423" s="417"/>
      <c r="B423" s="418"/>
      <c r="C423" s="37">
        <v>1</v>
      </c>
      <c r="D423" s="41" t="s">
        <v>213</v>
      </c>
      <c r="E423" s="382"/>
      <c r="F423" s="420"/>
      <c r="G423" s="420"/>
      <c r="H423" s="402"/>
      <c r="I423" s="402"/>
      <c r="J423" s="402"/>
      <c r="K423" s="402"/>
      <c r="L423" s="413"/>
      <c r="M423" s="413"/>
      <c r="N423" s="517"/>
    </row>
    <row r="424" spans="1:14" x14ac:dyDescent="0.25">
      <c r="A424" s="417"/>
      <c r="B424" s="418"/>
      <c r="C424" s="37">
        <v>0</v>
      </c>
      <c r="D424" s="41" t="s">
        <v>214</v>
      </c>
      <c r="E424" s="382"/>
      <c r="F424" s="420"/>
      <c r="G424" s="420"/>
      <c r="H424" s="403"/>
      <c r="I424" s="403"/>
      <c r="J424" s="403"/>
      <c r="K424" s="403"/>
      <c r="L424" s="413"/>
      <c r="M424" s="413"/>
      <c r="N424" s="517"/>
    </row>
    <row r="425" spans="1:14" x14ac:dyDescent="0.25">
      <c r="A425" s="417"/>
      <c r="B425" s="418"/>
      <c r="C425" s="419" t="s">
        <v>6</v>
      </c>
      <c r="D425" s="419"/>
      <c r="E425" s="419"/>
      <c r="F425" s="419"/>
      <c r="G425" s="64"/>
      <c r="H425" s="64"/>
      <c r="I425" s="64"/>
      <c r="J425" s="64"/>
      <c r="K425" s="110">
        <f>IF(OR(ISBLANK(K419),K419&lt;0,K419&gt;4),0,K419)</f>
        <v>0</v>
      </c>
      <c r="L425" s="413"/>
      <c r="M425" s="413"/>
      <c r="N425" s="517"/>
    </row>
    <row r="426" spans="1:14" x14ac:dyDescent="0.25">
      <c r="N426" s="1"/>
    </row>
    <row r="427" spans="1:14" ht="45" customHeight="1" x14ac:dyDescent="0.25">
      <c r="A427" s="417">
        <f>A419+1</f>
        <v>35</v>
      </c>
      <c r="B427" s="421" t="s">
        <v>693</v>
      </c>
      <c r="C427" s="395" t="s">
        <v>694</v>
      </c>
      <c r="D427" s="395"/>
      <c r="E427" s="382" t="s">
        <v>1751</v>
      </c>
      <c r="F427" s="420" t="s">
        <v>1130</v>
      </c>
      <c r="G427" s="420" t="s">
        <v>1131</v>
      </c>
      <c r="H427" s="34" t="s">
        <v>582</v>
      </c>
      <c r="I427" s="34">
        <v>1</v>
      </c>
      <c r="J427" s="109" t="str">
        <f>IF((IF(OR((H427&amp;"."&amp;I427)=$R$8,(H427&amp;"."&amp;I427)=$S$8,(H427&amp;"."&amp;I427)=$T$8,(H427&amp;"."&amp;I427)=$U$8,(H427&amp;"."&amp;I427)=$V$8,(H427&amp;"."&amp;I427)=$W$8),1,0))=1,"EKSTREM",IF((IF(OR((H427&amp;"."&amp;I427)=$R$9,(H427&amp;"."&amp;I427)=$S$9,(H427&amp;"."&amp;I427)=$T$9,(H427&amp;"."&amp;I427)=$U$9,(H427&amp;"."&amp;I427)=$V$9,(H427&amp;"."&amp;I427)=$W$9,(H427&amp;"."&amp;I427)=$X$9),1,0))=1,"TINGGI",IF((IF(OR((H427&amp;"."&amp;I427)=$R$10,(H427&amp;"."&amp;I427)=$S$10,(H427&amp;"."&amp;I427)=$T$10,(H427&amp;"."&amp;I427)=$U$10,(H427&amp;"."&amp;I427)=$V$10,(H427&amp;"."&amp;I427)=$W$10),1,0))=1,"MODERAT",IF((IF(OR((H427&amp;"."&amp;I427)=$R$11,(H427&amp;"."&amp;I427)=$S$11,(H427&amp;"."&amp;I427)=$T$11,(H427&amp;"."&amp;I427)=$U$11,(H427&amp;"."&amp;I427)=$V$11,(H427&amp;"."&amp;I427)=$W$11),1,0))=1,"RENDAH","-"))))</f>
        <v>RENDAH</v>
      </c>
      <c r="K427" s="36">
        <v>0</v>
      </c>
      <c r="L427" s="413" t="s">
        <v>1132</v>
      </c>
      <c r="M427" s="413" t="s">
        <v>1133</v>
      </c>
      <c r="N427" s="517"/>
    </row>
    <row r="428" spans="1:14" ht="45" x14ac:dyDescent="0.25">
      <c r="A428" s="417"/>
      <c r="B428" s="421"/>
      <c r="C428" s="37">
        <v>4</v>
      </c>
      <c r="D428" s="80" t="s">
        <v>695</v>
      </c>
      <c r="E428" s="382"/>
      <c r="F428" s="420"/>
      <c r="G428" s="420"/>
      <c r="H428" s="401"/>
      <c r="I428" s="401"/>
      <c r="J428" s="401"/>
      <c r="K428" s="401"/>
      <c r="L428" s="413"/>
      <c r="M428" s="413"/>
      <c r="N428" s="517"/>
    </row>
    <row r="429" spans="1:14" ht="45" x14ac:dyDescent="0.25">
      <c r="A429" s="417"/>
      <c r="B429" s="421"/>
      <c r="C429" s="37">
        <v>3</v>
      </c>
      <c r="D429" s="80" t="s">
        <v>696</v>
      </c>
      <c r="E429" s="382"/>
      <c r="F429" s="420"/>
      <c r="G429" s="420"/>
      <c r="H429" s="402"/>
      <c r="I429" s="402"/>
      <c r="J429" s="402"/>
      <c r="K429" s="402"/>
      <c r="L429" s="413"/>
      <c r="M429" s="413"/>
      <c r="N429" s="517"/>
    </row>
    <row r="430" spans="1:14" ht="30" customHeight="1" x14ac:dyDescent="0.25">
      <c r="A430" s="417"/>
      <c r="B430" s="421"/>
      <c r="C430" s="37">
        <v>2</v>
      </c>
      <c r="D430" s="80" t="s">
        <v>697</v>
      </c>
      <c r="E430" s="382"/>
      <c r="F430" s="420"/>
      <c r="G430" s="420"/>
      <c r="H430" s="402"/>
      <c r="I430" s="402"/>
      <c r="J430" s="402"/>
      <c r="K430" s="402"/>
      <c r="L430" s="413"/>
      <c r="M430" s="413"/>
      <c r="N430" s="517"/>
    </row>
    <row r="431" spans="1:14" ht="30" customHeight="1" x14ac:dyDescent="0.25">
      <c r="A431" s="417"/>
      <c r="B431" s="421"/>
      <c r="C431" s="37">
        <v>1</v>
      </c>
      <c r="D431" s="80" t="s">
        <v>698</v>
      </c>
      <c r="E431" s="382"/>
      <c r="F431" s="420"/>
      <c r="G431" s="420"/>
      <c r="H431" s="402"/>
      <c r="I431" s="402"/>
      <c r="J431" s="402"/>
      <c r="K431" s="402"/>
      <c r="L431" s="413"/>
      <c r="M431" s="413"/>
      <c r="N431" s="517"/>
    </row>
    <row r="432" spans="1:14" x14ac:dyDescent="0.25">
      <c r="A432" s="417"/>
      <c r="B432" s="421"/>
      <c r="C432" s="37">
        <v>0</v>
      </c>
      <c r="D432" s="80" t="s">
        <v>699</v>
      </c>
      <c r="E432" s="382"/>
      <c r="F432" s="420"/>
      <c r="G432" s="420"/>
      <c r="H432" s="403"/>
      <c r="I432" s="403"/>
      <c r="J432" s="403"/>
      <c r="K432" s="403"/>
      <c r="L432" s="413"/>
      <c r="M432" s="413"/>
      <c r="N432" s="517"/>
    </row>
    <row r="433" spans="1:14" x14ac:dyDescent="0.25">
      <c r="A433" s="417"/>
      <c r="B433" s="421"/>
      <c r="C433" s="419" t="s">
        <v>6</v>
      </c>
      <c r="D433" s="419"/>
      <c r="E433" s="419"/>
      <c r="F433" s="419"/>
      <c r="G433" s="64"/>
      <c r="H433" s="64"/>
      <c r="I433" s="64"/>
      <c r="J433" s="64"/>
      <c r="K433" s="110">
        <f>IF(OR(ISBLANK(K427),K427&lt;0,K427&gt;4),0,K427)</f>
        <v>0</v>
      </c>
      <c r="L433" s="413"/>
      <c r="M433" s="413"/>
      <c r="N433" s="517"/>
    </row>
    <row r="434" spans="1:14" ht="15.75" thickBot="1" x14ac:dyDescent="0.3">
      <c r="N434" s="1"/>
    </row>
    <row r="435" spans="1:14" ht="30" customHeight="1" x14ac:dyDescent="0.25">
      <c r="A435" s="448">
        <f>A427+1</f>
        <v>36</v>
      </c>
      <c r="B435" s="426" t="s">
        <v>700</v>
      </c>
      <c r="C435" s="395" t="s">
        <v>701</v>
      </c>
      <c r="D435" s="395"/>
      <c r="E435" s="382" t="s">
        <v>1752</v>
      </c>
      <c r="F435" s="414" t="s">
        <v>1130</v>
      </c>
      <c r="G435" s="414" t="s">
        <v>1131</v>
      </c>
      <c r="H435" s="34" t="s">
        <v>582</v>
      </c>
      <c r="I435" s="34">
        <v>1</v>
      </c>
      <c r="J435" s="109" t="str">
        <f>IF((IF(OR((H435&amp;"."&amp;I435)=$R$8,(H435&amp;"."&amp;I435)=$S$8,(H435&amp;"."&amp;I435)=$T$8,(H435&amp;"."&amp;I435)=$U$8,(H435&amp;"."&amp;I435)=$V$8,(H435&amp;"."&amp;I435)=$W$8),1,0))=1,"EKSTREM",IF((IF(OR((H435&amp;"."&amp;I435)=$R$9,(H435&amp;"."&amp;I435)=$S$9,(H435&amp;"."&amp;I435)=$T$9,(H435&amp;"."&amp;I435)=$U$9,(H435&amp;"."&amp;I435)=$V$9,(H435&amp;"."&amp;I435)=$W$9,(H435&amp;"."&amp;I435)=$X$9),1,0))=1,"TINGGI",IF((IF(OR((H435&amp;"."&amp;I435)=$R$10,(H435&amp;"."&amp;I435)=$S$10,(H435&amp;"."&amp;I435)=$T$10,(H435&amp;"."&amp;I435)=$U$10,(H435&amp;"."&amp;I435)=$V$10,(H435&amp;"."&amp;I435)=$W$10),1,0))=1,"MODERAT",IF((IF(OR((H435&amp;"."&amp;I435)=$R$11,(H435&amp;"."&amp;I435)=$S$11,(H435&amp;"."&amp;I435)=$T$11,(H435&amp;"."&amp;I435)=$U$11,(H435&amp;"."&amp;I435)=$V$11,(H435&amp;"."&amp;I435)=$W$11),1,0))=1,"RENDAH","-"))))</f>
        <v>RENDAH</v>
      </c>
      <c r="K435" s="36">
        <v>0</v>
      </c>
      <c r="L435" s="440" t="s">
        <v>1132</v>
      </c>
      <c r="M435" s="440" t="s">
        <v>1133</v>
      </c>
      <c r="N435" s="514"/>
    </row>
    <row r="436" spans="1:14" ht="75" x14ac:dyDescent="0.25">
      <c r="A436" s="449"/>
      <c r="B436" s="424"/>
      <c r="C436" s="37">
        <v>4</v>
      </c>
      <c r="D436" s="41" t="s">
        <v>215</v>
      </c>
      <c r="E436" s="382"/>
      <c r="F436" s="415"/>
      <c r="G436" s="415"/>
      <c r="H436" s="401"/>
      <c r="I436" s="401"/>
      <c r="J436" s="401"/>
      <c r="K436" s="401"/>
      <c r="L436" s="441"/>
      <c r="M436" s="441"/>
      <c r="N436" s="515"/>
    </row>
    <row r="437" spans="1:14" ht="45" x14ac:dyDescent="0.25">
      <c r="A437" s="449"/>
      <c r="B437" s="424"/>
      <c r="C437" s="37">
        <v>3</v>
      </c>
      <c r="D437" s="41" t="s">
        <v>216</v>
      </c>
      <c r="E437" s="382"/>
      <c r="F437" s="415"/>
      <c r="G437" s="415"/>
      <c r="H437" s="402"/>
      <c r="I437" s="402"/>
      <c r="J437" s="402"/>
      <c r="K437" s="402"/>
      <c r="L437" s="441"/>
      <c r="M437" s="441"/>
      <c r="N437" s="515"/>
    </row>
    <row r="438" spans="1:14" ht="30" x14ac:dyDescent="0.25">
      <c r="A438" s="449"/>
      <c r="B438" s="424"/>
      <c r="C438" s="37">
        <v>2</v>
      </c>
      <c r="D438" s="41" t="s">
        <v>217</v>
      </c>
      <c r="E438" s="382"/>
      <c r="F438" s="415"/>
      <c r="G438" s="415"/>
      <c r="H438" s="402"/>
      <c r="I438" s="402"/>
      <c r="J438" s="402"/>
      <c r="K438" s="402"/>
      <c r="L438" s="441"/>
      <c r="M438" s="441"/>
      <c r="N438" s="515"/>
    </row>
    <row r="439" spans="1:14" ht="30" x14ac:dyDescent="0.25">
      <c r="A439" s="449"/>
      <c r="B439" s="424"/>
      <c r="C439" s="37">
        <v>1</v>
      </c>
      <c r="D439" s="41" t="s">
        <v>218</v>
      </c>
      <c r="E439" s="382"/>
      <c r="F439" s="415"/>
      <c r="G439" s="415"/>
      <c r="H439" s="402"/>
      <c r="I439" s="402"/>
      <c r="J439" s="402"/>
      <c r="K439" s="402"/>
      <c r="L439" s="441"/>
      <c r="M439" s="441"/>
      <c r="N439" s="515"/>
    </row>
    <row r="440" spans="1:14" ht="30" x14ac:dyDescent="0.25">
      <c r="A440" s="449"/>
      <c r="B440" s="424"/>
      <c r="C440" s="37">
        <v>0</v>
      </c>
      <c r="D440" s="41" t="s">
        <v>219</v>
      </c>
      <c r="E440" s="382"/>
      <c r="F440" s="415"/>
      <c r="G440" s="415"/>
      <c r="H440" s="402"/>
      <c r="I440" s="402"/>
      <c r="J440" s="402"/>
      <c r="K440" s="403"/>
      <c r="L440" s="441"/>
      <c r="M440" s="441"/>
      <c r="N440" s="515"/>
    </row>
    <row r="441" spans="1:14" ht="31.5" customHeight="1" x14ac:dyDescent="0.25">
      <c r="A441" s="449"/>
      <c r="B441" s="424"/>
      <c r="C441" s="395" t="s">
        <v>702</v>
      </c>
      <c r="D441" s="395"/>
      <c r="E441" s="382" t="s">
        <v>1781</v>
      </c>
      <c r="F441" s="415"/>
      <c r="G441" s="415"/>
      <c r="H441" s="402"/>
      <c r="I441" s="402"/>
      <c r="J441" s="402"/>
      <c r="K441" s="36">
        <v>0</v>
      </c>
      <c r="L441" s="441"/>
      <c r="M441" s="441"/>
      <c r="N441" s="515"/>
    </row>
    <row r="442" spans="1:14" ht="75" customHeight="1" x14ac:dyDescent="0.25">
      <c r="A442" s="449"/>
      <c r="B442" s="424"/>
      <c r="C442" s="37">
        <v>4</v>
      </c>
      <c r="D442" s="41" t="s">
        <v>703</v>
      </c>
      <c r="E442" s="382"/>
      <c r="F442" s="415"/>
      <c r="G442" s="415"/>
      <c r="H442" s="402"/>
      <c r="I442" s="402"/>
      <c r="J442" s="402"/>
      <c r="K442" s="401"/>
      <c r="L442" s="441"/>
      <c r="M442" s="441"/>
      <c r="N442" s="515"/>
    </row>
    <row r="443" spans="1:14" ht="60" x14ac:dyDescent="0.25">
      <c r="A443" s="449"/>
      <c r="B443" s="424"/>
      <c r="C443" s="37">
        <v>3</v>
      </c>
      <c r="D443" s="41" t="s">
        <v>704</v>
      </c>
      <c r="E443" s="382"/>
      <c r="F443" s="415"/>
      <c r="G443" s="415"/>
      <c r="H443" s="402"/>
      <c r="I443" s="402"/>
      <c r="J443" s="402"/>
      <c r="K443" s="402"/>
      <c r="L443" s="441"/>
      <c r="M443" s="441"/>
      <c r="N443" s="515"/>
    </row>
    <row r="444" spans="1:14" ht="30" x14ac:dyDescent="0.25">
      <c r="A444" s="449"/>
      <c r="B444" s="424"/>
      <c r="C444" s="37">
        <v>2</v>
      </c>
      <c r="D444" s="41" t="s">
        <v>220</v>
      </c>
      <c r="E444" s="382"/>
      <c r="F444" s="415"/>
      <c r="G444" s="415"/>
      <c r="H444" s="402"/>
      <c r="I444" s="402"/>
      <c r="J444" s="402"/>
      <c r="K444" s="402"/>
      <c r="L444" s="441"/>
      <c r="M444" s="441"/>
      <c r="N444" s="515"/>
    </row>
    <row r="445" spans="1:14" ht="30" x14ac:dyDescent="0.25">
      <c r="A445" s="449"/>
      <c r="B445" s="424"/>
      <c r="C445" s="37">
        <v>1</v>
      </c>
      <c r="D445" s="41" t="s">
        <v>705</v>
      </c>
      <c r="E445" s="382"/>
      <c r="F445" s="415"/>
      <c r="G445" s="415"/>
      <c r="H445" s="402"/>
      <c r="I445" s="402"/>
      <c r="J445" s="402"/>
      <c r="K445" s="402"/>
      <c r="L445" s="441"/>
      <c r="M445" s="441"/>
      <c r="N445" s="515"/>
    </row>
    <row r="446" spans="1:14" ht="30" x14ac:dyDescent="0.25">
      <c r="A446" s="449"/>
      <c r="B446" s="424"/>
      <c r="C446" s="37">
        <v>0</v>
      </c>
      <c r="D446" s="41" t="s">
        <v>706</v>
      </c>
      <c r="E446" s="382"/>
      <c r="F446" s="415"/>
      <c r="G446" s="415"/>
      <c r="H446" s="402"/>
      <c r="I446" s="402"/>
      <c r="J446" s="402"/>
      <c r="K446" s="403"/>
      <c r="L446" s="441"/>
      <c r="M446" s="441"/>
      <c r="N446" s="515"/>
    </row>
    <row r="447" spans="1:14" ht="30" customHeight="1" x14ac:dyDescent="0.25">
      <c r="A447" s="449"/>
      <c r="B447" s="424"/>
      <c r="C447" s="395" t="s">
        <v>707</v>
      </c>
      <c r="D447" s="395"/>
      <c r="E447" s="382" t="s">
        <v>1782</v>
      </c>
      <c r="F447" s="415"/>
      <c r="G447" s="415"/>
      <c r="H447" s="402"/>
      <c r="I447" s="402"/>
      <c r="J447" s="402"/>
      <c r="K447" s="36">
        <v>0</v>
      </c>
      <c r="L447" s="441"/>
      <c r="M447" s="441"/>
      <c r="N447" s="515"/>
    </row>
    <row r="448" spans="1:14" ht="90" x14ac:dyDescent="0.25">
      <c r="A448" s="449"/>
      <c r="B448" s="424"/>
      <c r="C448" s="37">
        <v>4</v>
      </c>
      <c r="D448" s="41" t="s">
        <v>221</v>
      </c>
      <c r="E448" s="382"/>
      <c r="F448" s="415"/>
      <c r="G448" s="415"/>
      <c r="H448" s="402"/>
      <c r="I448" s="402"/>
      <c r="J448" s="402"/>
      <c r="K448" s="401"/>
      <c r="L448" s="441"/>
      <c r="M448" s="441"/>
      <c r="N448" s="515"/>
    </row>
    <row r="449" spans="1:14" ht="60" x14ac:dyDescent="0.25">
      <c r="A449" s="449"/>
      <c r="B449" s="424"/>
      <c r="C449" s="37">
        <v>3</v>
      </c>
      <c r="D449" s="41" t="s">
        <v>222</v>
      </c>
      <c r="E449" s="382"/>
      <c r="F449" s="415"/>
      <c r="G449" s="415"/>
      <c r="H449" s="402"/>
      <c r="I449" s="402"/>
      <c r="J449" s="402"/>
      <c r="K449" s="402"/>
      <c r="L449" s="441"/>
      <c r="M449" s="441"/>
      <c r="N449" s="515"/>
    </row>
    <row r="450" spans="1:14" ht="45" x14ac:dyDescent="0.25">
      <c r="A450" s="449"/>
      <c r="B450" s="424"/>
      <c r="C450" s="37">
        <v>2</v>
      </c>
      <c r="D450" s="41" t="s">
        <v>223</v>
      </c>
      <c r="E450" s="382"/>
      <c r="F450" s="415"/>
      <c r="G450" s="415"/>
      <c r="H450" s="402"/>
      <c r="I450" s="402"/>
      <c r="J450" s="402"/>
      <c r="K450" s="402"/>
      <c r="L450" s="441"/>
      <c r="M450" s="441"/>
      <c r="N450" s="515"/>
    </row>
    <row r="451" spans="1:14" ht="30" x14ac:dyDescent="0.25">
      <c r="A451" s="449"/>
      <c r="B451" s="424"/>
      <c r="C451" s="37">
        <v>1</v>
      </c>
      <c r="D451" s="41" t="s">
        <v>224</v>
      </c>
      <c r="E451" s="382"/>
      <c r="F451" s="415"/>
      <c r="G451" s="415"/>
      <c r="H451" s="402"/>
      <c r="I451" s="402"/>
      <c r="J451" s="402"/>
      <c r="K451" s="402"/>
      <c r="L451" s="441"/>
      <c r="M451" s="441"/>
      <c r="N451" s="515"/>
    </row>
    <row r="452" spans="1:14" x14ac:dyDescent="0.25">
      <c r="A452" s="449"/>
      <c r="B452" s="424"/>
      <c r="C452" s="37">
        <v>0</v>
      </c>
      <c r="D452" s="41" t="s">
        <v>7</v>
      </c>
      <c r="E452" s="382"/>
      <c r="F452" s="416"/>
      <c r="G452" s="416"/>
      <c r="H452" s="403"/>
      <c r="I452" s="403"/>
      <c r="J452" s="403"/>
      <c r="K452" s="403"/>
      <c r="L452" s="441"/>
      <c r="M452" s="441"/>
      <c r="N452" s="515"/>
    </row>
    <row r="453" spans="1:14" ht="15.75" thickBot="1" x14ac:dyDescent="0.3">
      <c r="A453" s="450"/>
      <c r="B453" s="427"/>
      <c r="C453" s="419" t="s">
        <v>247</v>
      </c>
      <c r="D453" s="419"/>
      <c r="E453" s="419"/>
      <c r="F453" s="419"/>
      <c r="G453" s="64"/>
      <c r="H453" s="64"/>
      <c r="I453" s="64"/>
      <c r="J453" s="64"/>
      <c r="K453" s="110">
        <f>IF(OR(ISBLANK(K435),K435&lt;0,K435&gt;4,ISBLANK(K441),K441&lt;0,K441&gt;4,ISBLANK(K447),K447&lt;0,K447&gt;4),0,(K435+2*K441+2*K447)/5)</f>
        <v>0</v>
      </c>
      <c r="L453" s="442"/>
      <c r="M453" s="442"/>
      <c r="N453" s="516"/>
    </row>
    <row r="454" spans="1:14" ht="15.75" thickBot="1" x14ac:dyDescent="0.3">
      <c r="N454" s="1"/>
    </row>
    <row r="455" spans="1:14" ht="45.75" customHeight="1" x14ac:dyDescent="0.25">
      <c r="A455" s="417">
        <f>A435+1</f>
        <v>37</v>
      </c>
      <c r="B455" s="426" t="s">
        <v>708</v>
      </c>
      <c r="C455" s="395" t="s">
        <v>709</v>
      </c>
      <c r="D455" s="395"/>
      <c r="E455" s="382" t="s">
        <v>1753</v>
      </c>
      <c r="F455" s="420" t="s">
        <v>1130</v>
      </c>
      <c r="G455" s="420" t="s">
        <v>1131</v>
      </c>
      <c r="H455" s="34" t="s">
        <v>582</v>
      </c>
      <c r="I455" s="34">
        <v>1</v>
      </c>
      <c r="J455" s="109" t="str">
        <f>IF((IF(OR((H455&amp;"."&amp;I455)=$R$8,(H455&amp;"."&amp;I455)=$S$8,(H455&amp;"."&amp;I455)=$T$8,(H455&amp;"."&amp;I455)=$U$8,(H455&amp;"."&amp;I455)=$V$8,(H455&amp;"."&amp;I455)=$W$8),1,0))=1,"EKSTREM",IF((IF(OR((H455&amp;"."&amp;I455)=$R$9,(H455&amp;"."&amp;I455)=$S$9,(H455&amp;"."&amp;I455)=$T$9,(H455&amp;"."&amp;I455)=$U$9,(H455&amp;"."&amp;I455)=$V$9,(H455&amp;"."&amp;I455)=$W$9,(H455&amp;"."&amp;I455)=$X$9),1,0))=1,"TINGGI",IF((IF(OR((H455&amp;"."&amp;I455)=$R$10,(H455&amp;"."&amp;I455)=$S$10,(H455&amp;"."&amp;I455)=$T$10,(H455&amp;"."&amp;I455)=$U$10,(H455&amp;"."&amp;I455)=$V$10,(H455&amp;"."&amp;I455)=$W$10),1,0))=1,"MODERAT",IF((IF(OR((H455&amp;"."&amp;I455)=$R$11,(H455&amp;"."&amp;I455)=$S$11,(H455&amp;"."&amp;I455)=$T$11,(H455&amp;"."&amp;I455)=$U$11,(H455&amp;"."&amp;I455)=$V$11,(H455&amp;"."&amp;I455)=$W$11),1,0))=1,"RENDAH","-"))))</f>
        <v>RENDAH</v>
      </c>
      <c r="K455" s="36">
        <v>0</v>
      </c>
      <c r="L455" s="413" t="s">
        <v>1132</v>
      </c>
      <c r="M455" s="413" t="s">
        <v>1133</v>
      </c>
      <c r="N455" s="517"/>
    </row>
    <row r="456" spans="1:14" ht="45" x14ac:dyDescent="0.25">
      <c r="A456" s="417"/>
      <c r="B456" s="424"/>
      <c r="C456" s="37">
        <v>4</v>
      </c>
      <c r="D456" s="41" t="s">
        <v>225</v>
      </c>
      <c r="E456" s="382"/>
      <c r="F456" s="420"/>
      <c r="G456" s="420"/>
      <c r="H456" s="401"/>
      <c r="I456" s="401"/>
      <c r="J456" s="401"/>
      <c r="K456" s="401"/>
      <c r="L456" s="413"/>
      <c r="M456" s="413"/>
      <c r="N456" s="517"/>
    </row>
    <row r="457" spans="1:14" ht="45" x14ac:dyDescent="0.25">
      <c r="A457" s="417"/>
      <c r="B457" s="424"/>
      <c r="C457" s="37">
        <v>3</v>
      </c>
      <c r="D457" s="41" t="s">
        <v>226</v>
      </c>
      <c r="E457" s="382"/>
      <c r="F457" s="420"/>
      <c r="G457" s="420"/>
      <c r="H457" s="402"/>
      <c r="I457" s="402"/>
      <c r="J457" s="402"/>
      <c r="K457" s="402"/>
      <c r="L457" s="413"/>
      <c r="M457" s="413"/>
      <c r="N457" s="517"/>
    </row>
    <row r="458" spans="1:14" ht="30" x14ac:dyDescent="0.25">
      <c r="A458" s="417"/>
      <c r="B458" s="424"/>
      <c r="C458" s="37">
        <v>2</v>
      </c>
      <c r="D458" s="41" t="s">
        <v>227</v>
      </c>
      <c r="E458" s="382"/>
      <c r="F458" s="420"/>
      <c r="G458" s="420"/>
      <c r="H458" s="402"/>
      <c r="I458" s="402"/>
      <c r="J458" s="402"/>
      <c r="K458" s="402"/>
      <c r="L458" s="413"/>
      <c r="M458" s="413"/>
      <c r="N458" s="517"/>
    </row>
    <row r="459" spans="1:14" ht="30" x14ac:dyDescent="0.25">
      <c r="A459" s="417"/>
      <c r="B459" s="424"/>
      <c r="C459" s="37">
        <v>1</v>
      </c>
      <c r="D459" s="41" t="s">
        <v>228</v>
      </c>
      <c r="E459" s="382"/>
      <c r="F459" s="420"/>
      <c r="G459" s="420"/>
      <c r="H459" s="402"/>
      <c r="I459" s="402"/>
      <c r="J459" s="402"/>
      <c r="K459" s="402"/>
      <c r="L459" s="413"/>
      <c r="M459" s="413"/>
      <c r="N459" s="517"/>
    </row>
    <row r="460" spans="1:14" x14ac:dyDescent="0.25">
      <c r="A460" s="417"/>
      <c r="B460" s="424"/>
      <c r="C460" s="37">
        <v>0</v>
      </c>
      <c r="D460" s="41" t="s">
        <v>7</v>
      </c>
      <c r="E460" s="382"/>
      <c r="F460" s="420"/>
      <c r="G460" s="420"/>
      <c r="H460" s="403"/>
      <c r="I460" s="403"/>
      <c r="J460" s="403"/>
      <c r="K460" s="403"/>
      <c r="L460" s="413"/>
      <c r="M460" s="413"/>
      <c r="N460" s="517"/>
    </row>
    <row r="461" spans="1:14" ht="15.75" thickBot="1" x14ac:dyDescent="0.3">
      <c r="A461" s="417"/>
      <c r="B461" s="427"/>
      <c r="C461" s="419" t="s">
        <v>6</v>
      </c>
      <c r="D461" s="419"/>
      <c r="E461" s="419"/>
      <c r="F461" s="419"/>
      <c r="G461" s="64"/>
      <c r="H461" s="64"/>
      <c r="I461" s="64"/>
      <c r="J461" s="64"/>
      <c r="K461" s="110">
        <f>IF(OR(ISBLANK(K455),K455&lt;0,K455&gt;4),0,K455)</f>
        <v>0</v>
      </c>
      <c r="L461" s="413"/>
      <c r="M461" s="413"/>
      <c r="N461" s="517"/>
    </row>
    <row r="462" spans="1:14" ht="15.75" thickBot="1" x14ac:dyDescent="0.3">
      <c r="N462" s="1"/>
    </row>
    <row r="463" spans="1:14" ht="30.75" customHeight="1" x14ac:dyDescent="0.25">
      <c r="A463" s="448">
        <f>A455+1</f>
        <v>38</v>
      </c>
      <c r="B463" s="426" t="s">
        <v>710</v>
      </c>
      <c r="C463" s="395" t="s">
        <v>711</v>
      </c>
      <c r="D463" s="395"/>
      <c r="E463" s="382" t="s">
        <v>1754</v>
      </c>
      <c r="F463" s="414" t="s">
        <v>1130</v>
      </c>
      <c r="G463" s="414" t="s">
        <v>1131</v>
      </c>
      <c r="H463" s="34" t="s">
        <v>582</v>
      </c>
      <c r="I463" s="34">
        <v>1</v>
      </c>
      <c r="J463" s="109" t="str">
        <f>IF((IF(OR((H463&amp;"."&amp;I463)=$R$8,(H463&amp;"."&amp;I463)=$S$8,(H463&amp;"."&amp;I463)=$T$8,(H463&amp;"."&amp;I463)=$U$8,(H463&amp;"."&amp;I463)=$V$8,(H463&amp;"."&amp;I463)=$W$8),1,0))=1,"EKSTREM",IF((IF(OR((H463&amp;"."&amp;I463)=$R$9,(H463&amp;"."&amp;I463)=$S$9,(H463&amp;"."&amp;I463)=$T$9,(H463&amp;"."&amp;I463)=$U$9,(H463&amp;"."&amp;I463)=$V$9,(H463&amp;"."&amp;I463)=$W$9,(H463&amp;"."&amp;I463)=$X$9),1,0))=1,"TINGGI",IF((IF(OR((H463&amp;"."&amp;I463)=$R$10,(H463&amp;"."&amp;I463)=$S$10,(H463&amp;"."&amp;I463)=$T$10,(H463&amp;"."&amp;I463)=$U$10,(H463&amp;"."&amp;I463)=$V$10,(H463&amp;"."&amp;I463)=$W$10),1,0))=1,"MODERAT",IF((IF(OR((H463&amp;"."&amp;I463)=$R$11,(H463&amp;"."&amp;I463)=$S$11,(H463&amp;"."&amp;I463)=$T$11,(H463&amp;"."&amp;I463)=$U$11,(H463&amp;"."&amp;I463)=$V$11,(H463&amp;"."&amp;I463)=$W$11),1,0))=1,"RENDAH","-"))))</f>
        <v>RENDAH</v>
      </c>
      <c r="K463" s="36">
        <v>0</v>
      </c>
      <c r="L463" s="440" t="s">
        <v>1132</v>
      </c>
      <c r="M463" s="440" t="s">
        <v>1133</v>
      </c>
      <c r="N463" s="514"/>
    </row>
    <row r="464" spans="1:14" ht="75" x14ac:dyDescent="0.25">
      <c r="A464" s="449"/>
      <c r="B464" s="424"/>
      <c r="C464" s="37">
        <v>4</v>
      </c>
      <c r="D464" s="41" t="s">
        <v>229</v>
      </c>
      <c r="E464" s="382"/>
      <c r="F464" s="415"/>
      <c r="G464" s="415"/>
      <c r="H464" s="401"/>
      <c r="I464" s="401"/>
      <c r="J464" s="401"/>
      <c r="K464" s="401"/>
      <c r="L464" s="441"/>
      <c r="M464" s="441"/>
      <c r="N464" s="515"/>
    </row>
    <row r="465" spans="1:14" ht="60" x14ac:dyDescent="0.25">
      <c r="A465" s="449"/>
      <c r="B465" s="424"/>
      <c r="C465" s="37">
        <v>3</v>
      </c>
      <c r="D465" s="41" t="s">
        <v>230</v>
      </c>
      <c r="E465" s="382"/>
      <c r="F465" s="415"/>
      <c r="G465" s="415"/>
      <c r="H465" s="402"/>
      <c r="I465" s="402"/>
      <c r="J465" s="402"/>
      <c r="K465" s="402"/>
      <c r="L465" s="441"/>
      <c r="M465" s="441"/>
      <c r="N465" s="515"/>
    </row>
    <row r="466" spans="1:14" ht="60" x14ac:dyDescent="0.25">
      <c r="A466" s="449"/>
      <c r="B466" s="424"/>
      <c r="C466" s="37">
        <v>2</v>
      </c>
      <c r="D466" s="41" t="s">
        <v>231</v>
      </c>
      <c r="E466" s="382"/>
      <c r="F466" s="415"/>
      <c r="G466" s="415"/>
      <c r="H466" s="402"/>
      <c r="I466" s="402"/>
      <c r="J466" s="402"/>
      <c r="K466" s="402"/>
      <c r="L466" s="441"/>
      <c r="M466" s="441"/>
      <c r="N466" s="515"/>
    </row>
    <row r="467" spans="1:14" ht="60" x14ac:dyDescent="0.25">
      <c r="A467" s="449"/>
      <c r="B467" s="424"/>
      <c r="C467" s="37">
        <v>1</v>
      </c>
      <c r="D467" s="41" t="s">
        <v>232</v>
      </c>
      <c r="E467" s="382"/>
      <c r="F467" s="415"/>
      <c r="G467" s="415"/>
      <c r="H467" s="402"/>
      <c r="I467" s="402"/>
      <c r="J467" s="402"/>
      <c r="K467" s="402"/>
      <c r="L467" s="441"/>
      <c r="M467" s="441"/>
      <c r="N467" s="515"/>
    </row>
    <row r="468" spans="1:14" x14ac:dyDescent="0.25">
      <c r="A468" s="449"/>
      <c r="B468" s="424"/>
      <c r="C468" s="37">
        <v>0</v>
      </c>
      <c r="D468" s="41" t="s">
        <v>233</v>
      </c>
      <c r="E468" s="382"/>
      <c r="F468" s="415"/>
      <c r="G468" s="415"/>
      <c r="H468" s="402"/>
      <c r="I468" s="402"/>
      <c r="J468" s="402"/>
      <c r="K468" s="403"/>
      <c r="L468" s="441"/>
      <c r="M468" s="441"/>
      <c r="N468" s="515"/>
    </row>
    <row r="469" spans="1:14" ht="30" customHeight="1" x14ac:dyDescent="0.25">
      <c r="A469" s="449"/>
      <c r="B469" s="424"/>
      <c r="C469" s="395" t="s">
        <v>712</v>
      </c>
      <c r="D469" s="395"/>
      <c r="E469" s="382" t="s">
        <v>1783</v>
      </c>
      <c r="F469" s="415"/>
      <c r="G469" s="415"/>
      <c r="H469" s="402"/>
      <c r="I469" s="402"/>
      <c r="J469" s="402"/>
      <c r="K469" s="36">
        <v>0</v>
      </c>
      <c r="L469" s="441"/>
      <c r="M469" s="441"/>
      <c r="N469" s="515"/>
    </row>
    <row r="470" spans="1:14" ht="45" x14ac:dyDescent="0.25">
      <c r="A470" s="449"/>
      <c r="B470" s="424"/>
      <c r="C470" s="37">
        <v>4</v>
      </c>
      <c r="D470" s="41" t="s">
        <v>234</v>
      </c>
      <c r="E470" s="382"/>
      <c r="F470" s="415"/>
      <c r="G470" s="415"/>
      <c r="H470" s="402"/>
      <c r="I470" s="402"/>
      <c r="J470" s="402"/>
      <c r="K470" s="401"/>
      <c r="L470" s="441"/>
      <c r="M470" s="441"/>
      <c r="N470" s="515"/>
    </row>
    <row r="471" spans="1:14" ht="45" x14ac:dyDescent="0.25">
      <c r="A471" s="449"/>
      <c r="B471" s="424"/>
      <c r="C471" s="37">
        <v>3</v>
      </c>
      <c r="D471" s="41" t="s">
        <v>235</v>
      </c>
      <c r="E471" s="382"/>
      <c r="F471" s="415"/>
      <c r="G471" s="415"/>
      <c r="H471" s="402"/>
      <c r="I471" s="402"/>
      <c r="J471" s="402"/>
      <c r="K471" s="402"/>
      <c r="L471" s="441"/>
      <c r="M471" s="441"/>
      <c r="N471" s="515"/>
    </row>
    <row r="472" spans="1:14" ht="30" x14ac:dyDescent="0.25">
      <c r="A472" s="449"/>
      <c r="B472" s="424"/>
      <c r="C472" s="37">
        <v>2</v>
      </c>
      <c r="D472" s="41" t="s">
        <v>236</v>
      </c>
      <c r="E472" s="382"/>
      <c r="F472" s="415"/>
      <c r="G472" s="415"/>
      <c r="H472" s="402"/>
      <c r="I472" s="402"/>
      <c r="J472" s="402"/>
      <c r="K472" s="402"/>
      <c r="L472" s="441"/>
      <c r="M472" s="441"/>
      <c r="N472" s="515"/>
    </row>
    <row r="473" spans="1:14" ht="45" x14ac:dyDescent="0.25">
      <c r="A473" s="449"/>
      <c r="B473" s="424"/>
      <c r="C473" s="37">
        <v>1</v>
      </c>
      <c r="D473" s="41" t="s">
        <v>237</v>
      </c>
      <c r="E473" s="382"/>
      <c r="F473" s="415"/>
      <c r="G473" s="415"/>
      <c r="H473" s="402"/>
      <c r="I473" s="402"/>
      <c r="J473" s="402"/>
      <c r="K473" s="402"/>
      <c r="L473" s="441"/>
      <c r="M473" s="441"/>
      <c r="N473" s="515"/>
    </row>
    <row r="474" spans="1:14" ht="30" x14ac:dyDescent="0.25">
      <c r="A474" s="449"/>
      <c r="B474" s="424"/>
      <c r="C474" s="37">
        <v>0</v>
      </c>
      <c r="D474" s="41" t="s">
        <v>238</v>
      </c>
      <c r="E474" s="382"/>
      <c r="F474" s="416"/>
      <c r="G474" s="416"/>
      <c r="H474" s="403"/>
      <c r="I474" s="403"/>
      <c r="J474" s="403"/>
      <c r="K474" s="403"/>
      <c r="L474" s="441"/>
      <c r="M474" s="441"/>
      <c r="N474" s="515"/>
    </row>
    <row r="475" spans="1:14" ht="15.75" thickBot="1" x14ac:dyDescent="0.3">
      <c r="A475" s="450"/>
      <c r="B475" s="427"/>
      <c r="C475" s="419" t="s">
        <v>8</v>
      </c>
      <c r="D475" s="419"/>
      <c r="E475" s="419"/>
      <c r="F475" s="419"/>
      <c r="G475" s="64"/>
      <c r="H475" s="64"/>
      <c r="I475" s="64"/>
      <c r="J475" s="64"/>
      <c r="K475" s="110">
        <f>IF(OR(ISBLANK(K463),K463&lt;0,K463&gt;4,ISBLANK(K469),K469&lt;0,K469&gt;4),0,(K463+2*K469)/3)</f>
        <v>0</v>
      </c>
      <c r="L475" s="442"/>
      <c r="M475" s="442"/>
      <c r="N475" s="516"/>
    </row>
    <row r="476" spans="1:14" x14ac:dyDescent="0.25">
      <c r="N476" s="1"/>
    </row>
    <row r="477" spans="1:14" ht="30" customHeight="1" x14ac:dyDescent="0.25">
      <c r="A477" s="417">
        <f>A463+1</f>
        <v>39</v>
      </c>
      <c r="B477" s="423" t="s">
        <v>713</v>
      </c>
      <c r="C477" s="395" t="s">
        <v>714</v>
      </c>
      <c r="D477" s="395"/>
      <c r="E477" s="382" t="s">
        <v>1753</v>
      </c>
      <c r="F477" s="414" t="s">
        <v>1130</v>
      </c>
      <c r="G477" s="414" t="s">
        <v>1131</v>
      </c>
      <c r="H477" s="34" t="s">
        <v>582</v>
      </c>
      <c r="I477" s="34">
        <v>1</v>
      </c>
      <c r="J477" s="109" t="str">
        <f>IF((IF(OR((H477&amp;"."&amp;I477)=$R$8,(H477&amp;"."&amp;I477)=$S$8,(H477&amp;"."&amp;I477)=$T$8,(H477&amp;"."&amp;I477)=$U$8,(H477&amp;"."&amp;I477)=$V$8,(H477&amp;"."&amp;I477)=$W$8),1,0))=1,"EKSTREM",IF((IF(OR((H477&amp;"."&amp;I477)=$R$9,(H477&amp;"."&amp;I477)=$S$9,(H477&amp;"."&amp;I477)=$T$9,(H477&amp;"."&amp;I477)=$U$9,(H477&amp;"."&amp;I477)=$V$9,(H477&amp;"."&amp;I477)=$W$9,(H477&amp;"."&amp;I477)=$X$9),1,0))=1,"TINGGI",IF((IF(OR((H477&amp;"."&amp;I477)=$R$10,(H477&amp;"."&amp;I477)=$S$10,(H477&amp;"."&amp;I477)=$T$10,(H477&amp;"."&amp;I477)=$U$10,(H477&amp;"."&amp;I477)=$V$10,(H477&amp;"."&amp;I477)=$W$10),1,0))=1,"MODERAT",IF((IF(OR((H477&amp;"."&amp;I477)=$R$11,(H477&amp;"."&amp;I477)=$S$11,(H477&amp;"."&amp;I477)=$T$11,(H477&amp;"."&amp;I477)=$U$11,(H477&amp;"."&amp;I477)=$V$11,(H477&amp;"."&amp;I477)=$W$11),1,0))=1,"RENDAH","-"))))</f>
        <v>RENDAH</v>
      </c>
      <c r="K477" s="36">
        <v>0</v>
      </c>
      <c r="L477" s="440" t="s">
        <v>1132</v>
      </c>
      <c r="M477" s="440" t="s">
        <v>1133</v>
      </c>
      <c r="N477" s="514"/>
    </row>
    <row r="478" spans="1:14" ht="60" x14ac:dyDescent="0.25">
      <c r="A478" s="417"/>
      <c r="B478" s="424"/>
      <c r="C478" s="37">
        <v>4</v>
      </c>
      <c r="D478" s="41" t="s">
        <v>242</v>
      </c>
      <c r="E478" s="382"/>
      <c r="F478" s="415"/>
      <c r="G478" s="415"/>
      <c r="H478" s="401"/>
      <c r="I478" s="401"/>
      <c r="J478" s="401"/>
      <c r="K478" s="401"/>
      <c r="L478" s="441"/>
      <c r="M478" s="441"/>
      <c r="N478" s="515"/>
    </row>
    <row r="479" spans="1:14" ht="45" x14ac:dyDescent="0.25">
      <c r="A479" s="417"/>
      <c r="B479" s="424"/>
      <c r="C479" s="37">
        <v>3</v>
      </c>
      <c r="D479" s="41" t="s">
        <v>243</v>
      </c>
      <c r="E479" s="382"/>
      <c r="F479" s="415"/>
      <c r="G479" s="415"/>
      <c r="H479" s="402"/>
      <c r="I479" s="402"/>
      <c r="J479" s="402"/>
      <c r="K479" s="402"/>
      <c r="L479" s="441"/>
      <c r="M479" s="441"/>
      <c r="N479" s="515"/>
    </row>
    <row r="480" spans="1:14" ht="45" x14ac:dyDescent="0.25">
      <c r="A480" s="417"/>
      <c r="B480" s="424"/>
      <c r="C480" s="37">
        <v>2</v>
      </c>
      <c r="D480" s="41" t="s">
        <v>244</v>
      </c>
      <c r="E480" s="382"/>
      <c r="F480" s="415"/>
      <c r="G480" s="415"/>
      <c r="H480" s="402"/>
      <c r="I480" s="402"/>
      <c r="J480" s="402"/>
      <c r="K480" s="402"/>
      <c r="L480" s="441"/>
      <c r="M480" s="441"/>
      <c r="N480" s="515"/>
    </row>
    <row r="481" spans="1:14" ht="45" x14ac:dyDescent="0.25">
      <c r="A481" s="417"/>
      <c r="B481" s="424"/>
      <c r="C481" s="37">
        <v>1</v>
      </c>
      <c r="D481" s="41" t="s">
        <v>245</v>
      </c>
      <c r="E481" s="382"/>
      <c r="F481" s="415"/>
      <c r="G481" s="415"/>
      <c r="H481" s="402"/>
      <c r="I481" s="402"/>
      <c r="J481" s="402"/>
      <c r="K481" s="402"/>
      <c r="L481" s="441"/>
      <c r="M481" s="441"/>
      <c r="N481" s="515"/>
    </row>
    <row r="482" spans="1:14" ht="30" x14ac:dyDescent="0.25">
      <c r="A482" s="417"/>
      <c r="B482" s="424"/>
      <c r="C482" s="37">
        <v>0</v>
      </c>
      <c r="D482" s="41" t="s">
        <v>246</v>
      </c>
      <c r="E482" s="382"/>
      <c r="F482" s="415"/>
      <c r="G482" s="415"/>
      <c r="H482" s="402"/>
      <c r="I482" s="402"/>
      <c r="J482" s="402"/>
      <c r="K482" s="403"/>
      <c r="L482" s="441"/>
      <c r="M482" s="441"/>
      <c r="N482" s="515"/>
    </row>
    <row r="483" spans="1:14" ht="15" customHeight="1" x14ac:dyDescent="0.25">
      <c r="A483" s="417"/>
      <c r="B483" s="424"/>
      <c r="C483" s="395" t="s">
        <v>715</v>
      </c>
      <c r="D483" s="395"/>
      <c r="E483" s="382" t="s">
        <v>1784</v>
      </c>
      <c r="F483" s="415"/>
      <c r="G483" s="415"/>
      <c r="H483" s="402"/>
      <c r="I483" s="402"/>
      <c r="J483" s="402"/>
      <c r="K483" s="36">
        <v>0</v>
      </c>
      <c r="L483" s="441"/>
      <c r="M483" s="441"/>
      <c r="N483" s="515"/>
    </row>
    <row r="484" spans="1:14" ht="90" x14ac:dyDescent="0.25">
      <c r="A484" s="417"/>
      <c r="B484" s="424"/>
      <c r="C484" s="37">
        <v>4</v>
      </c>
      <c r="D484" s="41" t="s">
        <v>248</v>
      </c>
      <c r="E484" s="382"/>
      <c r="F484" s="415"/>
      <c r="G484" s="415"/>
      <c r="H484" s="402"/>
      <c r="I484" s="402"/>
      <c r="J484" s="402"/>
      <c r="K484" s="401"/>
      <c r="L484" s="441"/>
      <c r="M484" s="441"/>
      <c r="N484" s="515"/>
    </row>
    <row r="485" spans="1:14" ht="75" x14ac:dyDescent="0.25">
      <c r="A485" s="417"/>
      <c r="B485" s="424"/>
      <c r="C485" s="37">
        <v>3</v>
      </c>
      <c r="D485" s="41" t="s">
        <v>249</v>
      </c>
      <c r="E485" s="382"/>
      <c r="F485" s="415"/>
      <c r="G485" s="415"/>
      <c r="H485" s="402"/>
      <c r="I485" s="402"/>
      <c r="J485" s="402"/>
      <c r="K485" s="402"/>
      <c r="L485" s="441"/>
      <c r="M485" s="441"/>
      <c r="N485" s="515"/>
    </row>
    <row r="486" spans="1:14" ht="45" x14ac:dyDescent="0.25">
      <c r="A486" s="417"/>
      <c r="B486" s="424"/>
      <c r="C486" s="37">
        <v>2</v>
      </c>
      <c r="D486" s="41" t="s">
        <v>250</v>
      </c>
      <c r="E486" s="382"/>
      <c r="F486" s="415"/>
      <c r="G486" s="415"/>
      <c r="H486" s="402"/>
      <c r="I486" s="402"/>
      <c r="J486" s="402"/>
      <c r="K486" s="402"/>
      <c r="L486" s="441"/>
      <c r="M486" s="441"/>
      <c r="N486" s="515"/>
    </row>
    <row r="487" spans="1:14" ht="30" x14ac:dyDescent="0.25">
      <c r="A487" s="417"/>
      <c r="B487" s="424"/>
      <c r="C487" s="37">
        <v>1</v>
      </c>
      <c r="D487" s="41" t="s">
        <v>251</v>
      </c>
      <c r="E487" s="382"/>
      <c r="F487" s="415"/>
      <c r="G487" s="415"/>
      <c r="H487" s="402"/>
      <c r="I487" s="402"/>
      <c r="J487" s="402"/>
      <c r="K487" s="402"/>
      <c r="L487" s="441"/>
      <c r="M487" s="441"/>
      <c r="N487" s="515"/>
    </row>
    <row r="488" spans="1:14" ht="30" x14ac:dyDescent="0.25">
      <c r="A488" s="417"/>
      <c r="B488" s="424"/>
      <c r="C488" s="37">
        <v>0</v>
      </c>
      <c r="D488" s="41" t="s">
        <v>252</v>
      </c>
      <c r="E488" s="382"/>
      <c r="F488" s="415"/>
      <c r="G488" s="415"/>
      <c r="H488" s="402"/>
      <c r="I488" s="402"/>
      <c r="J488" s="402"/>
      <c r="K488" s="403"/>
      <c r="L488" s="441"/>
      <c r="M488" s="441"/>
      <c r="N488" s="515"/>
    </row>
    <row r="489" spans="1:14" ht="120.75" customHeight="1" x14ac:dyDescent="0.25">
      <c r="A489" s="417"/>
      <c r="B489" s="424"/>
      <c r="C489" s="395" t="s">
        <v>716</v>
      </c>
      <c r="D489" s="395"/>
      <c r="E489" s="382" t="s">
        <v>1785</v>
      </c>
      <c r="F489" s="415"/>
      <c r="G489" s="415"/>
      <c r="H489" s="402"/>
      <c r="I489" s="402"/>
      <c r="J489" s="402"/>
      <c r="K489" s="36">
        <v>0</v>
      </c>
      <c r="L489" s="441"/>
      <c r="M489" s="441"/>
      <c r="N489" s="515"/>
    </row>
    <row r="490" spans="1:14" ht="60" x14ac:dyDescent="0.25">
      <c r="A490" s="417"/>
      <c r="B490" s="424"/>
      <c r="C490" s="37">
        <v>4</v>
      </c>
      <c r="D490" s="81" t="s">
        <v>717</v>
      </c>
      <c r="E490" s="382"/>
      <c r="F490" s="415"/>
      <c r="G490" s="415"/>
      <c r="H490" s="402"/>
      <c r="I490" s="402"/>
      <c r="J490" s="402"/>
      <c r="K490" s="401"/>
      <c r="L490" s="441"/>
      <c r="M490" s="441"/>
      <c r="N490" s="515"/>
    </row>
    <row r="491" spans="1:14" x14ac:dyDescent="0.25">
      <c r="A491" s="417"/>
      <c r="B491" s="424"/>
      <c r="C491" s="37">
        <v>3</v>
      </c>
      <c r="D491" s="57" t="s">
        <v>718</v>
      </c>
      <c r="E491" s="382"/>
      <c r="F491" s="415"/>
      <c r="G491" s="415"/>
      <c r="H491" s="402"/>
      <c r="I491" s="402"/>
      <c r="J491" s="402"/>
      <c r="K491" s="402"/>
      <c r="L491" s="441"/>
      <c r="M491" s="441"/>
      <c r="N491" s="515"/>
    </row>
    <row r="492" spans="1:14" ht="60" x14ac:dyDescent="0.25">
      <c r="A492" s="417"/>
      <c r="B492" s="424"/>
      <c r="C492" s="37">
        <v>2</v>
      </c>
      <c r="D492" s="81" t="s">
        <v>719</v>
      </c>
      <c r="E492" s="382"/>
      <c r="F492" s="415"/>
      <c r="G492" s="415"/>
      <c r="H492" s="402"/>
      <c r="I492" s="402"/>
      <c r="J492" s="402"/>
      <c r="K492" s="402"/>
      <c r="L492" s="441"/>
      <c r="M492" s="441"/>
      <c r="N492" s="515"/>
    </row>
    <row r="493" spans="1:14" x14ac:dyDescent="0.25">
      <c r="A493" s="417"/>
      <c r="B493" s="424"/>
      <c r="C493" s="37">
        <v>1</v>
      </c>
      <c r="D493" s="432" t="s">
        <v>540</v>
      </c>
      <c r="E493" s="382"/>
      <c r="F493" s="415"/>
      <c r="G493" s="415"/>
      <c r="H493" s="402"/>
      <c r="I493" s="402"/>
      <c r="J493" s="402"/>
      <c r="K493" s="402"/>
      <c r="L493" s="441"/>
      <c r="M493" s="441"/>
      <c r="N493" s="515"/>
    </row>
    <row r="494" spans="1:14" x14ac:dyDescent="0.25">
      <c r="A494" s="417"/>
      <c r="B494" s="424"/>
      <c r="C494" s="37">
        <v>0</v>
      </c>
      <c r="D494" s="433"/>
      <c r="E494" s="382"/>
      <c r="F494" s="415"/>
      <c r="G494" s="415"/>
      <c r="H494" s="402"/>
      <c r="I494" s="402"/>
      <c r="J494" s="402"/>
      <c r="K494" s="403"/>
      <c r="L494" s="441"/>
      <c r="M494" s="441"/>
      <c r="N494" s="515"/>
    </row>
    <row r="495" spans="1:14" ht="105" customHeight="1" x14ac:dyDescent="0.25">
      <c r="A495" s="417"/>
      <c r="B495" s="424"/>
      <c r="C495" s="395" t="s">
        <v>720</v>
      </c>
      <c r="D495" s="395"/>
      <c r="E495" s="382" t="s">
        <v>1786</v>
      </c>
      <c r="F495" s="415"/>
      <c r="G495" s="415"/>
      <c r="H495" s="402"/>
      <c r="I495" s="402"/>
      <c r="J495" s="402"/>
      <c r="K495" s="36">
        <v>0</v>
      </c>
      <c r="L495" s="441"/>
      <c r="M495" s="441"/>
      <c r="N495" s="515"/>
    </row>
    <row r="496" spans="1:14" ht="45" x14ac:dyDescent="0.25">
      <c r="A496" s="417"/>
      <c r="B496" s="424"/>
      <c r="C496" s="37">
        <v>4</v>
      </c>
      <c r="D496" s="57" t="s">
        <v>721</v>
      </c>
      <c r="E496" s="382"/>
      <c r="F496" s="415"/>
      <c r="G496" s="415"/>
      <c r="H496" s="402"/>
      <c r="I496" s="402"/>
      <c r="J496" s="402"/>
      <c r="K496" s="401"/>
      <c r="L496" s="441"/>
      <c r="M496" s="441"/>
      <c r="N496" s="515"/>
    </row>
    <row r="497" spans="1:14" x14ac:dyDescent="0.25">
      <c r="A497" s="417"/>
      <c r="B497" s="424"/>
      <c r="C497" s="37">
        <v>3</v>
      </c>
      <c r="D497" s="57" t="s">
        <v>718</v>
      </c>
      <c r="E497" s="382"/>
      <c r="F497" s="415"/>
      <c r="G497" s="415"/>
      <c r="H497" s="402"/>
      <c r="I497" s="402"/>
      <c r="J497" s="402"/>
      <c r="K497" s="402"/>
      <c r="L497" s="441"/>
      <c r="M497" s="441"/>
      <c r="N497" s="515"/>
    </row>
    <row r="498" spans="1:14" ht="45" x14ac:dyDescent="0.25">
      <c r="A498" s="417"/>
      <c r="B498" s="424"/>
      <c r="C498" s="37">
        <v>2</v>
      </c>
      <c r="D498" s="57" t="s">
        <v>722</v>
      </c>
      <c r="E498" s="382"/>
      <c r="F498" s="415"/>
      <c r="G498" s="415"/>
      <c r="H498" s="402"/>
      <c r="I498" s="402"/>
      <c r="J498" s="402"/>
      <c r="K498" s="402"/>
      <c r="L498" s="441"/>
      <c r="M498" s="441"/>
      <c r="N498" s="515"/>
    </row>
    <row r="499" spans="1:14" x14ac:dyDescent="0.25">
      <c r="A499" s="417"/>
      <c r="B499" s="424"/>
      <c r="C499" s="37">
        <v>1</v>
      </c>
      <c r="D499" s="432" t="s">
        <v>540</v>
      </c>
      <c r="E499" s="382"/>
      <c r="F499" s="415"/>
      <c r="G499" s="415"/>
      <c r="H499" s="402"/>
      <c r="I499" s="402"/>
      <c r="J499" s="402"/>
      <c r="K499" s="402"/>
      <c r="L499" s="441"/>
      <c r="M499" s="441"/>
      <c r="N499" s="515"/>
    </row>
    <row r="500" spans="1:14" x14ac:dyDescent="0.25">
      <c r="A500" s="417"/>
      <c r="B500" s="424"/>
      <c r="C500" s="37">
        <v>0</v>
      </c>
      <c r="D500" s="433"/>
      <c r="E500" s="382"/>
      <c r="F500" s="415"/>
      <c r="G500" s="415"/>
      <c r="H500" s="402"/>
      <c r="I500" s="402"/>
      <c r="J500" s="402"/>
      <c r="K500" s="403"/>
      <c r="L500" s="441"/>
      <c r="M500" s="441"/>
      <c r="N500" s="515"/>
    </row>
    <row r="501" spans="1:14" ht="45" customHeight="1" x14ac:dyDescent="0.25">
      <c r="A501" s="417"/>
      <c r="B501" s="424"/>
      <c r="C501" s="395" t="s">
        <v>723</v>
      </c>
      <c r="D501" s="395"/>
      <c r="E501" s="382" t="s">
        <v>1787</v>
      </c>
      <c r="F501" s="415"/>
      <c r="G501" s="415"/>
      <c r="H501" s="402"/>
      <c r="I501" s="402"/>
      <c r="J501" s="402"/>
      <c r="K501" s="36">
        <v>0</v>
      </c>
      <c r="L501" s="441"/>
      <c r="M501" s="441"/>
      <c r="N501" s="515"/>
    </row>
    <row r="502" spans="1:14" ht="45" x14ac:dyDescent="0.25">
      <c r="A502" s="417"/>
      <c r="B502" s="424"/>
      <c r="C502" s="37">
        <v>4</v>
      </c>
      <c r="D502" s="57" t="s">
        <v>724</v>
      </c>
      <c r="E502" s="382"/>
      <c r="F502" s="415"/>
      <c r="G502" s="415"/>
      <c r="H502" s="402"/>
      <c r="I502" s="402"/>
      <c r="J502" s="402"/>
      <c r="K502" s="401"/>
      <c r="L502" s="441"/>
      <c r="M502" s="441"/>
      <c r="N502" s="515"/>
    </row>
    <row r="503" spans="1:14" ht="45" x14ac:dyDescent="0.25">
      <c r="A503" s="417"/>
      <c r="B503" s="424"/>
      <c r="C503" s="37">
        <v>3</v>
      </c>
      <c r="D503" s="57" t="s">
        <v>725</v>
      </c>
      <c r="E503" s="382"/>
      <c r="F503" s="415"/>
      <c r="G503" s="415"/>
      <c r="H503" s="402"/>
      <c r="I503" s="402"/>
      <c r="J503" s="402"/>
      <c r="K503" s="402"/>
      <c r="L503" s="441"/>
      <c r="M503" s="441"/>
      <c r="N503" s="515"/>
    </row>
    <row r="504" spans="1:14" ht="45" x14ac:dyDescent="0.25">
      <c r="A504" s="417"/>
      <c r="B504" s="424"/>
      <c r="C504" s="37">
        <v>2</v>
      </c>
      <c r="D504" s="57" t="s">
        <v>726</v>
      </c>
      <c r="E504" s="382"/>
      <c r="F504" s="415"/>
      <c r="G504" s="415"/>
      <c r="H504" s="402"/>
      <c r="I504" s="402"/>
      <c r="J504" s="402"/>
      <c r="K504" s="402"/>
      <c r="L504" s="441"/>
      <c r="M504" s="441"/>
      <c r="N504" s="515"/>
    </row>
    <row r="505" spans="1:14" ht="45" x14ac:dyDescent="0.25">
      <c r="A505" s="417"/>
      <c r="B505" s="424"/>
      <c r="C505" s="37">
        <v>1</v>
      </c>
      <c r="D505" s="57" t="s">
        <v>727</v>
      </c>
      <c r="E505" s="382"/>
      <c r="F505" s="415"/>
      <c r="G505" s="415"/>
      <c r="H505" s="402"/>
      <c r="I505" s="402"/>
      <c r="J505" s="402"/>
      <c r="K505" s="402"/>
      <c r="L505" s="441"/>
      <c r="M505" s="441"/>
      <c r="N505" s="515"/>
    </row>
    <row r="506" spans="1:14" ht="45" x14ac:dyDescent="0.25">
      <c r="A506" s="417"/>
      <c r="B506" s="424"/>
      <c r="C506" s="37">
        <v>0</v>
      </c>
      <c r="D506" s="57" t="s">
        <v>728</v>
      </c>
      <c r="E506" s="382"/>
      <c r="F506" s="416"/>
      <c r="G506" s="416"/>
      <c r="H506" s="403"/>
      <c r="I506" s="403"/>
      <c r="J506" s="403"/>
      <c r="K506" s="403"/>
      <c r="L506" s="441"/>
      <c r="M506" s="441"/>
      <c r="N506" s="515"/>
    </row>
    <row r="507" spans="1:14" x14ac:dyDescent="0.25">
      <c r="A507" s="417"/>
      <c r="B507" s="425"/>
      <c r="C507" s="419" t="s">
        <v>729</v>
      </c>
      <c r="D507" s="419"/>
      <c r="E507" s="419"/>
      <c r="F507" s="419"/>
      <c r="G507" s="64"/>
      <c r="H507" s="64"/>
      <c r="I507" s="64"/>
      <c r="J507" s="64"/>
      <c r="K507" s="110">
        <f>IF(OR(ISBLANK(K477),K477&lt;0,K477&gt;4,ISBLANK(K501),K501&lt;0,K501&gt;4),0,(K477+2*K483+2*K489+2*K495+2*K501)/9)</f>
        <v>0</v>
      </c>
      <c r="L507" s="442"/>
      <c r="M507" s="442"/>
      <c r="N507" s="516"/>
    </row>
    <row r="508" spans="1:14" ht="15.75" thickBot="1" x14ac:dyDescent="0.3">
      <c r="N508" s="1"/>
    </row>
    <row r="509" spans="1:14" ht="30" hidden="1" customHeight="1" x14ac:dyDescent="0.25">
      <c r="A509" s="417"/>
      <c r="B509" s="445"/>
      <c r="C509" s="395" t="s">
        <v>730</v>
      </c>
      <c r="D509" s="395"/>
      <c r="E509" s="382" t="s">
        <v>903</v>
      </c>
      <c r="F509" s="420" t="s">
        <v>877</v>
      </c>
      <c r="G509" s="420" t="s">
        <v>878</v>
      </c>
      <c r="H509" s="34" t="s">
        <v>582</v>
      </c>
      <c r="I509" s="34">
        <v>1</v>
      </c>
      <c r="J509" s="35" t="str">
        <f>IF((IF(OR((H509&amp;"."&amp;I509)=$R$8,(H509&amp;"."&amp;I509)=$S$8,(H509&amp;"."&amp;I509)=$T$8,(H509&amp;"."&amp;I509)=$U$8,(H509&amp;"."&amp;I509)=$V$8,(H509&amp;"."&amp;I509)=$W$8),1,0))=1,"EKSTREM",IF((IF(OR((H509&amp;"."&amp;I509)=$R$9,(H509&amp;"."&amp;I509)=$S$9,(H509&amp;"."&amp;I509)=$T$9,(H509&amp;"."&amp;I509)=$U$9,(H509&amp;"."&amp;I509)=$V$9,(H509&amp;"."&amp;I509)=$W$9,(H509&amp;"."&amp;I509)=$X$9),1,0))=1,"TINGGI",IF((IF(OR((H509&amp;"."&amp;I509)=$R$10,(H509&amp;"."&amp;I509)=$S$10,(H509&amp;"."&amp;I509)=$T$10,(H509&amp;"."&amp;I509)=$U$10,(H509&amp;"."&amp;I509)=$V$10,(H509&amp;"."&amp;I509)=$W$10),1,0))=1,"MODERAT",IF((IF(OR((H509&amp;"."&amp;I509)=$R$11,(H509&amp;"."&amp;I509)=$S$11,(H509&amp;"."&amp;I509)=$T$11,(H509&amp;"."&amp;I509)=$U$11,(H509&amp;"."&amp;I509)=$V$11,(H509&amp;"."&amp;I509)=$W$11),1,0))=1,"RENDAH","-"))))</f>
        <v>RENDAH</v>
      </c>
      <c r="K509" s="50"/>
      <c r="L509" s="413" t="s">
        <v>1022</v>
      </c>
      <c r="M509" s="413" t="s">
        <v>1023</v>
      </c>
      <c r="N509" s="413"/>
    </row>
    <row r="510" spans="1:14" ht="30" hidden="1" customHeight="1" x14ac:dyDescent="0.25">
      <c r="A510" s="417"/>
      <c r="B510" s="445"/>
      <c r="C510" s="382" t="s">
        <v>254</v>
      </c>
      <c r="D510" s="382"/>
      <c r="E510" s="382"/>
      <c r="F510" s="420"/>
      <c r="G510" s="420"/>
      <c r="H510" s="401"/>
      <c r="I510" s="401"/>
      <c r="J510" s="401"/>
      <c r="K510" s="65">
        <f>'Isian Prodi'!B153</f>
        <v>0</v>
      </c>
      <c r="L510" s="413"/>
      <c r="M510" s="413"/>
      <c r="N510" s="413"/>
    </row>
    <row r="511" spans="1:14" hidden="1" x14ac:dyDescent="0.25">
      <c r="A511" s="417"/>
      <c r="B511" s="445"/>
      <c r="C511" s="443" t="s">
        <v>255</v>
      </c>
      <c r="D511" s="443"/>
      <c r="E511" s="382"/>
      <c r="F511" s="420"/>
      <c r="G511" s="420"/>
      <c r="H511" s="402"/>
      <c r="I511" s="402"/>
      <c r="J511" s="402"/>
      <c r="K511" s="65">
        <f>'Isian Prodi'!B154</f>
        <v>0</v>
      </c>
      <c r="L511" s="413"/>
      <c r="M511" s="413"/>
      <c r="N511" s="413"/>
    </row>
    <row r="512" spans="1:14" hidden="1" x14ac:dyDescent="0.25">
      <c r="A512" s="417"/>
      <c r="B512" s="445"/>
      <c r="C512" s="443" t="s">
        <v>258</v>
      </c>
      <c r="D512" s="443"/>
      <c r="E512" s="382"/>
      <c r="F512" s="420"/>
      <c r="G512" s="420"/>
      <c r="H512" s="403"/>
      <c r="I512" s="403"/>
      <c r="J512" s="403"/>
      <c r="K512" s="66">
        <f>IF(K511&gt;0,K510/K511,0)</f>
        <v>0</v>
      </c>
      <c r="L512" s="413"/>
      <c r="M512" s="413"/>
      <c r="N512" s="413"/>
    </row>
    <row r="513" spans="1:14" hidden="1" x14ac:dyDescent="0.25">
      <c r="A513" s="417"/>
      <c r="B513" s="445"/>
      <c r="C513" s="419" t="s">
        <v>6</v>
      </c>
      <c r="D513" s="419"/>
      <c r="E513" s="419"/>
      <c r="F513" s="419"/>
      <c r="G513" s="64"/>
      <c r="H513" s="64"/>
      <c r="I513" s="64"/>
      <c r="J513" s="64"/>
      <c r="K513" s="65">
        <f>IF((IF(K512&gt;=20%,4,20*K512))&lt;=4,IF(K512&gt;=20%,4,20*K512),4)</f>
        <v>0</v>
      </c>
      <c r="L513" s="413"/>
      <c r="M513" s="413"/>
      <c r="N513" s="413"/>
    </row>
    <row r="514" spans="1:14" ht="15.75" hidden="1" thickBot="1" x14ac:dyDescent="0.3">
      <c r="N514" s="1"/>
    </row>
    <row r="515" spans="1:14" ht="60" customHeight="1" x14ac:dyDescent="0.25">
      <c r="A515" s="417">
        <v>40</v>
      </c>
      <c r="B515" s="426" t="s">
        <v>731</v>
      </c>
      <c r="C515" s="395" t="s">
        <v>732</v>
      </c>
      <c r="D515" s="395"/>
      <c r="E515" s="382" t="s">
        <v>1755</v>
      </c>
      <c r="F515" s="420" t="s">
        <v>1130</v>
      </c>
      <c r="G515" s="420" t="s">
        <v>1131</v>
      </c>
      <c r="H515" s="34" t="s">
        <v>582</v>
      </c>
      <c r="I515" s="34">
        <v>1</v>
      </c>
      <c r="J515" s="109" t="str">
        <f>IF((IF(OR((H515&amp;"."&amp;I515)=$R$8,(H515&amp;"."&amp;I515)=$S$8,(H515&amp;"."&amp;I515)=$T$8,(H515&amp;"."&amp;I515)=$U$8,(H515&amp;"."&amp;I515)=$V$8,(H515&amp;"."&amp;I515)=$W$8),1,0))=1,"EKSTREM",IF((IF(OR((H515&amp;"."&amp;I515)=$R$9,(H515&amp;"."&amp;I515)=$S$9,(H515&amp;"."&amp;I515)=$T$9,(H515&amp;"."&amp;I515)=$U$9,(H515&amp;"."&amp;I515)=$V$9,(H515&amp;"."&amp;I515)=$W$9,(H515&amp;"."&amp;I515)=$X$9),1,0))=1,"TINGGI",IF((IF(OR((H515&amp;"."&amp;I515)=$R$10,(H515&amp;"."&amp;I515)=$S$10,(H515&amp;"."&amp;I515)=$T$10,(H515&amp;"."&amp;I515)=$U$10,(H515&amp;"."&amp;I515)=$V$10,(H515&amp;"."&amp;I515)=$W$10),1,0))=1,"MODERAT",IF((IF(OR((H515&amp;"."&amp;I515)=$R$11,(H515&amp;"."&amp;I515)=$S$11,(H515&amp;"."&amp;I515)=$T$11,(H515&amp;"."&amp;I515)=$U$11,(H515&amp;"."&amp;I515)=$V$11,(H515&amp;"."&amp;I515)=$W$11),1,0))=1,"RENDAH","-"))))</f>
        <v>RENDAH</v>
      </c>
      <c r="K515" s="36">
        <v>0</v>
      </c>
      <c r="L515" s="413" t="s">
        <v>1132</v>
      </c>
      <c r="M515" s="413" t="s">
        <v>1133</v>
      </c>
      <c r="N515" s="517"/>
    </row>
    <row r="516" spans="1:14" ht="75" x14ac:dyDescent="0.25">
      <c r="A516" s="417"/>
      <c r="B516" s="424"/>
      <c r="C516" s="37">
        <v>4</v>
      </c>
      <c r="D516" s="82" t="s">
        <v>733</v>
      </c>
      <c r="E516" s="382"/>
      <c r="F516" s="420"/>
      <c r="G516" s="420"/>
      <c r="H516" s="401"/>
      <c r="I516" s="401"/>
      <c r="J516" s="401"/>
      <c r="K516" s="401"/>
      <c r="L516" s="413"/>
      <c r="M516" s="413"/>
      <c r="N516" s="517"/>
    </row>
    <row r="517" spans="1:14" ht="75" x14ac:dyDescent="0.25">
      <c r="A517" s="417"/>
      <c r="B517" s="424"/>
      <c r="C517" s="37">
        <v>3</v>
      </c>
      <c r="D517" s="82" t="s">
        <v>734</v>
      </c>
      <c r="E517" s="382"/>
      <c r="F517" s="420"/>
      <c r="G517" s="420"/>
      <c r="H517" s="402"/>
      <c r="I517" s="402"/>
      <c r="J517" s="402"/>
      <c r="K517" s="402"/>
      <c r="L517" s="413"/>
      <c r="M517" s="413"/>
      <c r="N517" s="517"/>
    </row>
    <row r="518" spans="1:14" ht="60" x14ac:dyDescent="0.25">
      <c r="A518" s="417"/>
      <c r="B518" s="424"/>
      <c r="C518" s="37">
        <v>2</v>
      </c>
      <c r="D518" s="82" t="s">
        <v>735</v>
      </c>
      <c r="E518" s="382"/>
      <c r="F518" s="420"/>
      <c r="G518" s="420"/>
      <c r="H518" s="402"/>
      <c r="I518" s="402"/>
      <c r="J518" s="402"/>
      <c r="K518" s="402"/>
      <c r="L518" s="413"/>
      <c r="M518" s="413"/>
      <c r="N518" s="517"/>
    </row>
    <row r="519" spans="1:14" ht="60" x14ac:dyDescent="0.25">
      <c r="A519" s="417"/>
      <c r="B519" s="424"/>
      <c r="C519" s="37">
        <v>1</v>
      </c>
      <c r="D519" s="82" t="s">
        <v>736</v>
      </c>
      <c r="E519" s="382"/>
      <c r="F519" s="420"/>
      <c r="G519" s="420"/>
      <c r="H519" s="402"/>
      <c r="I519" s="402"/>
      <c r="J519" s="402"/>
      <c r="K519" s="402"/>
      <c r="L519" s="413"/>
      <c r="M519" s="413"/>
      <c r="N519" s="517"/>
    </row>
    <row r="520" spans="1:14" ht="60" x14ac:dyDescent="0.25">
      <c r="A520" s="417"/>
      <c r="B520" s="424"/>
      <c r="C520" s="37">
        <v>0</v>
      </c>
      <c r="D520" s="82" t="s">
        <v>737</v>
      </c>
      <c r="E520" s="382"/>
      <c r="F520" s="420"/>
      <c r="G520" s="420"/>
      <c r="H520" s="403"/>
      <c r="I520" s="403"/>
      <c r="J520" s="403"/>
      <c r="K520" s="403"/>
      <c r="L520" s="413"/>
      <c r="M520" s="413"/>
      <c r="N520" s="517"/>
    </row>
    <row r="521" spans="1:14" ht="15.75" thickBot="1" x14ac:dyDescent="0.3">
      <c r="A521" s="417"/>
      <c r="B521" s="427"/>
      <c r="C521" s="419" t="s">
        <v>6</v>
      </c>
      <c r="D521" s="419"/>
      <c r="E521" s="419"/>
      <c r="F521" s="419"/>
      <c r="G521" s="64"/>
      <c r="H521" s="64"/>
      <c r="I521" s="64"/>
      <c r="J521" s="64"/>
      <c r="K521" s="110">
        <f>IF(OR(ISBLANK(K515),K515&lt;0,K515&gt;4),0,K515)</f>
        <v>0</v>
      </c>
      <c r="L521" s="413"/>
      <c r="M521" s="413"/>
      <c r="N521" s="517"/>
    </row>
    <row r="522" spans="1:14" x14ac:dyDescent="0.25">
      <c r="N522" s="1"/>
    </row>
    <row r="523" spans="1:14" ht="75" customHeight="1" x14ac:dyDescent="0.25">
      <c r="A523" s="448">
        <f>A515+1</f>
        <v>41</v>
      </c>
      <c r="B523" s="421" t="s">
        <v>738</v>
      </c>
      <c r="C523" s="395" t="s">
        <v>739</v>
      </c>
      <c r="D523" s="395"/>
      <c r="E523" s="382" t="s">
        <v>1756</v>
      </c>
      <c r="F523" s="414" t="s">
        <v>1130</v>
      </c>
      <c r="G523" s="414" t="s">
        <v>1131</v>
      </c>
      <c r="H523" s="34" t="s">
        <v>582</v>
      </c>
      <c r="I523" s="34">
        <v>1</v>
      </c>
      <c r="J523" s="109" t="str">
        <f>IF((IF(OR((H523&amp;"."&amp;I523)=$R$8,(H523&amp;"."&amp;I523)=$S$8,(H523&amp;"."&amp;I523)=$T$8,(H523&amp;"."&amp;I523)=$U$8,(H523&amp;"."&amp;I523)=$V$8,(H523&amp;"."&amp;I523)=$W$8),1,0))=1,"EKSTREM",IF((IF(OR((H523&amp;"."&amp;I523)=$R$9,(H523&amp;"."&amp;I523)=$S$9,(H523&amp;"."&amp;I523)=$T$9,(H523&amp;"."&amp;I523)=$U$9,(H523&amp;"."&amp;I523)=$V$9,(H523&amp;"."&amp;I523)=$W$9,(H523&amp;"."&amp;I523)=$X$9),1,0))=1,"TINGGI",IF((IF(OR((H523&amp;"."&amp;I523)=$R$10,(H523&amp;"."&amp;I523)=$S$10,(H523&amp;"."&amp;I523)=$T$10,(H523&amp;"."&amp;I523)=$U$10,(H523&amp;"."&amp;I523)=$V$10,(H523&amp;"."&amp;I523)=$W$10),1,0))=1,"MODERAT",IF((IF(OR((H523&amp;"."&amp;I523)=$R$11,(H523&amp;"."&amp;I523)=$S$11,(H523&amp;"."&amp;I523)=$T$11,(H523&amp;"."&amp;I523)=$U$11,(H523&amp;"."&amp;I523)=$V$11,(H523&amp;"."&amp;I523)=$W$11),1,0))=1,"RENDAH","-"))))</f>
        <v>RENDAH</v>
      </c>
      <c r="K523" s="36">
        <v>0</v>
      </c>
      <c r="L523" s="440" t="s">
        <v>1132</v>
      </c>
      <c r="M523" s="440" t="s">
        <v>1133</v>
      </c>
      <c r="N523" s="514"/>
    </row>
    <row r="524" spans="1:14" ht="45" x14ac:dyDescent="0.25">
      <c r="A524" s="449"/>
      <c r="B524" s="421"/>
      <c r="C524" s="37">
        <v>4</v>
      </c>
      <c r="D524" s="41" t="s">
        <v>259</v>
      </c>
      <c r="E524" s="382"/>
      <c r="F524" s="415"/>
      <c r="G524" s="415"/>
      <c r="H524" s="401"/>
      <c r="I524" s="401"/>
      <c r="J524" s="401"/>
      <c r="K524" s="401"/>
      <c r="L524" s="441"/>
      <c r="M524" s="441"/>
      <c r="N524" s="515"/>
    </row>
    <row r="525" spans="1:14" ht="45" x14ac:dyDescent="0.25">
      <c r="A525" s="449"/>
      <c r="B525" s="421"/>
      <c r="C525" s="37">
        <v>3</v>
      </c>
      <c r="D525" s="41" t="s">
        <v>260</v>
      </c>
      <c r="E525" s="382"/>
      <c r="F525" s="415"/>
      <c r="G525" s="415"/>
      <c r="H525" s="402"/>
      <c r="I525" s="402"/>
      <c r="J525" s="402"/>
      <c r="K525" s="402"/>
      <c r="L525" s="441"/>
      <c r="M525" s="441"/>
      <c r="N525" s="515"/>
    </row>
    <row r="526" spans="1:14" ht="30" x14ac:dyDescent="0.25">
      <c r="A526" s="449"/>
      <c r="B526" s="421"/>
      <c r="C526" s="37">
        <v>2</v>
      </c>
      <c r="D526" s="41" t="s">
        <v>261</v>
      </c>
      <c r="E526" s="382"/>
      <c r="F526" s="415"/>
      <c r="G526" s="415"/>
      <c r="H526" s="402"/>
      <c r="I526" s="402"/>
      <c r="J526" s="402"/>
      <c r="K526" s="402"/>
      <c r="L526" s="441"/>
      <c r="M526" s="441"/>
      <c r="N526" s="515"/>
    </row>
    <row r="527" spans="1:14" ht="30" x14ac:dyDescent="0.25">
      <c r="A527" s="449"/>
      <c r="B527" s="421"/>
      <c r="C527" s="37">
        <v>1</v>
      </c>
      <c r="D527" s="41" t="s">
        <v>262</v>
      </c>
      <c r="E527" s="382"/>
      <c r="F527" s="415"/>
      <c r="G527" s="415"/>
      <c r="H527" s="402"/>
      <c r="I527" s="402"/>
      <c r="J527" s="402"/>
      <c r="K527" s="402"/>
      <c r="L527" s="441"/>
      <c r="M527" s="441"/>
      <c r="N527" s="515"/>
    </row>
    <row r="528" spans="1:14" ht="30" x14ac:dyDescent="0.25">
      <c r="A528" s="449"/>
      <c r="B528" s="421"/>
      <c r="C528" s="37">
        <v>0</v>
      </c>
      <c r="D528" s="41" t="s">
        <v>263</v>
      </c>
      <c r="E528" s="382"/>
      <c r="F528" s="415"/>
      <c r="G528" s="415"/>
      <c r="H528" s="402"/>
      <c r="I528" s="402"/>
      <c r="J528" s="402"/>
      <c r="K528" s="403"/>
      <c r="L528" s="441"/>
      <c r="M528" s="441"/>
      <c r="N528" s="515"/>
    </row>
    <row r="529" spans="1:14" ht="90" customHeight="1" x14ac:dyDescent="0.25">
      <c r="A529" s="449"/>
      <c r="B529" s="421"/>
      <c r="C529" s="395" t="s">
        <v>740</v>
      </c>
      <c r="D529" s="395"/>
      <c r="E529" s="454" t="s">
        <v>1788</v>
      </c>
      <c r="F529" s="415"/>
      <c r="G529" s="415"/>
      <c r="H529" s="402"/>
      <c r="I529" s="402"/>
      <c r="J529" s="402"/>
      <c r="K529" s="36">
        <v>0</v>
      </c>
      <c r="L529" s="441"/>
      <c r="M529" s="441"/>
      <c r="N529" s="515"/>
    </row>
    <row r="530" spans="1:14" ht="45" x14ac:dyDescent="0.25">
      <c r="A530" s="449"/>
      <c r="B530" s="421"/>
      <c r="C530" s="37">
        <v>4</v>
      </c>
      <c r="D530" s="57" t="s">
        <v>741</v>
      </c>
      <c r="E530" s="455"/>
      <c r="F530" s="415"/>
      <c r="G530" s="415"/>
      <c r="H530" s="402"/>
      <c r="I530" s="402"/>
      <c r="J530" s="402"/>
      <c r="K530" s="401"/>
      <c r="L530" s="441"/>
      <c r="M530" s="441"/>
      <c r="N530" s="515"/>
    </row>
    <row r="531" spans="1:14" ht="45" x14ac:dyDescent="0.25">
      <c r="A531" s="449"/>
      <c r="B531" s="421"/>
      <c r="C531" s="37">
        <v>3</v>
      </c>
      <c r="D531" s="57" t="s">
        <v>742</v>
      </c>
      <c r="E531" s="455"/>
      <c r="F531" s="415"/>
      <c r="G531" s="415"/>
      <c r="H531" s="402"/>
      <c r="I531" s="402"/>
      <c r="J531" s="402"/>
      <c r="K531" s="402"/>
      <c r="L531" s="441"/>
      <c r="M531" s="441"/>
      <c r="N531" s="515"/>
    </row>
    <row r="532" spans="1:14" ht="45" x14ac:dyDescent="0.25">
      <c r="A532" s="449"/>
      <c r="B532" s="421"/>
      <c r="C532" s="37">
        <v>2</v>
      </c>
      <c r="D532" s="57" t="s">
        <v>743</v>
      </c>
      <c r="E532" s="455"/>
      <c r="F532" s="415"/>
      <c r="G532" s="415"/>
      <c r="H532" s="402"/>
      <c r="I532" s="402"/>
      <c r="J532" s="402"/>
      <c r="K532" s="402"/>
      <c r="L532" s="441"/>
      <c r="M532" s="441"/>
      <c r="N532" s="515"/>
    </row>
    <row r="533" spans="1:14" ht="45" x14ac:dyDescent="0.25">
      <c r="A533" s="449"/>
      <c r="B533" s="421"/>
      <c r="C533" s="37">
        <v>1</v>
      </c>
      <c r="D533" s="57" t="s">
        <v>744</v>
      </c>
      <c r="E533" s="455"/>
      <c r="F533" s="415"/>
      <c r="G533" s="415"/>
      <c r="H533" s="402"/>
      <c r="I533" s="402"/>
      <c r="J533" s="402"/>
      <c r="K533" s="402"/>
      <c r="L533" s="441"/>
      <c r="M533" s="441"/>
      <c r="N533" s="515"/>
    </row>
    <row r="534" spans="1:14" ht="45" x14ac:dyDescent="0.25">
      <c r="A534" s="449"/>
      <c r="B534" s="421"/>
      <c r="C534" s="37">
        <v>0</v>
      </c>
      <c r="D534" s="57" t="s">
        <v>264</v>
      </c>
      <c r="E534" s="456"/>
      <c r="F534" s="415"/>
      <c r="G534" s="415"/>
      <c r="H534" s="402"/>
      <c r="I534" s="402"/>
      <c r="J534" s="402"/>
      <c r="K534" s="403"/>
      <c r="L534" s="441"/>
      <c r="M534" s="441"/>
      <c r="N534" s="515"/>
    </row>
    <row r="535" spans="1:14" ht="180.75" customHeight="1" x14ac:dyDescent="0.25">
      <c r="A535" s="449"/>
      <c r="B535" s="421"/>
      <c r="C535" s="395" t="s">
        <v>745</v>
      </c>
      <c r="D535" s="395"/>
      <c r="E535" s="382" t="s">
        <v>1789</v>
      </c>
      <c r="F535" s="415"/>
      <c r="G535" s="415"/>
      <c r="H535" s="402"/>
      <c r="I535" s="402"/>
      <c r="J535" s="402"/>
      <c r="K535" s="36">
        <v>0</v>
      </c>
      <c r="L535" s="441"/>
      <c r="M535" s="441"/>
      <c r="N535" s="515"/>
    </row>
    <row r="536" spans="1:14" x14ac:dyDescent="0.25">
      <c r="A536" s="449"/>
      <c r="B536" s="421"/>
      <c r="C536" s="37">
        <v>4</v>
      </c>
      <c r="D536" s="41" t="s">
        <v>265</v>
      </c>
      <c r="E536" s="382"/>
      <c r="F536" s="415"/>
      <c r="G536" s="415"/>
      <c r="H536" s="402"/>
      <c r="I536" s="402"/>
      <c r="J536" s="402"/>
      <c r="K536" s="401"/>
      <c r="L536" s="441"/>
      <c r="M536" s="441"/>
      <c r="N536" s="515"/>
    </row>
    <row r="537" spans="1:14" ht="30" x14ac:dyDescent="0.25">
      <c r="A537" s="449"/>
      <c r="B537" s="421"/>
      <c r="C537" s="37">
        <v>3</v>
      </c>
      <c r="D537" s="41" t="s">
        <v>266</v>
      </c>
      <c r="E537" s="382"/>
      <c r="F537" s="415"/>
      <c r="G537" s="415"/>
      <c r="H537" s="402"/>
      <c r="I537" s="402"/>
      <c r="J537" s="402"/>
      <c r="K537" s="402"/>
      <c r="L537" s="441"/>
      <c r="M537" s="441"/>
      <c r="N537" s="515"/>
    </row>
    <row r="538" spans="1:14" ht="30" x14ac:dyDescent="0.25">
      <c r="A538" s="449"/>
      <c r="B538" s="421"/>
      <c r="C538" s="37">
        <v>2</v>
      </c>
      <c r="D538" s="41" t="s">
        <v>267</v>
      </c>
      <c r="E538" s="382"/>
      <c r="F538" s="415"/>
      <c r="G538" s="415"/>
      <c r="H538" s="402"/>
      <c r="I538" s="402"/>
      <c r="J538" s="402"/>
      <c r="K538" s="402"/>
      <c r="L538" s="441"/>
      <c r="M538" s="441"/>
      <c r="N538" s="515"/>
    </row>
    <row r="539" spans="1:14" ht="30" x14ac:dyDescent="0.25">
      <c r="A539" s="449"/>
      <c r="B539" s="421"/>
      <c r="C539" s="37">
        <v>1</v>
      </c>
      <c r="D539" s="41" t="s">
        <v>268</v>
      </c>
      <c r="E539" s="382"/>
      <c r="F539" s="415"/>
      <c r="G539" s="415"/>
      <c r="H539" s="402"/>
      <c r="I539" s="402"/>
      <c r="J539" s="402"/>
      <c r="K539" s="402"/>
      <c r="L539" s="441"/>
      <c r="M539" s="441"/>
      <c r="N539" s="515"/>
    </row>
    <row r="540" spans="1:14" x14ac:dyDescent="0.25">
      <c r="A540" s="449"/>
      <c r="B540" s="421"/>
      <c r="C540" s="37">
        <v>0</v>
      </c>
      <c r="D540" s="41" t="s">
        <v>7</v>
      </c>
      <c r="E540" s="382"/>
      <c r="F540" s="416"/>
      <c r="G540" s="416"/>
      <c r="H540" s="403"/>
      <c r="I540" s="403"/>
      <c r="J540" s="403"/>
      <c r="K540" s="403"/>
      <c r="L540" s="441"/>
      <c r="M540" s="441"/>
      <c r="N540" s="515"/>
    </row>
    <row r="541" spans="1:14" x14ac:dyDescent="0.25">
      <c r="A541" s="450"/>
      <c r="B541" s="421"/>
      <c r="C541" s="419" t="s">
        <v>247</v>
      </c>
      <c r="D541" s="419"/>
      <c r="E541" s="419"/>
      <c r="F541" s="419"/>
      <c r="G541" s="64"/>
      <c r="H541" s="64"/>
      <c r="I541" s="64"/>
      <c r="J541" s="64"/>
      <c r="K541" s="110">
        <f>IF(OR(ISBLANK(K523),K523&lt;0,K523&gt;4,ISBLANK(K529),K529&lt;0,K529&gt;4,ISBLANK(K535),K535&lt;0,K535&gt;4),0,(K523+2*K529+2*K535)/5)</f>
        <v>0</v>
      </c>
      <c r="L541" s="442"/>
      <c r="M541" s="442"/>
      <c r="N541" s="516"/>
    </row>
    <row r="542" spans="1:14" x14ac:dyDescent="0.25">
      <c r="B542" s="83"/>
      <c r="N542" s="1"/>
    </row>
    <row r="543" spans="1:14" ht="60" customHeight="1" x14ac:dyDescent="0.25">
      <c r="A543" s="417">
        <f>A523+1</f>
        <v>42</v>
      </c>
      <c r="B543" s="421" t="s">
        <v>746</v>
      </c>
      <c r="C543" s="395" t="s">
        <v>748</v>
      </c>
      <c r="D543" s="395"/>
      <c r="E543" s="382" t="s">
        <v>1757</v>
      </c>
      <c r="F543" s="414" t="s">
        <v>1130</v>
      </c>
      <c r="G543" s="414" t="s">
        <v>1131</v>
      </c>
      <c r="H543" s="34" t="s">
        <v>582</v>
      </c>
      <c r="I543" s="34">
        <v>1</v>
      </c>
      <c r="J543" s="109" t="str">
        <f>IF((IF(OR((H543&amp;"."&amp;I543)=$R$8,(H543&amp;"."&amp;I543)=$S$8,(H543&amp;"."&amp;I543)=$T$8,(H543&amp;"."&amp;I543)=$U$8,(H543&amp;"."&amp;I543)=$V$8,(H543&amp;"."&amp;I543)=$W$8),1,0))=1,"EKSTREM",IF((IF(OR((H543&amp;"."&amp;I543)=$R$9,(H543&amp;"."&amp;I543)=$S$9,(H543&amp;"."&amp;I543)=$T$9,(H543&amp;"."&amp;I543)=$U$9,(H543&amp;"."&amp;I543)=$V$9,(H543&amp;"."&amp;I543)=$W$9,(H543&amp;"."&amp;I543)=$X$9),1,0))=1,"TINGGI",IF((IF(OR((H543&amp;"."&amp;I543)=$R$10,(H543&amp;"."&amp;I543)=$S$10,(H543&amp;"."&amp;I543)=$T$10,(H543&amp;"."&amp;I543)=$U$10,(H543&amp;"."&amp;I543)=$V$10,(H543&amp;"."&amp;I543)=$W$10),1,0))=1,"MODERAT",IF((IF(OR((H543&amp;"."&amp;I543)=$R$11,(H543&amp;"."&amp;I543)=$S$11,(H543&amp;"."&amp;I543)=$T$11,(H543&amp;"."&amp;I543)=$U$11,(H543&amp;"."&amp;I543)=$V$11,(H543&amp;"."&amp;I543)=$W$11),1,0))=1,"RENDAH","-"))))</f>
        <v>RENDAH</v>
      </c>
      <c r="K543" s="50"/>
      <c r="L543" s="413" t="s">
        <v>1132</v>
      </c>
      <c r="M543" s="413" t="s">
        <v>1133</v>
      </c>
      <c r="N543" s="517"/>
    </row>
    <row r="544" spans="1:14" ht="45" customHeight="1" x14ac:dyDescent="0.25">
      <c r="A544" s="417"/>
      <c r="B544" s="421"/>
      <c r="C544" s="430" t="s">
        <v>747</v>
      </c>
      <c r="D544" s="431"/>
      <c r="E544" s="382"/>
      <c r="F544" s="415"/>
      <c r="G544" s="415"/>
      <c r="H544" s="50"/>
      <c r="I544" s="50"/>
      <c r="J544" s="50"/>
      <c r="K544" s="114">
        <f>IF(ISBLANK('Isian Prodi'!E158),'Isian Prodi'!B158,'Isian Prodi'!E158)</f>
        <v>0</v>
      </c>
      <c r="L544" s="413"/>
      <c r="M544" s="413"/>
      <c r="N544" s="517"/>
    </row>
    <row r="545" spans="1:14" ht="45" customHeight="1" x14ac:dyDescent="0.25">
      <c r="A545" s="417"/>
      <c r="B545" s="421"/>
      <c r="C545" s="494" t="s">
        <v>991</v>
      </c>
      <c r="D545" s="495"/>
      <c r="E545" s="382"/>
      <c r="F545" s="415"/>
      <c r="G545" s="415"/>
      <c r="H545" s="50"/>
      <c r="I545" s="50"/>
      <c r="J545" s="50"/>
      <c r="K545" s="114">
        <f>IF(ISBLANK('Isian Prodi'!E159),'Isian Prodi'!B159,'Isian Prodi'!E159)</f>
        <v>0</v>
      </c>
      <c r="L545" s="413"/>
      <c r="M545" s="413"/>
      <c r="N545" s="517"/>
    </row>
    <row r="546" spans="1:14" ht="45" customHeight="1" x14ac:dyDescent="0.25">
      <c r="A546" s="417"/>
      <c r="B546" s="421"/>
      <c r="C546" s="494" t="s">
        <v>992</v>
      </c>
      <c r="D546" s="495"/>
      <c r="E546" s="382"/>
      <c r="F546" s="416"/>
      <c r="G546" s="416"/>
      <c r="H546" s="50"/>
      <c r="I546" s="50"/>
      <c r="J546" s="50"/>
      <c r="K546" s="115">
        <f>IF(K545=0,0,K544/K545)</f>
        <v>0</v>
      </c>
      <c r="L546" s="413"/>
      <c r="M546" s="413"/>
      <c r="N546" s="517"/>
    </row>
    <row r="547" spans="1:14" ht="30" customHeight="1" x14ac:dyDescent="0.25">
      <c r="A547" s="417"/>
      <c r="B547" s="421"/>
      <c r="C547" s="470" t="s">
        <v>6</v>
      </c>
      <c r="D547" s="470"/>
      <c r="E547" s="470"/>
      <c r="F547" s="470"/>
      <c r="G547" s="64"/>
      <c r="H547" s="64"/>
      <c r="I547" s="64"/>
      <c r="J547" s="64"/>
      <c r="K547" s="114">
        <f>IF(K546&gt;=50%,4,IF(K546&gt;25%,8*K546,2))</f>
        <v>2</v>
      </c>
      <c r="L547" s="413"/>
      <c r="M547" s="413"/>
      <c r="N547" s="517"/>
    </row>
    <row r="548" spans="1:14" x14ac:dyDescent="0.25">
      <c r="B548" s="83"/>
      <c r="N548" s="1"/>
    </row>
    <row r="549" spans="1:14" ht="60" customHeight="1" x14ac:dyDescent="0.25">
      <c r="A549" s="417">
        <f>A543+1</f>
        <v>43</v>
      </c>
      <c r="B549" s="421" t="s">
        <v>749</v>
      </c>
      <c r="C549" s="395" t="s">
        <v>750</v>
      </c>
      <c r="D549" s="395"/>
      <c r="E549" s="454" t="s">
        <v>1758</v>
      </c>
      <c r="F549" s="420" t="s">
        <v>1130</v>
      </c>
      <c r="G549" s="420" t="s">
        <v>1131</v>
      </c>
      <c r="H549" s="34" t="s">
        <v>582</v>
      </c>
      <c r="I549" s="34">
        <v>1</v>
      </c>
      <c r="J549" s="109" t="str">
        <f>IF((IF(OR((H549&amp;"."&amp;I549)=$R$8,(H549&amp;"."&amp;I549)=$S$8,(H549&amp;"."&amp;I549)=$T$8,(H549&amp;"."&amp;I549)=$U$8,(H549&amp;"."&amp;I549)=$V$8,(H549&amp;"."&amp;I549)=$W$8),1,0))=1,"EKSTREM",IF((IF(OR((H549&amp;"."&amp;I549)=$R$9,(H549&amp;"."&amp;I549)=$S$9,(H549&amp;"."&amp;I549)=$T$9,(H549&amp;"."&amp;I549)=$U$9,(H549&amp;"."&amp;I549)=$V$9,(H549&amp;"."&amp;I549)=$W$9,(H549&amp;"."&amp;I549)=$X$9),1,0))=1,"TINGGI",IF((IF(OR((H549&amp;"."&amp;I549)=$R$10,(H549&amp;"."&amp;I549)=$S$10,(H549&amp;"."&amp;I549)=$T$10,(H549&amp;"."&amp;I549)=$U$10,(H549&amp;"."&amp;I549)=$V$10,(H549&amp;"."&amp;I549)=$W$10),1,0))=1,"MODERAT",IF((IF(OR((H549&amp;"."&amp;I549)=$R$11,(H549&amp;"."&amp;I549)=$S$11,(H549&amp;"."&amp;I549)=$T$11,(H549&amp;"."&amp;I549)=$U$11,(H549&amp;"."&amp;I549)=$V$11,(H549&amp;"."&amp;I549)=$W$11),1,0))=1,"RENDAH","-"))))</f>
        <v>RENDAH</v>
      </c>
      <c r="K549" s="36">
        <v>0</v>
      </c>
      <c r="L549" s="413" t="s">
        <v>1132</v>
      </c>
      <c r="M549" s="413" t="s">
        <v>1133</v>
      </c>
      <c r="N549" s="517"/>
    </row>
    <row r="550" spans="1:14" x14ac:dyDescent="0.25">
      <c r="A550" s="417"/>
      <c r="B550" s="421"/>
      <c r="C550" s="37">
        <v>4</v>
      </c>
      <c r="D550" s="82" t="s">
        <v>269</v>
      </c>
      <c r="E550" s="455"/>
      <c r="F550" s="420"/>
      <c r="G550" s="420"/>
      <c r="H550" s="401"/>
      <c r="I550" s="401"/>
      <c r="J550" s="401"/>
      <c r="K550" s="401"/>
      <c r="L550" s="413"/>
      <c r="M550" s="413"/>
      <c r="N550" s="517"/>
    </row>
    <row r="551" spans="1:14" ht="30" x14ac:dyDescent="0.25">
      <c r="A551" s="417"/>
      <c r="B551" s="421"/>
      <c r="C551" s="37">
        <v>3</v>
      </c>
      <c r="D551" s="82" t="s">
        <v>751</v>
      </c>
      <c r="E551" s="455"/>
      <c r="F551" s="420"/>
      <c r="G551" s="420"/>
      <c r="H551" s="402"/>
      <c r="I551" s="402"/>
      <c r="J551" s="402"/>
      <c r="K551" s="402"/>
      <c r="L551" s="413"/>
      <c r="M551" s="413"/>
      <c r="N551" s="517"/>
    </row>
    <row r="552" spans="1:14" ht="30" x14ac:dyDescent="0.25">
      <c r="A552" s="417"/>
      <c r="B552" s="421"/>
      <c r="C552" s="37">
        <v>2</v>
      </c>
      <c r="D552" s="82" t="s">
        <v>752</v>
      </c>
      <c r="E552" s="455"/>
      <c r="F552" s="420"/>
      <c r="G552" s="420"/>
      <c r="H552" s="402"/>
      <c r="I552" s="402"/>
      <c r="J552" s="402"/>
      <c r="K552" s="402"/>
      <c r="L552" s="413"/>
      <c r="M552" s="413"/>
      <c r="N552" s="517"/>
    </row>
    <row r="553" spans="1:14" ht="30" x14ac:dyDescent="0.25">
      <c r="A553" s="417"/>
      <c r="B553" s="421"/>
      <c r="C553" s="37">
        <v>1</v>
      </c>
      <c r="D553" s="82" t="s">
        <v>753</v>
      </c>
      <c r="E553" s="455"/>
      <c r="F553" s="420"/>
      <c r="G553" s="420"/>
      <c r="H553" s="402"/>
      <c r="I553" s="402"/>
      <c r="J553" s="402"/>
      <c r="K553" s="402"/>
      <c r="L553" s="413"/>
      <c r="M553" s="413"/>
      <c r="N553" s="517"/>
    </row>
    <row r="554" spans="1:14" x14ac:dyDescent="0.25">
      <c r="A554" s="417"/>
      <c r="B554" s="421"/>
      <c r="C554" s="37">
        <v>0</v>
      </c>
      <c r="D554" s="82" t="s">
        <v>7</v>
      </c>
      <c r="E554" s="456"/>
      <c r="F554" s="420"/>
      <c r="G554" s="420"/>
      <c r="H554" s="403"/>
      <c r="I554" s="403"/>
      <c r="J554" s="403"/>
      <c r="K554" s="403"/>
      <c r="L554" s="413"/>
      <c r="M554" s="413"/>
      <c r="N554" s="517"/>
    </row>
    <row r="555" spans="1:14" x14ac:dyDescent="0.25">
      <c r="A555" s="417"/>
      <c r="B555" s="421"/>
      <c r="C555" s="419" t="s">
        <v>6</v>
      </c>
      <c r="D555" s="419"/>
      <c r="E555" s="419"/>
      <c r="F555" s="419"/>
      <c r="G555" s="64"/>
      <c r="H555" s="64"/>
      <c r="I555" s="64"/>
      <c r="J555" s="64"/>
      <c r="K555" s="110">
        <f>IF(OR(ISBLANK(K549),K549&lt;0,K549&gt;4),0,K549)</f>
        <v>0</v>
      </c>
      <c r="L555" s="413"/>
      <c r="M555" s="413"/>
      <c r="N555" s="517"/>
    </row>
    <row r="556" spans="1:14" x14ac:dyDescent="0.25">
      <c r="N556" s="1"/>
    </row>
    <row r="557" spans="1:14" ht="180" customHeight="1" x14ac:dyDescent="0.25">
      <c r="A557" s="417">
        <f>A549+1</f>
        <v>44</v>
      </c>
      <c r="B557" s="423" t="s">
        <v>754</v>
      </c>
      <c r="C557" s="395" t="s">
        <v>755</v>
      </c>
      <c r="D557" s="395"/>
      <c r="E557" s="41" t="s">
        <v>1759</v>
      </c>
      <c r="F557" s="414" t="s">
        <v>1130</v>
      </c>
      <c r="G557" s="414" t="s">
        <v>1131</v>
      </c>
      <c r="H557" s="34" t="s">
        <v>582</v>
      </c>
      <c r="I557" s="34">
        <v>1</v>
      </c>
      <c r="J557" s="109" t="str">
        <f>IF((IF(OR((H557&amp;"."&amp;I557)=$R$8,(H557&amp;"."&amp;I557)=$S$8,(H557&amp;"."&amp;I557)=$T$8,(H557&amp;"."&amp;I557)=$U$8,(H557&amp;"."&amp;I557)=$V$8,(H557&amp;"."&amp;I557)=$W$8),1,0))=1,"EKSTREM",IF((IF(OR((H557&amp;"."&amp;I557)=$R$9,(H557&amp;"."&amp;I557)=$S$9,(H557&amp;"."&amp;I557)=$T$9,(H557&amp;"."&amp;I557)=$U$9,(H557&amp;"."&amp;I557)=$V$9,(H557&amp;"."&amp;I557)=$W$9,(H557&amp;"."&amp;I557)=$X$9),1,0))=1,"TINGGI",IF((IF(OR((H557&amp;"."&amp;I557)=$R$10,(H557&amp;"."&amp;I557)=$S$10,(H557&amp;"."&amp;I557)=$T$10,(H557&amp;"."&amp;I557)=$U$10,(H557&amp;"."&amp;I557)=$V$10,(H557&amp;"."&amp;I557)=$W$10),1,0))=1,"MODERAT",IF((IF(OR((H557&amp;"."&amp;I557)=$R$11,(H557&amp;"."&amp;I557)=$S$11,(H557&amp;"."&amp;I557)=$T$11,(H557&amp;"."&amp;I557)=$U$11,(H557&amp;"."&amp;I557)=$V$11,(H557&amp;"."&amp;I557)=$W$11),1,0))=1,"RENDAH","-"))))</f>
        <v>RENDAH</v>
      </c>
      <c r="K557" s="50"/>
      <c r="L557" s="496" t="s">
        <v>1132</v>
      </c>
      <c r="M557" s="440" t="s">
        <v>1133</v>
      </c>
      <c r="N557" s="514"/>
    </row>
    <row r="558" spans="1:14" x14ac:dyDescent="0.25">
      <c r="A558" s="417"/>
      <c r="B558" s="424"/>
      <c r="C558" s="419" t="s">
        <v>285</v>
      </c>
      <c r="D558" s="419"/>
      <c r="E558" s="55"/>
      <c r="F558" s="415"/>
      <c r="G558" s="415"/>
      <c r="H558" s="401"/>
      <c r="I558" s="401"/>
      <c r="J558" s="401"/>
      <c r="K558" s="115">
        <f>AVERAGE('Isian Prodi'!B168,'Isian Prodi'!B174,'Isian Prodi'!B180,'Isian Prodi'!B186,'Isian Prodi'!B192)</f>
        <v>0</v>
      </c>
      <c r="L558" s="497"/>
      <c r="M558" s="441"/>
      <c r="N558" s="515"/>
    </row>
    <row r="559" spans="1:14" x14ac:dyDescent="0.25">
      <c r="A559" s="417"/>
      <c r="B559" s="424"/>
      <c r="C559" s="434" t="s">
        <v>108</v>
      </c>
      <c r="D559" s="482"/>
      <c r="E559" s="435"/>
      <c r="F559" s="415"/>
      <c r="G559" s="415"/>
      <c r="H559" s="402"/>
      <c r="I559" s="402"/>
      <c r="J559" s="402"/>
      <c r="K559" s="114">
        <f>IF(K558&gt;=75%,4,IF(K558&gt;=25%,(8*K558)-2,0))</f>
        <v>0</v>
      </c>
      <c r="L559" s="497"/>
      <c r="M559" s="441"/>
      <c r="N559" s="515"/>
    </row>
    <row r="560" spans="1:14" ht="30.75" customHeight="1" x14ac:dyDescent="0.25">
      <c r="A560" s="417"/>
      <c r="B560" s="424"/>
      <c r="C560" s="395" t="s">
        <v>756</v>
      </c>
      <c r="D560" s="395"/>
      <c r="E560" s="382" t="s">
        <v>1790</v>
      </c>
      <c r="F560" s="415"/>
      <c r="G560" s="415"/>
      <c r="H560" s="402"/>
      <c r="I560" s="402"/>
      <c r="J560" s="402"/>
      <c r="K560" s="36">
        <v>0</v>
      </c>
      <c r="L560" s="497"/>
      <c r="M560" s="441"/>
      <c r="N560" s="515"/>
    </row>
    <row r="561" spans="1:14" ht="60" x14ac:dyDescent="0.25">
      <c r="A561" s="417"/>
      <c r="B561" s="424"/>
      <c r="C561" s="37">
        <v>4</v>
      </c>
      <c r="D561" s="41" t="s">
        <v>286</v>
      </c>
      <c r="E561" s="382"/>
      <c r="F561" s="415"/>
      <c r="G561" s="415"/>
      <c r="H561" s="402"/>
      <c r="I561" s="402"/>
      <c r="J561" s="402"/>
      <c r="K561" s="401"/>
      <c r="L561" s="497"/>
      <c r="M561" s="441"/>
      <c r="N561" s="515"/>
    </row>
    <row r="562" spans="1:14" ht="60" x14ac:dyDescent="0.25">
      <c r="A562" s="417"/>
      <c r="B562" s="424"/>
      <c r="C562" s="37">
        <v>3</v>
      </c>
      <c r="D562" s="41" t="s">
        <v>287</v>
      </c>
      <c r="E562" s="382"/>
      <c r="F562" s="415"/>
      <c r="G562" s="415"/>
      <c r="H562" s="402"/>
      <c r="I562" s="402"/>
      <c r="J562" s="402"/>
      <c r="K562" s="402"/>
      <c r="L562" s="497"/>
      <c r="M562" s="441"/>
      <c r="N562" s="515"/>
    </row>
    <row r="563" spans="1:14" ht="30" x14ac:dyDescent="0.25">
      <c r="A563" s="417"/>
      <c r="B563" s="424"/>
      <c r="C563" s="37">
        <v>2</v>
      </c>
      <c r="D563" s="41" t="s">
        <v>288</v>
      </c>
      <c r="E563" s="382"/>
      <c r="F563" s="415"/>
      <c r="G563" s="415"/>
      <c r="H563" s="402"/>
      <c r="I563" s="402"/>
      <c r="J563" s="402"/>
      <c r="K563" s="402"/>
      <c r="L563" s="497"/>
      <c r="M563" s="441"/>
      <c r="N563" s="515"/>
    </row>
    <row r="564" spans="1:14" ht="45" x14ac:dyDescent="0.25">
      <c r="A564" s="417"/>
      <c r="B564" s="424"/>
      <c r="C564" s="37">
        <v>1</v>
      </c>
      <c r="D564" s="41" t="s">
        <v>289</v>
      </c>
      <c r="E564" s="382"/>
      <c r="F564" s="415"/>
      <c r="G564" s="415"/>
      <c r="H564" s="402"/>
      <c r="I564" s="402"/>
      <c r="J564" s="402"/>
      <c r="K564" s="402"/>
      <c r="L564" s="497"/>
      <c r="M564" s="441"/>
      <c r="N564" s="515"/>
    </row>
    <row r="565" spans="1:14" ht="30" x14ac:dyDescent="0.25">
      <c r="A565" s="417"/>
      <c r="B565" s="424"/>
      <c r="C565" s="37">
        <v>0</v>
      </c>
      <c r="D565" s="41" t="s">
        <v>290</v>
      </c>
      <c r="E565" s="382"/>
      <c r="F565" s="415"/>
      <c r="G565" s="415"/>
      <c r="H565" s="402"/>
      <c r="I565" s="402"/>
      <c r="J565" s="402"/>
      <c r="K565" s="403"/>
      <c r="L565" s="497"/>
      <c r="M565" s="441"/>
      <c r="N565" s="515"/>
    </row>
    <row r="566" spans="1:14" x14ac:dyDescent="0.25">
      <c r="A566" s="417"/>
      <c r="B566" s="424"/>
      <c r="C566" s="434" t="s">
        <v>117</v>
      </c>
      <c r="D566" s="482"/>
      <c r="E566" s="435"/>
      <c r="F566" s="416"/>
      <c r="G566" s="416"/>
      <c r="H566" s="403"/>
      <c r="I566" s="403"/>
      <c r="J566" s="403"/>
      <c r="K566" s="110">
        <f>IF(OR(ISBLANK(K560),K560&lt;0,K560&gt;4),0,K560)</f>
        <v>0</v>
      </c>
      <c r="L566" s="497"/>
      <c r="M566" s="441"/>
      <c r="N566" s="515"/>
    </row>
    <row r="567" spans="1:14" x14ac:dyDescent="0.25">
      <c r="A567" s="417"/>
      <c r="B567" s="425"/>
      <c r="C567" s="419" t="s">
        <v>8</v>
      </c>
      <c r="D567" s="419"/>
      <c r="E567" s="419"/>
      <c r="F567" s="419"/>
      <c r="G567" s="64"/>
      <c r="H567" s="64"/>
      <c r="I567" s="64"/>
      <c r="J567" s="64"/>
      <c r="K567" s="110">
        <f>(K559+2*K566)/3</f>
        <v>0</v>
      </c>
      <c r="L567" s="498"/>
      <c r="M567" s="442"/>
      <c r="N567" s="516"/>
    </row>
    <row r="568" spans="1:14" ht="15.75" thickBot="1" x14ac:dyDescent="0.3">
      <c r="N568" s="1"/>
    </row>
    <row r="569" spans="1:14" ht="150" customHeight="1" x14ac:dyDescent="0.25">
      <c r="A569" s="417">
        <f>A557+1</f>
        <v>45</v>
      </c>
      <c r="B569" s="426" t="s">
        <v>757</v>
      </c>
      <c r="C569" s="395" t="s">
        <v>763</v>
      </c>
      <c r="D569" s="395"/>
      <c r="E569" s="382" t="s">
        <v>1760</v>
      </c>
      <c r="F569" s="420" t="s">
        <v>1130</v>
      </c>
      <c r="G569" s="420" t="s">
        <v>1131</v>
      </c>
      <c r="H569" s="34" t="s">
        <v>582</v>
      </c>
      <c r="I569" s="34">
        <v>1</v>
      </c>
      <c r="J569" s="109" t="str">
        <f>IF((IF(OR((H569&amp;"."&amp;I569)=$R$8,(H569&amp;"."&amp;I569)=$S$8,(H569&amp;"."&amp;I569)=$T$8,(H569&amp;"."&amp;I569)=$U$8,(H569&amp;"."&amp;I569)=$V$8,(H569&amp;"."&amp;I569)=$W$8),1,0))=1,"EKSTREM",IF((IF(OR((H569&amp;"."&amp;I569)=$R$9,(H569&amp;"."&amp;I569)=$S$9,(H569&amp;"."&amp;I569)=$T$9,(H569&amp;"."&amp;I569)=$U$9,(H569&amp;"."&amp;I569)=$V$9,(H569&amp;"."&amp;I569)=$W$9,(H569&amp;"."&amp;I569)=$X$9),1,0))=1,"TINGGI",IF((IF(OR((H569&amp;"."&amp;I569)=$R$10,(H569&amp;"."&amp;I569)=$S$10,(H569&amp;"."&amp;I569)=$T$10,(H569&amp;"."&amp;I569)=$U$10,(H569&amp;"."&amp;I569)=$V$10,(H569&amp;"."&amp;I569)=$W$10),1,0))=1,"MODERAT",IF((IF(OR((H569&amp;"."&amp;I569)=$R$11,(H569&amp;"."&amp;I569)=$S$11,(H569&amp;"."&amp;I569)=$T$11,(H569&amp;"."&amp;I569)=$U$11,(H569&amp;"."&amp;I569)=$V$11,(H569&amp;"."&amp;I569)=$W$11),1,0))=1,"RENDAH","-"))))</f>
        <v>RENDAH</v>
      </c>
      <c r="K569" s="36">
        <v>0</v>
      </c>
      <c r="L569" s="413" t="s">
        <v>1132</v>
      </c>
      <c r="M569" s="413" t="s">
        <v>1133</v>
      </c>
      <c r="N569" s="517"/>
    </row>
    <row r="570" spans="1:14" ht="30" x14ac:dyDescent="0.25">
      <c r="A570" s="417"/>
      <c r="B570" s="424"/>
      <c r="C570" s="37">
        <v>4</v>
      </c>
      <c r="D570" s="84" t="s">
        <v>758</v>
      </c>
      <c r="E570" s="382"/>
      <c r="F570" s="420"/>
      <c r="G570" s="420"/>
      <c r="H570" s="401"/>
      <c r="I570" s="401"/>
      <c r="J570" s="401"/>
      <c r="K570" s="401"/>
      <c r="L570" s="413"/>
      <c r="M570" s="413"/>
      <c r="N570" s="517"/>
    </row>
    <row r="571" spans="1:14" ht="30" x14ac:dyDescent="0.25">
      <c r="A571" s="417"/>
      <c r="B571" s="424"/>
      <c r="C571" s="37">
        <v>3</v>
      </c>
      <c r="D571" s="84" t="s">
        <v>759</v>
      </c>
      <c r="E571" s="382"/>
      <c r="F571" s="420"/>
      <c r="G571" s="420"/>
      <c r="H571" s="402"/>
      <c r="I571" s="402"/>
      <c r="J571" s="402"/>
      <c r="K571" s="402"/>
      <c r="L571" s="413"/>
      <c r="M571" s="413"/>
      <c r="N571" s="517"/>
    </row>
    <row r="572" spans="1:14" ht="30" x14ac:dyDescent="0.25">
      <c r="A572" s="417"/>
      <c r="B572" s="424"/>
      <c r="C572" s="37">
        <v>2</v>
      </c>
      <c r="D572" s="84" t="s">
        <v>760</v>
      </c>
      <c r="E572" s="382"/>
      <c r="F572" s="420"/>
      <c r="G572" s="420"/>
      <c r="H572" s="402"/>
      <c r="I572" s="402"/>
      <c r="J572" s="402"/>
      <c r="K572" s="402"/>
      <c r="L572" s="413"/>
      <c r="M572" s="413"/>
      <c r="N572" s="517"/>
    </row>
    <row r="573" spans="1:14" ht="30" x14ac:dyDescent="0.25">
      <c r="A573" s="417"/>
      <c r="B573" s="424"/>
      <c r="C573" s="37">
        <v>1</v>
      </c>
      <c r="D573" s="84" t="s">
        <v>761</v>
      </c>
      <c r="E573" s="382"/>
      <c r="F573" s="420"/>
      <c r="G573" s="420"/>
      <c r="H573" s="402"/>
      <c r="I573" s="402"/>
      <c r="J573" s="402"/>
      <c r="K573" s="402"/>
      <c r="L573" s="413"/>
      <c r="M573" s="413"/>
      <c r="N573" s="517"/>
    </row>
    <row r="574" spans="1:14" ht="30" x14ac:dyDescent="0.25">
      <c r="A574" s="417"/>
      <c r="B574" s="424"/>
      <c r="C574" s="37">
        <v>0</v>
      </c>
      <c r="D574" s="80" t="s">
        <v>762</v>
      </c>
      <c r="E574" s="382"/>
      <c r="F574" s="420"/>
      <c r="G574" s="420"/>
      <c r="H574" s="403"/>
      <c r="I574" s="403"/>
      <c r="J574" s="403"/>
      <c r="K574" s="403"/>
      <c r="L574" s="413"/>
      <c r="M574" s="413"/>
      <c r="N574" s="517"/>
    </row>
    <row r="575" spans="1:14" ht="15.75" thickBot="1" x14ac:dyDescent="0.3">
      <c r="A575" s="417"/>
      <c r="B575" s="427"/>
      <c r="C575" s="419" t="s">
        <v>6</v>
      </c>
      <c r="D575" s="419"/>
      <c r="E575" s="419"/>
      <c r="F575" s="419"/>
      <c r="G575" s="64"/>
      <c r="H575" s="64"/>
      <c r="I575" s="64"/>
      <c r="J575" s="64"/>
      <c r="K575" s="110">
        <f>IF(OR(ISBLANK(K569),K569&lt;0,K569&gt;4),0,K569)</f>
        <v>0</v>
      </c>
      <c r="L575" s="413"/>
      <c r="M575" s="413"/>
      <c r="N575" s="517"/>
    </row>
    <row r="576" spans="1:14" x14ac:dyDescent="0.25">
      <c r="N576" s="1"/>
    </row>
    <row r="577" spans="1:14" ht="75" hidden="1" customHeight="1" x14ac:dyDescent="0.25">
      <c r="A577" s="417"/>
      <c r="B577" s="418" t="s">
        <v>291</v>
      </c>
      <c r="C577" s="395" t="s">
        <v>292</v>
      </c>
      <c r="D577" s="395"/>
      <c r="E577" s="382" t="s">
        <v>293</v>
      </c>
      <c r="F577" s="420"/>
      <c r="G577" s="85"/>
      <c r="H577" s="85"/>
      <c r="I577" s="85"/>
      <c r="J577" s="85"/>
      <c r="K577" s="36">
        <v>0</v>
      </c>
      <c r="L577" s="471"/>
      <c r="M577" s="413"/>
      <c r="N577" s="413"/>
    </row>
    <row r="578" spans="1:14" ht="75" hidden="1" x14ac:dyDescent="0.25">
      <c r="A578" s="417"/>
      <c r="B578" s="418"/>
      <c r="C578" s="37">
        <v>4</v>
      </c>
      <c r="D578" s="41" t="s">
        <v>294</v>
      </c>
      <c r="E578" s="382"/>
      <c r="F578" s="420"/>
      <c r="G578" s="85"/>
      <c r="H578" s="85"/>
      <c r="I578" s="85"/>
      <c r="J578" s="85"/>
      <c r="K578" s="50"/>
      <c r="L578" s="471"/>
      <c r="M578" s="413"/>
      <c r="N578" s="413"/>
    </row>
    <row r="579" spans="1:14" ht="75" hidden="1" x14ac:dyDescent="0.25">
      <c r="A579" s="417"/>
      <c r="B579" s="418"/>
      <c r="C579" s="37">
        <v>3</v>
      </c>
      <c r="D579" s="41" t="s">
        <v>295</v>
      </c>
      <c r="E579" s="382"/>
      <c r="F579" s="420"/>
      <c r="G579" s="85"/>
      <c r="H579" s="85"/>
      <c r="I579" s="85"/>
      <c r="J579" s="85"/>
      <c r="K579" s="50"/>
      <c r="L579" s="471"/>
      <c r="M579" s="413"/>
      <c r="N579" s="413"/>
    </row>
    <row r="580" spans="1:14" ht="60" hidden="1" x14ac:dyDescent="0.25">
      <c r="A580" s="417"/>
      <c r="B580" s="418"/>
      <c r="C580" s="37">
        <v>2</v>
      </c>
      <c r="D580" s="41" t="s">
        <v>296</v>
      </c>
      <c r="E580" s="382"/>
      <c r="F580" s="420"/>
      <c r="G580" s="85"/>
      <c r="H580" s="85"/>
      <c r="I580" s="85"/>
      <c r="J580" s="85"/>
      <c r="K580" s="50"/>
      <c r="L580" s="471"/>
      <c r="M580" s="413"/>
      <c r="N580" s="413"/>
    </row>
    <row r="581" spans="1:14" ht="45" hidden="1" x14ac:dyDescent="0.25">
      <c r="A581" s="417"/>
      <c r="B581" s="418"/>
      <c r="C581" s="37">
        <v>1</v>
      </c>
      <c r="D581" s="41" t="s">
        <v>297</v>
      </c>
      <c r="E581" s="382"/>
      <c r="F581" s="420"/>
      <c r="G581" s="85"/>
      <c r="H581" s="85"/>
      <c r="I581" s="85"/>
      <c r="J581" s="85"/>
      <c r="K581" s="50"/>
      <c r="L581" s="471"/>
      <c r="M581" s="413"/>
      <c r="N581" s="413"/>
    </row>
    <row r="582" spans="1:14" ht="30" hidden="1" x14ac:dyDescent="0.25">
      <c r="A582" s="417"/>
      <c r="B582" s="418"/>
      <c r="C582" s="37">
        <v>0</v>
      </c>
      <c r="D582" s="41" t="s">
        <v>298</v>
      </c>
      <c r="E582" s="382"/>
      <c r="F582" s="420"/>
      <c r="G582" s="85"/>
      <c r="H582" s="85"/>
      <c r="I582" s="85"/>
      <c r="J582" s="85"/>
      <c r="K582" s="50"/>
      <c r="L582" s="471"/>
      <c r="M582" s="413"/>
      <c r="N582" s="413"/>
    </row>
    <row r="583" spans="1:14" hidden="1" x14ac:dyDescent="0.25">
      <c r="A583" s="417"/>
      <c r="B583" s="418"/>
      <c r="C583" s="419" t="s">
        <v>6</v>
      </c>
      <c r="D583" s="419"/>
      <c r="E583" s="419"/>
      <c r="F583" s="419"/>
      <c r="G583" s="64"/>
      <c r="H583" s="64"/>
      <c r="I583" s="64"/>
      <c r="J583" s="64"/>
      <c r="K583" s="40">
        <f>IF(OR(ISBLANK(K577),K577&lt;0,K577&gt;4),0,K577)</f>
        <v>0</v>
      </c>
      <c r="L583" s="471"/>
      <c r="M583" s="413"/>
      <c r="N583" s="413"/>
    </row>
    <row r="584" spans="1:14" hidden="1" x14ac:dyDescent="0.25">
      <c r="N584" s="1"/>
    </row>
    <row r="585" spans="1:14" ht="30" hidden="1" customHeight="1" x14ac:dyDescent="0.25">
      <c r="A585" s="417"/>
      <c r="B585" s="418" t="s">
        <v>299</v>
      </c>
      <c r="C585" s="395" t="s">
        <v>300</v>
      </c>
      <c r="D585" s="395"/>
      <c r="E585" s="382" t="s">
        <v>305</v>
      </c>
      <c r="F585" s="420"/>
      <c r="G585" s="85"/>
      <c r="H585" s="85"/>
      <c r="I585" s="85"/>
      <c r="J585" s="85"/>
      <c r="K585" s="36">
        <v>0</v>
      </c>
      <c r="L585" s="471"/>
      <c r="M585" s="413"/>
      <c r="N585" s="413"/>
    </row>
    <row r="586" spans="1:14" ht="30" hidden="1" x14ac:dyDescent="0.25">
      <c r="A586" s="417"/>
      <c r="B586" s="418"/>
      <c r="C586" s="37">
        <v>4</v>
      </c>
      <c r="D586" s="41" t="s">
        <v>301</v>
      </c>
      <c r="E586" s="382"/>
      <c r="F586" s="420"/>
      <c r="G586" s="85"/>
      <c r="H586" s="85"/>
      <c r="I586" s="85"/>
      <c r="J586" s="85"/>
      <c r="K586" s="50"/>
      <c r="L586" s="471"/>
      <c r="M586" s="413"/>
      <c r="N586" s="413"/>
    </row>
    <row r="587" spans="1:14" ht="30" hidden="1" x14ac:dyDescent="0.25">
      <c r="A587" s="417"/>
      <c r="B587" s="418"/>
      <c r="C587" s="37">
        <v>3</v>
      </c>
      <c r="D587" s="41" t="s">
        <v>302</v>
      </c>
      <c r="E587" s="382"/>
      <c r="F587" s="420"/>
      <c r="G587" s="85"/>
      <c r="H587" s="85"/>
      <c r="I587" s="85"/>
      <c r="J587" s="85"/>
      <c r="K587" s="50"/>
      <c r="L587" s="471"/>
      <c r="M587" s="413"/>
      <c r="N587" s="413"/>
    </row>
    <row r="588" spans="1:14" ht="30" hidden="1" x14ac:dyDescent="0.25">
      <c r="A588" s="417"/>
      <c r="B588" s="418"/>
      <c r="C588" s="37">
        <v>2</v>
      </c>
      <c r="D588" s="41" t="s">
        <v>303</v>
      </c>
      <c r="E588" s="382"/>
      <c r="F588" s="420"/>
      <c r="G588" s="85"/>
      <c r="H588" s="85"/>
      <c r="I588" s="85"/>
      <c r="J588" s="85"/>
      <c r="K588" s="50"/>
      <c r="L588" s="471"/>
      <c r="M588" s="413"/>
      <c r="N588" s="413"/>
    </row>
    <row r="589" spans="1:14" ht="30" hidden="1" x14ac:dyDescent="0.25">
      <c r="A589" s="417"/>
      <c r="B589" s="418"/>
      <c r="C589" s="37">
        <v>1</v>
      </c>
      <c r="D589" s="41" t="s">
        <v>304</v>
      </c>
      <c r="E589" s="382"/>
      <c r="F589" s="420"/>
      <c r="G589" s="85"/>
      <c r="H589" s="85"/>
      <c r="I589" s="85"/>
      <c r="J589" s="85"/>
      <c r="K589" s="50"/>
      <c r="L589" s="471"/>
      <c r="M589" s="413"/>
      <c r="N589" s="413"/>
    </row>
    <row r="590" spans="1:14" hidden="1" x14ac:dyDescent="0.25">
      <c r="A590" s="417"/>
      <c r="B590" s="418"/>
      <c r="C590" s="37">
        <v>0</v>
      </c>
      <c r="D590" s="41" t="s">
        <v>270</v>
      </c>
      <c r="E590" s="382"/>
      <c r="F590" s="420"/>
      <c r="G590" s="85"/>
      <c r="H590" s="85"/>
      <c r="I590" s="85"/>
      <c r="J590" s="85"/>
      <c r="K590" s="50"/>
      <c r="L590" s="471"/>
      <c r="M590" s="413"/>
      <c r="N590" s="413"/>
    </row>
    <row r="591" spans="1:14" hidden="1" x14ac:dyDescent="0.25">
      <c r="A591" s="417"/>
      <c r="B591" s="418"/>
      <c r="C591" s="419" t="s">
        <v>6</v>
      </c>
      <c r="D591" s="419"/>
      <c r="E591" s="419"/>
      <c r="F591" s="419"/>
      <c r="G591" s="64"/>
      <c r="H591" s="64"/>
      <c r="I591" s="64"/>
      <c r="J591" s="64"/>
      <c r="K591" s="40">
        <f>IF(OR(ISBLANK(K585),K585&lt;0,K585&gt;4),0,K585)</f>
        <v>0</v>
      </c>
      <c r="L591" s="471"/>
      <c r="M591" s="413"/>
      <c r="N591" s="413"/>
    </row>
    <row r="592" spans="1:14" hidden="1" x14ac:dyDescent="0.25">
      <c r="N592" s="1"/>
    </row>
    <row r="593" spans="1:14" ht="30" customHeight="1" x14ac:dyDescent="0.25">
      <c r="A593" s="417">
        <f>A569+1</f>
        <v>46</v>
      </c>
      <c r="B593" s="421" t="s">
        <v>766</v>
      </c>
      <c r="C593" s="395" t="s">
        <v>765</v>
      </c>
      <c r="D593" s="395"/>
      <c r="E593" s="438" t="s">
        <v>1773</v>
      </c>
      <c r="F593" s="420" t="s">
        <v>1130</v>
      </c>
      <c r="G593" s="420" t="s">
        <v>1131</v>
      </c>
      <c r="H593" s="34" t="s">
        <v>582</v>
      </c>
      <c r="I593" s="34">
        <v>1</v>
      </c>
      <c r="J593" s="109" t="str">
        <f>IF((IF(OR((H593&amp;"."&amp;I593)=$R$8,(H593&amp;"."&amp;I593)=$S$8,(H593&amp;"."&amp;I593)=$T$8,(H593&amp;"."&amp;I593)=$U$8,(H593&amp;"."&amp;I593)=$V$8,(H593&amp;"."&amp;I593)=$W$8),1,0))=1,"EKSTREM",IF((IF(OR((H593&amp;"."&amp;I593)=$R$9,(H593&amp;"."&amp;I593)=$S$9,(H593&amp;"."&amp;I593)=$T$9,(H593&amp;"."&amp;I593)=$U$9,(H593&amp;"."&amp;I593)=$V$9,(H593&amp;"."&amp;I593)=$W$9,(H593&amp;"."&amp;I593)=$X$9),1,0))=1,"TINGGI",IF((IF(OR((H593&amp;"."&amp;I593)=$R$10,(H593&amp;"."&amp;I593)=$S$10,(H593&amp;"."&amp;I593)=$T$10,(H593&amp;"."&amp;I593)=$U$10,(H593&amp;"."&amp;I593)=$V$10,(H593&amp;"."&amp;I593)=$W$10),1,0))=1,"MODERAT",IF((IF(OR((H593&amp;"."&amp;I593)=$R$11,(H593&amp;"."&amp;I593)=$S$11,(H593&amp;"."&amp;I593)=$T$11,(H593&amp;"."&amp;I593)=$U$11,(H593&amp;"."&amp;I593)=$V$11,(H593&amp;"."&amp;I593)=$W$11),1,0))=1,"RENDAH","-"))))</f>
        <v>RENDAH</v>
      </c>
      <c r="K593" s="50"/>
      <c r="L593" s="413" t="s">
        <v>1132</v>
      </c>
      <c r="M593" s="413" t="s">
        <v>1133</v>
      </c>
      <c r="N593" s="517"/>
    </row>
    <row r="594" spans="1:14" ht="30.75" customHeight="1" x14ac:dyDescent="0.25">
      <c r="A594" s="417"/>
      <c r="B594" s="421"/>
      <c r="C594" s="380" t="s">
        <v>764</v>
      </c>
      <c r="D594" s="381"/>
      <c r="E594" s="438"/>
      <c r="F594" s="420"/>
      <c r="G594" s="420"/>
      <c r="H594" s="50"/>
      <c r="I594" s="50"/>
      <c r="J594" s="50"/>
      <c r="K594" s="115">
        <f>IF(AND(ISBLANK('Isian Prodi'!E196),ISBLANK('Isian Prodi'!E197)),IF('Isian Prodi'!B197&gt;0,'Isian Prodi'!B196/'Isian Prodi'!B197,0),IF('Isian Prodi'!E197&gt;0,'Isian Prodi'!E196/'Isian Prodi'!E197,0))</f>
        <v>0</v>
      </c>
      <c r="L594" s="413"/>
      <c r="M594" s="413"/>
      <c r="N594" s="517"/>
    </row>
    <row r="595" spans="1:14" x14ac:dyDescent="0.25">
      <c r="A595" s="417"/>
      <c r="B595" s="421"/>
      <c r="C595" s="419" t="s">
        <v>6</v>
      </c>
      <c r="D595" s="419"/>
      <c r="E595" s="419"/>
      <c r="F595" s="419"/>
      <c r="G595" s="64"/>
      <c r="H595" s="64"/>
      <c r="I595" s="64"/>
      <c r="J595" s="64"/>
      <c r="K595" s="114">
        <f>IF(K594&gt;=50%,4,2+(4*K594))</f>
        <v>2</v>
      </c>
      <c r="L595" s="413"/>
      <c r="M595" s="413"/>
      <c r="N595" s="517"/>
    </row>
    <row r="596" spans="1:14" x14ac:dyDescent="0.25">
      <c r="N596" s="1"/>
    </row>
    <row r="597" spans="1:14" ht="45" customHeight="1" x14ac:dyDescent="0.25">
      <c r="A597" s="417">
        <f>A593+1</f>
        <v>47</v>
      </c>
      <c r="B597" s="418"/>
      <c r="C597" s="395" t="s">
        <v>918</v>
      </c>
      <c r="D597" s="395"/>
      <c r="E597" s="438" t="s">
        <v>1774</v>
      </c>
      <c r="F597" s="420" t="s">
        <v>1130</v>
      </c>
      <c r="G597" s="420" t="s">
        <v>1131</v>
      </c>
      <c r="H597" s="34" t="s">
        <v>582</v>
      </c>
      <c r="I597" s="34">
        <v>1</v>
      </c>
      <c r="J597" s="109" t="str">
        <f>IF((IF(OR((H597&amp;"."&amp;I597)=$R$8,(H597&amp;"."&amp;I597)=$S$8,(H597&amp;"."&amp;I597)=$T$8,(H597&amp;"."&amp;I597)=$U$8,(H597&amp;"."&amp;I597)=$V$8,(H597&amp;"."&amp;I597)=$W$8),1,0))=1,"EKSTREM",IF((IF(OR((H597&amp;"."&amp;I597)=$R$9,(H597&amp;"."&amp;I597)=$S$9,(H597&amp;"."&amp;I597)=$T$9,(H597&amp;"."&amp;I597)=$U$9,(H597&amp;"."&amp;I597)=$V$9,(H597&amp;"."&amp;I597)=$W$9,(H597&amp;"."&amp;I597)=$X$9),1,0))=1,"TINGGI",IF((IF(OR((H597&amp;"."&amp;I597)=$R$10,(H597&amp;"."&amp;I597)=$S$10,(H597&amp;"."&amp;I597)=$T$10,(H597&amp;"."&amp;I597)=$U$10,(H597&amp;"."&amp;I597)=$V$10,(H597&amp;"."&amp;I597)=$W$10),1,0))=1,"MODERAT",IF((IF(OR((H597&amp;"."&amp;I597)=$R$11,(H597&amp;"."&amp;I597)=$S$11,(H597&amp;"."&amp;I597)=$T$11,(H597&amp;"."&amp;I597)=$U$11,(H597&amp;"."&amp;I597)=$V$11,(H597&amp;"."&amp;I597)=$W$11),1,0))=1,"RENDAH","-"))))</f>
        <v>RENDAH</v>
      </c>
      <c r="K597" s="50"/>
      <c r="L597" s="413" t="s">
        <v>1132</v>
      </c>
      <c r="M597" s="413" t="s">
        <v>1133</v>
      </c>
      <c r="N597" s="517"/>
    </row>
    <row r="598" spans="1:14" ht="45" customHeight="1" x14ac:dyDescent="0.25">
      <c r="A598" s="417"/>
      <c r="B598" s="418"/>
      <c r="C598" s="380" t="s">
        <v>919</v>
      </c>
      <c r="D598" s="381"/>
      <c r="E598" s="438"/>
      <c r="F598" s="420"/>
      <c r="G598" s="420"/>
      <c r="H598" s="50"/>
      <c r="I598" s="50"/>
      <c r="J598" s="50"/>
      <c r="K598" s="115">
        <f>IF(AND(ISBLANK('Isian Prodi'!E200),ISBLANK('Isian Prodi'!E197)),IF('Isian Prodi'!B197&gt;0,'Isian Prodi'!B200/'Isian Prodi'!B197,0),IF('Isian Prodi'!E197&gt;0,'Isian Prodi'!E200/'Isian Prodi'!E197,0))</f>
        <v>0</v>
      </c>
      <c r="L598" s="413"/>
      <c r="M598" s="413"/>
      <c r="N598" s="517"/>
    </row>
    <row r="599" spans="1:14" x14ac:dyDescent="0.25">
      <c r="A599" s="417"/>
      <c r="B599" s="418"/>
      <c r="C599" s="419" t="s">
        <v>6</v>
      </c>
      <c r="D599" s="419"/>
      <c r="E599" s="419"/>
      <c r="F599" s="419"/>
      <c r="G599" s="64"/>
      <c r="H599" s="64"/>
      <c r="I599" s="64"/>
      <c r="J599" s="64"/>
      <c r="K599" s="114">
        <f>IF(K598&gt;=25%,4,1+(12*K598))</f>
        <v>1</v>
      </c>
      <c r="L599" s="413"/>
      <c r="M599" s="413"/>
      <c r="N599" s="517"/>
    </row>
    <row r="600" spans="1:14" x14ac:dyDescent="0.25">
      <c r="N600" s="1"/>
    </row>
    <row r="601" spans="1:14" ht="135.75" customHeight="1" x14ac:dyDescent="0.25">
      <c r="A601" s="417">
        <f>A597+1</f>
        <v>48</v>
      </c>
      <c r="B601" s="444" t="s">
        <v>767</v>
      </c>
      <c r="C601" s="395" t="s">
        <v>768</v>
      </c>
      <c r="D601" s="395"/>
      <c r="E601" s="382" t="s">
        <v>1761</v>
      </c>
      <c r="F601" s="420" t="s">
        <v>1130</v>
      </c>
      <c r="G601" s="420" t="s">
        <v>1131</v>
      </c>
      <c r="H601" s="34" t="s">
        <v>582</v>
      </c>
      <c r="I601" s="34">
        <v>1</v>
      </c>
      <c r="J601" s="109" t="str">
        <f>IF((IF(OR((H601&amp;"."&amp;I601)=$R$8,(H601&amp;"."&amp;I601)=$S$8,(H601&amp;"."&amp;I601)=$T$8,(H601&amp;"."&amp;I601)=$U$8,(H601&amp;"."&amp;I601)=$V$8,(H601&amp;"."&amp;I601)=$W$8),1,0))=1,"EKSTREM",IF((IF(OR((H601&amp;"."&amp;I601)=$R$9,(H601&amp;"."&amp;I601)=$S$9,(H601&amp;"."&amp;I601)=$T$9,(H601&amp;"."&amp;I601)=$U$9,(H601&amp;"."&amp;I601)=$V$9,(H601&amp;"."&amp;I601)=$W$9,(H601&amp;"."&amp;I601)=$X$9),1,0))=1,"TINGGI",IF((IF(OR((H601&amp;"."&amp;I601)=$R$10,(H601&amp;"."&amp;I601)=$S$10,(H601&amp;"."&amp;I601)=$T$10,(H601&amp;"."&amp;I601)=$U$10,(H601&amp;"."&amp;I601)=$V$10,(H601&amp;"."&amp;I601)=$W$10),1,0))=1,"MODERAT",IF((IF(OR((H601&amp;"."&amp;I601)=$R$11,(H601&amp;"."&amp;I601)=$S$11,(H601&amp;"."&amp;I601)=$T$11,(H601&amp;"."&amp;I601)=$U$11,(H601&amp;"."&amp;I601)=$V$11,(H601&amp;"."&amp;I601)=$W$11),1,0))=1,"RENDAH","-"))))</f>
        <v>RENDAH</v>
      </c>
      <c r="K601" s="36">
        <v>0</v>
      </c>
      <c r="L601" s="413" t="s">
        <v>1132</v>
      </c>
      <c r="M601" s="413" t="s">
        <v>1133</v>
      </c>
      <c r="N601" s="517"/>
    </row>
    <row r="602" spans="1:14" x14ac:dyDescent="0.25">
      <c r="A602" s="417"/>
      <c r="B602" s="418"/>
      <c r="C602" s="37">
        <v>4</v>
      </c>
      <c r="D602" s="41" t="s">
        <v>769</v>
      </c>
      <c r="E602" s="382"/>
      <c r="F602" s="420"/>
      <c r="G602" s="420"/>
      <c r="H602" s="401"/>
      <c r="I602" s="401"/>
      <c r="J602" s="401"/>
      <c r="K602" s="401"/>
      <c r="L602" s="413"/>
      <c r="M602" s="413"/>
      <c r="N602" s="517"/>
    </row>
    <row r="603" spans="1:14" ht="30" x14ac:dyDescent="0.25">
      <c r="A603" s="417"/>
      <c r="B603" s="418"/>
      <c r="C603" s="37">
        <v>3</v>
      </c>
      <c r="D603" s="41" t="s">
        <v>770</v>
      </c>
      <c r="E603" s="382"/>
      <c r="F603" s="420"/>
      <c r="G603" s="420"/>
      <c r="H603" s="402"/>
      <c r="I603" s="402"/>
      <c r="J603" s="402"/>
      <c r="K603" s="402"/>
      <c r="L603" s="413"/>
      <c r="M603" s="413"/>
      <c r="N603" s="517"/>
    </row>
    <row r="604" spans="1:14" ht="30" x14ac:dyDescent="0.25">
      <c r="A604" s="417"/>
      <c r="B604" s="418"/>
      <c r="C604" s="37">
        <v>2</v>
      </c>
      <c r="D604" s="41" t="s">
        <v>771</v>
      </c>
      <c r="E604" s="382"/>
      <c r="F604" s="420"/>
      <c r="G604" s="420"/>
      <c r="H604" s="402"/>
      <c r="I604" s="402"/>
      <c r="J604" s="402"/>
      <c r="K604" s="402"/>
      <c r="L604" s="413"/>
      <c r="M604" s="413"/>
      <c r="N604" s="517"/>
    </row>
    <row r="605" spans="1:14" ht="30" x14ac:dyDescent="0.25">
      <c r="A605" s="417"/>
      <c r="B605" s="418"/>
      <c r="C605" s="37">
        <v>1</v>
      </c>
      <c r="D605" s="41" t="s">
        <v>772</v>
      </c>
      <c r="E605" s="382"/>
      <c r="F605" s="420"/>
      <c r="G605" s="420"/>
      <c r="H605" s="402"/>
      <c r="I605" s="402"/>
      <c r="J605" s="402"/>
      <c r="K605" s="402"/>
      <c r="L605" s="413"/>
      <c r="M605" s="413"/>
      <c r="N605" s="517"/>
    </row>
    <row r="606" spans="1:14" x14ac:dyDescent="0.25">
      <c r="A606" s="417"/>
      <c r="B606" s="418"/>
      <c r="C606" s="37">
        <v>0</v>
      </c>
      <c r="D606" s="41" t="s">
        <v>773</v>
      </c>
      <c r="E606" s="382"/>
      <c r="F606" s="420"/>
      <c r="G606" s="420"/>
      <c r="H606" s="403"/>
      <c r="I606" s="403"/>
      <c r="J606" s="403"/>
      <c r="K606" s="403"/>
      <c r="L606" s="413"/>
      <c r="M606" s="413"/>
      <c r="N606" s="517"/>
    </row>
    <row r="607" spans="1:14" x14ac:dyDescent="0.25">
      <c r="A607" s="417"/>
      <c r="B607" s="418"/>
      <c r="C607" s="419" t="s">
        <v>6</v>
      </c>
      <c r="D607" s="419"/>
      <c r="E607" s="419"/>
      <c r="F607" s="419"/>
      <c r="G607" s="64"/>
      <c r="H607" s="64"/>
      <c r="I607" s="64"/>
      <c r="J607" s="64"/>
      <c r="K607" s="110">
        <f>IF(OR(ISBLANK(K601),K601&lt;0,K601&gt;4),0,K601)</f>
        <v>0</v>
      </c>
      <c r="L607" s="413"/>
      <c r="M607" s="413"/>
      <c r="N607" s="517"/>
    </row>
    <row r="608" spans="1:14" x14ac:dyDescent="0.25">
      <c r="N608" s="1"/>
    </row>
    <row r="609" spans="1:14" ht="30" hidden="1" customHeight="1" x14ac:dyDescent="0.25">
      <c r="A609" s="417"/>
      <c r="B609" s="467" t="s">
        <v>776</v>
      </c>
      <c r="C609" s="395" t="s">
        <v>775</v>
      </c>
      <c r="D609" s="395"/>
      <c r="E609" s="382" t="s">
        <v>904</v>
      </c>
      <c r="F609" s="420" t="s">
        <v>877</v>
      </c>
      <c r="G609" s="420" t="s">
        <v>878</v>
      </c>
      <c r="H609" s="34" t="s">
        <v>582</v>
      </c>
      <c r="I609" s="34">
        <v>1</v>
      </c>
      <c r="J609" s="35" t="str">
        <f>IF((IF(OR((H609&amp;"."&amp;I609)=$R$8,(H609&amp;"."&amp;I609)=$S$8,(H609&amp;"."&amp;I609)=$T$8,(H609&amp;"."&amp;I609)=$U$8,(H609&amp;"."&amp;I609)=$V$8,(H609&amp;"."&amp;I609)=$W$8),1,0))=1,"EKSTREM",IF((IF(OR((H609&amp;"."&amp;I609)=$R$9,(H609&amp;"."&amp;I609)=$S$9,(H609&amp;"."&amp;I609)=$T$9,(H609&amp;"."&amp;I609)=$U$9,(H609&amp;"."&amp;I609)=$V$9,(H609&amp;"."&amp;I609)=$W$9,(H609&amp;"."&amp;I609)=$X$9),1,0))=1,"TINGGI",IF((IF(OR((H609&amp;"."&amp;I609)=$R$10,(H609&amp;"."&amp;I609)=$S$10,(H609&amp;"."&amp;I609)=$T$10,(H609&amp;"."&amp;I609)=$U$10,(H609&amp;"."&amp;I609)=$V$10,(H609&amp;"."&amp;I609)=$W$10),1,0))=1,"MODERAT",IF((IF(OR((H609&amp;"."&amp;I609)=$R$11,(H609&amp;"."&amp;I609)=$S$11,(H609&amp;"."&amp;I609)=$T$11,(H609&amp;"."&amp;I609)=$U$11,(H609&amp;"."&amp;I609)=$V$11,(H609&amp;"."&amp;I609)=$W$11),1,0))=1,"RENDAH","-"))))</f>
        <v>RENDAH</v>
      </c>
      <c r="K609" s="50"/>
      <c r="L609" s="413" t="s">
        <v>1022</v>
      </c>
      <c r="M609" s="413" t="s">
        <v>1023</v>
      </c>
      <c r="N609" s="413"/>
    </row>
    <row r="610" spans="1:14" ht="30" hidden="1" customHeight="1" x14ac:dyDescent="0.25">
      <c r="A610" s="417"/>
      <c r="B610" s="467"/>
      <c r="C610" s="382" t="s">
        <v>774</v>
      </c>
      <c r="D610" s="382"/>
      <c r="E610" s="382"/>
      <c r="F610" s="420"/>
      <c r="G610" s="420"/>
      <c r="H610" s="50"/>
      <c r="I610" s="50"/>
      <c r="J610" s="50"/>
      <c r="K610" s="66">
        <f>IF('Isian Prodi'!B204&gt;0,'Isian Prodi'!B203/'Isian Prodi'!B204,0)</f>
        <v>0</v>
      </c>
      <c r="L610" s="413"/>
      <c r="M610" s="413"/>
      <c r="N610" s="413"/>
    </row>
    <row r="611" spans="1:14" hidden="1" x14ac:dyDescent="0.25">
      <c r="A611" s="417"/>
      <c r="B611" s="467"/>
      <c r="C611" s="419" t="s">
        <v>6</v>
      </c>
      <c r="D611" s="419"/>
      <c r="E611" s="419"/>
      <c r="F611" s="419"/>
      <c r="G611" s="64"/>
      <c r="H611" s="64"/>
      <c r="I611" s="64"/>
      <c r="J611" s="64"/>
      <c r="K611" s="65">
        <f>IF(K610&gt;=25%,4,2+(8*K610))</f>
        <v>2</v>
      </c>
      <c r="L611" s="413"/>
      <c r="M611" s="413"/>
      <c r="N611" s="413"/>
    </row>
    <row r="612" spans="1:14" hidden="1" x14ac:dyDescent="0.25">
      <c r="N612" s="1"/>
    </row>
    <row r="613" spans="1:14" ht="90" customHeight="1" x14ac:dyDescent="0.25">
      <c r="A613" s="417">
        <v>49</v>
      </c>
      <c r="B613" s="444" t="s">
        <v>777</v>
      </c>
      <c r="C613" s="395" t="s">
        <v>778</v>
      </c>
      <c r="D613" s="395"/>
      <c r="E613" s="454" t="s">
        <v>1762</v>
      </c>
      <c r="F613" s="420" t="s">
        <v>1130</v>
      </c>
      <c r="G613" s="420" t="s">
        <v>1131</v>
      </c>
      <c r="H613" s="34" t="s">
        <v>582</v>
      </c>
      <c r="I613" s="34">
        <v>1</v>
      </c>
      <c r="J613" s="109" t="str">
        <f>IF((IF(OR((H613&amp;"."&amp;I613)=$R$8,(H613&amp;"."&amp;I613)=$S$8,(H613&amp;"."&amp;I613)=$T$8,(H613&amp;"."&amp;I613)=$U$8,(H613&amp;"."&amp;I613)=$V$8,(H613&amp;"."&amp;I613)=$W$8),1,0))=1,"EKSTREM",IF((IF(OR((H613&amp;"."&amp;I613)=$R$9,(H613&amp;"."&amp;I613)=$S$9,(H613&amp;"."&amp;I613)=$T$9,(H613&amp;"."&amp;I613)=$U$9,(H613&amp;"."&amp;I613)=$V$9,(H613&amp;"."&amp;I613)=$W$9,(H613&amp;"."&amp;I613)=$X$9),1,0))=1,"TINGGI",IF((IF(OR((H613&amp;"."&amp;I613)=$R$10,(H613&amp;"."&amp;I613)=$S$10,(H613&amp;"."&amp;I613)=$T$10,(H613&amp;"."&amp;I613)=$U$10,(H613&amp;"."&amp;I613)=$V$10,(H613&amp;"."&amp;I613)=$W$10),1,0))=1,"MODERAT",IF((IF(OR((H613&amp;"."&amp;I613)=$R$11,(H613&amp;"."&amp;I613)=$S$11,(H613&amp;"."&amp;I613)=$T$11,(H613&amp;"."&amp;I613)=$U$11,(H613&amp;"."&amp;I613)=$V$11,(H613&amp;"."&amp;I613)=$W$11),1,0))=1,"RENDAH","-"))))</f>
        <v>RENDAH</v>
      </c>
      <c r="K613" s="36">
        <v>0</v>
      </c>
      <c r="L613" s="413" t="s">
        <v>1132</v>
      </c>
      <c r="M613" s="413" t="s">
        <v>1133</v>
      </c>
      <c r="N613" s="517"/>
    </row>
    <row r="614" spans="1:14" x14ac:dyDescent="0.25">
      <c r="A614" s="417"/>
      <c r="B614" s="418"/>
      <c r="C614" s="37">
        <v>4</v>
      </c>
      <c r="D614" s="41" t="s">
        <v>779</v>
      </c>
      <c r="E614" s="455"/>
      <c r="F614" s="420"/>
      <c r="G614" s="420"/>
      <c r="H614" s="401"/>
      <c r="I614" s="401"/>
      <c r="J614" s="401"/>
      <c r="K614" s="401"/>
      <c r="L614" s="413"/>
      <c r="M614" s="413"/>
      <c r="N614" s="517"/>
    </row>
    <row r="615" spans="1:14" x14ac:dyDescent="0.25">
      <c r="A615" s="417"/>
      <c r="B615" s="418"/>
      <c r="C615" s="37">
        <v>3</v>
      </c>
      <c r="D615" s="41" t="s">
        <v>780</v>
      </c>
      <c r="E615" s="455"/>
      <c r="F615" s="420"/>
      <c r="G615" s="420"/>
      <c r="H615" s="402"/>
      <c r="I615" s="402"/>
      <c r="J615" s="402"/>
      <c r="K615" s="402"/>
      <c r="L615" s="413"/>
      <c r="M615" s="413"/>
      <c r="N615" s="517"/>
    </row>
    <row r="616" spans="1:14" x14ac:dyDescent="0.25">
      <c r="A616" s="417"/>
      <c r="B616" s="418"/>
      <c r="C616" s="37">
        <v>2</v>
      </c>
      <c r="D616" s="41" t="s">
        <v>781</v>
      </c>
      <c r="E616" s="455"/>
      <c r="F616" s="420"/>
      <c r="G616" s="420"/>
      <c r="H616" s="402"/>
      <c r="I616" s="402"/>
      <c r="J616" s="402"/>
      <c r="K616" s="402"/>
      <c r="L616" s="413"/>
      <c r="M616" s="413"/>
      <c r="N616" s="517"/>
    </row>
    <row r="617" spans="1:14" ht="30" x14ac:dyDescent="0.25">
      <c r="A617" s="417"/>
      <c r="B617" s="418"/>
      <c r="C617" s="37">
        <v>1</v>
      </c>
      <c r="D617" s="41" t="s">
        <v>782</v>
      </c>
      <c r="E617" s="455"/>
      <c r="F617" s="420"/>
      <c r="G617" s="420"/>
      <c r="H617" s="402"/>
      <c r="I617" s="402"/>
      <c r="J617" s="402"/>
      <c r="K617" s="402"/>
      <c r="L617" s="413"/>
      <c r="M617" s="413"/>
      <c r="N617" s="517"/>
    </row>
    <row r="618" spans="1:14" x14ac:dyDescent="0.25">
      <c r="A618" s="417"/>
      <c r="B618" s="418"/>
      <c r="C618" s="37">
        <v>0</v>
      </c>
      <c r="D618" s="41" t="s">
        <v>310</v>
      </c>
      <c r="E618" s="456"/>
      <c r="F618" s="420"/>
      <c r="G618" s="420"/>
      <c r="H618" s="403"/>
      <c r="I618" s="403"/>
      <c r="J618" s="403"/>
      <c r="K618" s="403"/>
      <c r="L618" s="413"/>
      <c r="M618" s="413"/>
      <c r="N618" s="517"/>
    </row>
    <row r="619" spans="1:14" x14ac:dyDescent="0.25">
      <c r="A619" s="417"/>
      <c r="B619" s="418"/>
      <c r="C619" s="419" t="s">
        <v>6</v>
      </c>
      <c r="D619" s="419"/>
      <c r="E619" s="419"/>
      <c r="F619" s="419"/>
      <c r="G619" s="64"/>
      <c r="H619" s="64"/>
      <c r="I619" s="64"/>
      <c r="J619" s="64"/>
      <c r="K619" s="110">
        <f>IF(OR(ISBLANK(K613),K613&lt;0,K613&gt;4),0,K613)</f>
        <v>0</v>
      </c>
      <c r="L619" s="413"/>
      <c r="M619" s="413"/>
      <c r="N619" s="517"/>
    </row>
    <row r="620" spans="1:14" x14ac:dyDescent="0.25">
      <c r="N620" s="1"/>
    </row>
    <row r="621" spans="1:14" x14ac:dyDescent="0.25">
      <c r="A621" s="417">
        <f>A613+1</f>
        <v>50</v>
      </c>
      <c r="B621" s="418"/>
      <c r="C621" s="395" t="s">
        <v>783</v>
      </c>
      <c r="D621" s="395"/>
      <c r="E621" s="382" t="s">
        <v>1763</v>
      </c>
      <c r="F621" s="420" t="s">
        <v>1130</v>
      </c>
      <c r="G621" s="420" t="s">
        <v>1131</v>
      </c>
      <c r="H621" s="34" t="s">
        <v>582</v>
      </c>
      <c r="I621" s="34">
        <v>1</v>
      </c>
      <c r="J621" s="109" t="str">
        <f>IF((IF(OR((H621&amp;"."&amp;I621)=$R$8,(H621&amp;"."&amp;I621)=$S$8,(H621&amp;"."&amp;I621)=$T$8,(H621&amp;"."&amp;I621)=$U$8,(H621&amp;"."&amp;I621)=$V$8,(H621&amp;"."&amp;I621)=$W$8),1,0))=1,"EKSTREM",IF((IF(OR((H621&amp;"."&amp;I621)=$R$9,(H621&amp;"."&amp;I621)=$S$9,(H621&amp;"."&amp;I621)=$T$9,(H621&amp;"."&amp;I621)=$U$9,(H621&amp;"."&amp;I621)=$V$9,(H621&amp;"."&amp;I621)=$W$9,(H621&amp;"."&amp;I621)=$X$9),1,0))=1,"TINGGI",IF((IF(OR((H621&amp;"."&amp;I621)=$R$10,(H621&amp;"."&amp;I621)=$S$10,(H621&amp;"."&amp;I621)=$T$10,(H621&amp;"."&amp;I621)=$U$10,(H621&amp;"."&amp;I621)=$V$10,(H621&amp;"."&amp;I621)=$W$10),1,0))=1,"MODERAT",IF((IF(OR((H621&amp;"."&amp;I621)=$R$11,(H621&amp;"."&amp;I621)=$S$11,(H621&amp;"."&amp;I621)=$T$11,(H621&amp;"."&amp;I621)=$U$11,(H621&amp;"."&amp;I621)=$V$11,(H621&amp;"."&amp;I621)=$W$11),1,0))=1,"RENDAH","-"))))</f>
        <v>RENDAH</v>
      </c>
      <c r="K621" s="50"/>
      <c r="L621" s="413" t="s">
        <v>1132</v>
      </c>
      <c r="M621" s="413" t="s">
        <v>1133</v>
      </c>
      <c r="N621" s="517"/>
    </row>
    <row r="622" spans="1:14" x14ac:dyDescent="0.25">
      <c r="A622" s="417"/>
      <c r="B622" s="418"/>
      <c r="C622" s="419" t="s">
        <v>313</v>
      </c>
      <c r="D622" s="419"/>
      <c r="E622" s="382"/>
      <c r="F622" s="420"/>
      <c r="G622" s="420"/>
      <c r="H622" s="401"/>
      <c r="I622" s="401"/>
      <c r="J622" s="401"/>
      <c r="K622" s="127">
        <f>IF(ISBLANK('Isian Prodi'!F209),'Isian Prodi'!B209,'Isian Prodi'!F209)</f>
        <v>0</v>
      </c>
      <c r="L622" s="413"/>
      <c r="M622" s="413"/>
      <c r="N622" s="517"/>
    </row>
    <row r="623" spans="1:14" x14ac:dyDescent="0.25">
      <c r="A623" s="417"/>
      <c r="B623" s="418"/>
      <c r="C623" s="419" t="s">
        <v>314</v>
      </c>
      <c r="D623" s="419"/>
      <c r="E623" s="382"/>
      <c r="F623" s="420"/>
      <c r="G623" s="420"/>
      <c r="H623" s="402"/>
      <c r="I623" s="402"/>
      <c r="J623" s="402"/>
      <c r="K623" s="127">
        <f>IF(ISBLANK('Isian Prodi'!F210),'Isian Prodi'!B210,'Isian Prodi'!F210)</f>
        <v>0</v>
      </c>
      <c r="L623" s="413"/>
      <c r="M623" s="413"/>
      <c r="N623" s="517"/>
    </row>
    <row r="624" spans="1:14" x14ac:dyDescent="0.25">
      <c r="A624" s="417"/>
      <c r="B624" s="418"/>
      <c r="C624" s="419" t="s">
        <v>315</v>
      </c>
      <c r="D624" s="419"/>
      <c r="E624" s="382"/>
      <c r="F624" s="420"/>
      <c r="G624" s="420"/>
      <c r="H624" s="402"/>
      <c r="I624" s="402"/>
      <c r="J624" s="402"/>
      <c r="K624" s="127">
        <f>IF(ISBLANK('Isian Prodi'!F211),'Isian Prodi'!B211,'Isian Prodi'!F211)</f>
        <v>0</v>
      </c>
      <c r="L624" s="413"/>
      <c r="M624" s="413"/>
      <c r="N624" s="517"/>
    </row>
    <row r="625" spans="1:14" x14ac:dyDescent="0.25">
      <c r="A625" s="417"/>
      <c r="B625" s="418"/>
      <c r="C625" s="419" t="s">
        <v>316</v>
      </c>
      <c r="D625" s="419"/>
      <c r="E625" s="382"/>
      <c r="F625" s="420"/>
      <c r="G625" s="420"/>
      <c r="H625" s="402"/>
      <c r="I625" s="402"/>
      <c r="J625" s="402"/>
      <c r="K625" s="127">
        <f>IF(ISBLANK('Isian Prodi'!G209),'Isian Prodi'!C209,'Isian Prodi'!G209)</f>
        <v>0</v>
      </c>
      <c r="L625" s="413"/>
      <c r="M625" s="413"/>
      <c r="N625" s="517"/>
    </row>
    <row r="626" spans="1:14" x14ac:dyDescent="0.25">
      <c r="A626" s="417"/>
      <c r="B626" s="418"/>
      <c r="C626" s="419" t="s">
        <v>317</v>
      </c>
      <c r="D626" s="419"/>
      <c r="E626" s="382"/>
      <c r="F626" s="420"/>
      <c r="G626" s="420"/>
      <c r="H626" s="402"/>
      <c r="I626" s="402"/>
      <c r="J626" s="402"/>
      <c r="K626" s="127">
        <f>IF(ISBLANK('Isian Prodi'!G210),'Isian Prodi'!C210,'Isian Prodi'!G210)</f>
        <v>0</v>
      </c>
      <c r="L626" s="413"/>
      <c r="M626" s="413"/>
      <c r="N626" s="517"/>
    </row>
    <row r="627" spans="1:14" x14ac:dyDescent="0.25">
      <c r="A627" s="417"/>
      <c r="B627" s="418"/>
      <c r="C627" s="419" t="s">
        <v>318</v>
      </c>
      <c r="D627" s="419"/>
      <c r="E627" s="382"/>
      <c r="F627" s="420"/>
      <c r="G627" s="420"/>
      <c r="H627" s="402"/>
      <c r="I627" s="402"/>
      <c r="J627" s="402"/>
      <c r="K627" s="127">
        <f>IF(ISBLANK('Isian Prodi'!G211),'Isian Prodi'!C211,'Isian Prodi'!G211)</f>
        <v>0</v>
      </c>
      <c r="L627" s="413"/>
      <c r="M627" s="413"/>
      <c r="N627" s="517"/>
    </row>
    <row r="628" spans="1:14" x14ac:dyDescent="0.25">
      <c r="A628" s="417"/>
      <c r="B628" s="418"/>
      <c r="C628" s="419" t="s">
        <v>319</v>
      </c>
      <c r="D628" s="419"/>
      <c r="E628" s="382"/>
      <c r="F628" s="420"/>
      <c r="G628" s="420"/>
      <c r="H628" s="403"/>
      <c r="I628" s="403"/>
      <c r="J628" s="403"/>
      <c r="K628" s="127">
        <f>IF(SUM(K622:K624)&gt;0,(K622*K625+K623*K626+K624*K627)/SUM(K622:K624),0)</f>
        <v>0</v>
      </c>
      <c r="L628" s="413"/>
      <c r="M628" s="413"/>
      <c r="N628" s="517"/>
    </row>
    <row r="629" spans="1:14" ht="15" hidden="1" customHeight="1" x14ac:dyDescent="0.25">
      <c r="A629" s="417"/>
      <c r="B629" s="418"/>
      <c r="C629" s="86" t="s">
        <v>320</v>
      </c>
      <c r="D629" s="86">
        <v>3</v>
      </c>
      <c r="E629" s="87"/>
      <c r="F629" s="87"/>
      <c r="G629" s="87"/>
      <c r="H629" s="87"/>
      <c r="I629" s="87"/>
      <c r="J629" s="87"/>
      <c r="K629" s="128"/>
      <c r="L629" s="413"/>
      <c r="M629" s="413"/>
      <c r="N629" s="517"/>
    </row>
    <row r="630" spans="1:14" ht="15" hidden="1" customHeight="1" x14ac:dyDescent="0.25">
      <c r="A630" s="417"/>
      <c r="B630" s="418"/>
      <c r="C630" s="86" t="s">
        <v>321</v>
      </c>
      <c r="D630" s="86">
        <v>3.5</v>
      </c>
      <c r="E630" s="87"/>
      <c r="F630" s="87"/>
      <c r="G630" s="87"/>
      <c r="H630" s="87"/>
      <c r="I630" s="87"/>
      <c r="J630" s="87"/>
      <c r="K630" s="128"/>
      <c r="L630" s="413"/>
      <c r="M630" s="413"/>
      <c r="N630" s="517"/>
    </row>
    <row r="631" spans="1:14" x14ac:dyDescent="0.25">
      <c r="A631" s="417"/>
      <c r="B631" s="418"/>
      <c r="C631" s="419" t="s">
        <v>6</v>
      </c>
      <c r="D631" s="419"/>
      <c r="E631" s="419"/>
      <c r="F631" s="419"/>
      <c r="G631" s="64"/>
      <c r="H631" s="64"/>
      <c r="I631" s="64"/>
      <c r="J631" s="64"/>
      <c r="K631" s="111">
        <f>IF(K628&gt;=D630,4,IF(K628&gt;=D629,2/(D630-D629)*(K628-D629)+2,2))</f>
        <v>2</v>
      </c>
      <c r="L631" s="413"/>
      <c r="M631" s="413"/>
      <c r="N631" s="517"/>
    </row>
    <row r="632" spans="1:14" x14ac:dyDescent="0.25">
      <c r="N632" s="1"/>
    </row>
    <row r="633" spans="1:14" ht="15" customHeight="1" x14ac:dyDescent="0.25">
      <c r="A633" s="417">
        <f>A621+1</f>
        <v>51</v>
      </c>
      <c r="B633" s="418"/>
      <c r="C633" s="395" t="s">
        <v>784</v>
      </c>
      <c r="D633" s="395"/>
      <c r="E633" s="382" t="s">
        <v>1764</v>
      </c>
      <c r="F633" s="420" t="s">
        <v>1130</v>
      </c>
      <c r="G633" s="420" t="s">
        <v>1131</v>
      </c>
      <c r="H633" s="34" t="s">
        <v>582</v>
      </c>
      <c r="I633" s="34">
        <v>1</v>
      </c>
      <c r="J633" s="109" t="str">
        <f>IF((IF(OR((H633&amp;"."&amp;I633)=$R$8,(H633&amp;"."&amp;I633)=$S$8,(H633&amp;"."&amp;I633)=$T$8,(H633&amp;"."&amp;I633)=$U$8,(H633&amp;"."&amp;I633)=$V$8,(H633&amp;"."&amp;I633)=$W$8),1,0))=1,"EKSTREM",IF((IF(OR((H633&amp;"."&amp;I633)=$R$9,(H633&amp;"."&amp;I633)=$S$9,(H633&amp;"."&amp;I633)=$T$9,(H633&amp;"."&amp;I633)=$U$9,(H633&amp;"."&amp;I633)=$V$9,(H633&amp;"."&amp;I633)=$W$9,(H633&amp;"."&amp;I633)=$X$9),1,0))=1,"TINGGI",IF((IF(OR((H633&amp;"."&amp;I633)=$R$10,(H633&amp;"."&amp;I633)=$S$10,(H633&amp;"."&amp;I633)=$T$10,(H633&amp;"."&amp;I633)=$U$10,(H633&amp;"."&amp;I633)=$V$10,(H633&amp;"."&amp;I633)=$W$10),1,0))=1,"MODERAT",IF((IF(OR((H633&amp;"."&amp;I633)=$R$11,(H633&amp;"."&amp;I633)=$S$11,(H633&amp;"."&amp;I633)=$T$11,(H633&amp;"."&amp;I633)=$U$11,(H633&amp;"."&amp;I633)=$V$11,(H633&amp;"."&amp;I633)=$W$11),1,0))=1,"RENDAH","-"))))</f>
        <v>RENDAH</v>
      </c>
      <c r="K633" s="50"/>
      <c r="L633" s="413" t="s">
        <v>1132</v>
      </c>
      <c r="M633" s="413" t="s">
        <v>1133</v>
      </c>
      <c r="N633" s="517"/>
    </row>
    <row r="634" spans="1:14" x14ac:dyDescent="0.25">
      <c r="A634" s="417"/>
      <c r="B634" s="418"/>
      <c r="C634" s="434" t="s">
        <v>322</v>
      </c>
      <c r="D634" s="435"/>
      <c r="E634" s="382"/>
      <c r="F634" s="420"/>
      <c r="G634" s="420"/>
      <c r="H634" s="401"/>
      <c r="I634" s="401"/>
      <c r="J634" s="401"/>
      <c r="K634" s="121">
        <f>IF(AND(ISBLANK('Isian Prodi'!I217),ISBLANK('Isian Prodi'!I218),ISBLANK('Isian Prodi'!I219)),'Isian Prodi'!D220,'Isian Prodi'!I220)</f>
        <v>0</v>
      </c>
      <c r="L634" s="413"/>
      <c r="M634" s="413"/>
      <c r="N634" s="517"/>
    </row>
    <row r="635" spans="1:14" x14ac:dyDescent="0.25">
      <c r="A635" s="417"/>
      <c r="B635" s="418"/>
      <c r="C635" s="434" t="s">
        <v>323</v>
      </c>
      <c r="D635" s="435"/>
      <c r="E635" s="382"/>
      <c r="F635" s="420"/>
      <c r="G635" s="420"/>
      <c r="H635" s="402"/>
      <c r="I635" s="402"/>
      <c r="J635" s="402"/>
      <c r="K635" s="121">
        <f>IF(AND(ISBLANK('Isian Prodi'!H217),ISBLANK('Isian Prodi'!H218),ISBLANK('Isian Prodi'!H219)),'Isian Prodi'!C220,'Isian Prodi'!H220)</f>
        <v>0</v>
      </c>
      <c r="L635" s="413"/>
      <c r="M635" s="413"/>
      <c r="N635" s="517"/>
    </row>
    <row r="636" spans="1:14" x14ac:dyDescent="0.25">
      <c r="A636" s="417"/>
      <c r="B636" s="418"/>
      <c r="C636" s="434" t="s">
        <v>324</v>
      </c>
      <c r="D636" s="435"/>
      <c r="E636" s="382"/>
      <c r="F636" s="420"/>
      <c r="G636" s="420"/>
      <c r="H636" s="402"/>
      <c r="I636" s="402"/>
      <c r="J636" s="402"/>
      <c r="K636" s="121">
        <f>IF(AND(ISBLANK('Isian Prodi'!G217),ISBLANK('Isian Prodi'!G218),ISBLANK('Isian Prodi'!G219)),'Isian Prodi'!B220,'Isian Prodi'!G220)</f>
        <v>0</v>
      </c>
      <c r="L636" s="413"/>
      <c r="M636" s="413"/>
      <c r="N636" s="517"/>
    </row>
    <row r="637" spans="1:14" x14ac:dyDescent="0.25">
      <c r="A637" s="417"/>
      <c r="B637" s="418"/>
      <c r="C637" s="434" t="s">
        <v>325</v>
      </c>
      <c r="D637" s="435"/>
      <c r="E637" s="382"/>
      <c r="F637" s="420"/>
      <c r="G637" s="420"/>
      <c r="H637" s="402"/>
      <c r="I637" s="402"/>
      <c r="J637" s="402"/>
      <c r="K637" s="121">
        <f>IF(AND(ISBLANK('Isian Prodi'!P35),ISBLANK('Isian Prodi'!Q35)),'Isian Prodi'!B45,'Isian Prodi'!F45)</f>
        <v>0</v>
      </c>
      <c r="L637" s="413"/>
      <c r="M637" s="413"/>
      <c r="N637" s="517"/>
    </row>
    <row r="638" spans="1:14" x14ac:dyDescent="0.25">
      <c r="A638" s="417"/>
      <c r="B638" s="418"/>
      <c r="C638" s="434" t="s">
        <v>326</v>
      </c>
      <c r="D638" s="435"/>
      <c r="E638" s="382"/>
      <c r="F638" s="420"/>
      <c r="G638" s="420"/>
      <c r="H638" s="402"/>
      <c r="I638" s="402"/>
      <c r="J638" s="402"/>
      <c r="K638" s="129">
        <f>IF(K637&gt;0,K634/K637,0)</f>
        <v>0</v>
      </c>
      <c r="L638" s="413"/>
      <c r="M638" s="413"/>
      <c r="N638" s="517"/>
    </row>
    <row r="639" spans="1:14" x14ac:dyDescent="0.25">
      <c r="A639" s="417"/>
      <c r="B639" s="418"/>
      <c r="C639" s="434" t="s">
        <v>327</v>
      </c>
      <c r="D639" s="435"/>
      <c r="E639" s="382"/>
      <c r="F639" s="420"/>
      <c r="G639" s="420"/>
      <c r="H639" s="402"/>
      <c r="I639" s="402"/>
      <c r="J639" s="402"/>
      <c r="K639" s="129">
        <f>IF(K637&gt;0,K635/K637,0)</f>
        <v>0</v>
      </c>
      <c r="L639" s="413"/>
      <c r="M639" s="413"/>
      <c r="N639" s="517"/>
    </row>
    <row r="640" spans="1:14" x14ac:dyDescent="0.25">
      <c r="A640" s="417"/>
      <c r="B640" s="418"/>
      <c r="C640" s="434" t="s">
        <v>328</v>
      </c>
      <c r="D640" s="435"/>
      <c r="E640" s="382"/>
      <c r="F640" s="420"/>
      <c r="G640" s="420"/>
      <c r="H640" s="403"/>
      <c r="I640" s="403"/>
      <c r="J640" s="403"/>
      <c r="K640" s="129">
        <f>IF(K637&gt;0,K636/K637,0)</f>
        <v>0</v>
      </c>
      <c r="L640" s="413"/>
      <c r="M640" s="413"/>
      <c r="N640" s="517"/>
    </row>
    <row r="641" spans="1:14" ht="15" hidden="1" customHeight="1" x14ac:dyDescent="0.25">
      <c r="A641" s="417"/>
      <c r="B641" s="418"/>
      <c r="C641" s="88" t="s">
        <v>104</v>
      </c>
      <c r="D641" s="89">
        <v>5.0000000000000001E-3</v>
      </c>
      <c r="E641" s="90"/>
      <c r="F641" s="90"/>
      <c r="G641" s="90"/>
      <c r="H641" s="90"/>
      <c r="I641" s="90"/>
      <c r="J641" s="90"/>
      <c r="K641" s="130"/>
      <c r="L641" s="413"/>
      <c r="M641" s="413"/>
      <c r="N641" s="517"/>
    </row>
    <row r="642" spans="1:14" ht="15" hidden="1" customHeight="1" x14ac:dyDescent="0.25">
      <c r="A642" s="417"/>
      <c r="B642" s="418"/>
      <c r="C642" s="88" t="s">
        <v>105</v>
      </c>
      <c r="D642" s="89">
        <v>0.02</v>
      </c>
      <c r="E642" s="90"/>
      <c r="F642" s="90"/>
      <c r="G642" s="90"/>
      <c r="H642" s="90"/>
      <c r="I642" s="90"/>
      <c r="J642" s="90"/>
      <c r="K642" s="130"/>
      <c r="L642" s="413"/>
      <c r="M642" s="413"/>
      <c r="N642" s="517"/>
    </row>
    <row r="643" spans="1:14" ht="15" hidden="1" customHeight="1" x14ac:dyDescent="0.25">
      <c r="A643" s="417"/>
      <c r="B643" s="418"/>
      <c r="C643" s="88" t="s">
        <v>106</v>
      </c>
      <c r="D643" s="89">
        <v>0.04</v>
      </c>
      <c r="E643" s="90"/>
      <c r="F643" s="90"/>
      <c r="G643" s="90"/>
      <c r="H643" s="90"/>
      <c r="I643" s="90"/>
      <c r="J643" s="90"/>
      <c r="K643" s="130"/>
      <c r="L643" s="413"/>
      <c r="M643" s="413"/>
      <c r="N643" s="517"/>
    </row>
    <row r="644" spans="1:14" x14ac:dyDescent="0.25">
      <c r="A644" s="417"/>
      <c r="B644" s="418"/>
      <c r="C644" s="419" t="s">
        <v>6</v>
      </c>
      <c r="D644" s="419"/>
      <c r="E644" s="419"/>
      <c r="F644" s="419"/>
      <c r="G644" s="64"/>
      <c r="H644" s="64"/>
      <c r="I644" s="64"/>
      <c r="J644" s="64"/>
      <c r="K644" s="111">
        <f>IF(K638&gt;=D641,4,IF(AND(K638&lt;D641,K639&gt;=D642),3+(K638/D641),IF(AND(0&lt;=K638,K638&lt;D641,0&lt;K639,K639&lt;D642),2+(2*(K638/D641))+(K639/D642)-((K638*K639)/(D641*D642)),IF(AND(K638=0,K639=0,K640&gt;=D643),2,IF(AND(K638=0,K639=0,K640&lt;D643),(2*K640)/D643,0)))))</f>
        <v>0</v>
      </c>
      <c r="L644" s="413"/>
      <c r="M644" s="413"/>
      <c r="N644" s="517"/>
    </row>
    <row r="645" spans="1:14" x14ac:dyDescent="0.25">
      <c r="N645" s="1"/>
    </row>
    <row r="646" spans="1:14" ht="15" hidden="1" customHeight="1" x14ac:dyDescent="0.25">
      <c r="A646" s="417"/>
      <c r="B646" s="445"/>
      <c r="C646" s="395" t="s">
        <v>785</v>
      </c>
      <c r="D646" s="395"/>
      <c r="E646" s="382" t="s">
        <v>905</v>
      </c>
      <c r="F646" s="420" t="s">
        <v>877</v>
      </c>
      <c r="G646" s="420" t="s">
        <v>878</v>
      </c>
      <c r="H646" s="34" t="s">
        <v>582</v>
      </c>
      <c r="I646" s="34">
        <v>1</v>
      </c>
      <c r="J646" s="35" t="str">
        <f>IF((IF(OR((H646&amp;"."&amp;I646)=$R$8,(H646&amp;"."&amp;I646)=$S$8,(H646&amp;"."&amp;I646)=$T$8,(H646&amp;"."&amp;I646)=$U$8,(H646&amp;"."&amp;I646)=$V$8,(H646&amp;"."&amp;I646)=$W$8),1,0))=1,"EKSTREM",IF((IF(OR((H646&amp;"."&amp;I646)=$R$9,(H646&amp;"."&amp;I646)=$S$9,(H646&amp;"."&amp;I646)=$T$9,(H646&amp;"."&amp;I646)=$U$9,(H646&amp;"."&amp;I646)=$V$9,(H646&amp;"."&amp;I646)=$W$9,(H646&amp;"."&amp;I646)=$X$9),1,0))=1,"TINGGI",IF((IF(OR((H646&amp;"."&amp;I646)=$R$10,(H646&amp;"."&amp;I646)=$S$10,(H646&amp;"."&amp;I646)=$T$10,(H646&amp;"."&amp;I646)=$U$10,(H646&amp;"."&amp;I646)=$V$10,(H646&amp;"."&amp;I646)=$W$10),1,0))=1,"MODERAT",IF((IF(OR((H646&amp;"."&amp;I646)=$R$11,(H646&amp;"."&amp;I646)=$S$11,(H646&amp;"."&amp;I646)=$T$11,(H646&amp;"."&amp;I646)=$U$11,(H646&amp;"."&amp;I646)=$V$11,(H646&amp;"."&amp;I646)=$W$11),1,0))=1,"RENDAH","-"))))</f>
        <v>RENDAH</v>
      </c>
      <c r="K646" s="50"/>
      <c r="L646" s="413" t="s">
        <v>1022</v>
      </c>
      <c r="M646" s="413" t="s">
        <v>1023</v>
      </c>
      <c r="N646" s="413"/>
    </row>
    <row r="647" spans="1:14" hidden="1" x14ac:dyDescent="0.25">
      <c r="A647" s="417"/>
      <c r="B647" s="445"/>
      <c r="C647" s="434" t="s">
        <v>322</v>
      </c>
      <c r="D647" s="435"/>
      <c r="E647" s="382"/>
      <c r="F647" s="420"/>
      <c r="G647" s="420"/>
      <c r="H647" s="401"/>
      <c r="I647" s="401"/>
      <c r="J647" s="401"/>
      <c r="K647" s="71">
        <f>'Isian Prodi'!D229</f>
        <v>0</v>
      </c>
      <c r="L647" s="413"/>
      <c r="M647" s="413"/>
      <c r="N647" s="413"/>
    </row>
    <row r="648" spans="1:14" hidden="1" x14ac:dyDescent="0.25">
      <c r="A648" s="417"/>
      <c r="B648" s="445"/>
      <c r="C648" s="434" t="s">
        <v>323</v>
      </c>
      <c r="D648" s="435"/>
      <c r="E648" s="382"/>
      <c r="F648" s="420"/>
      <c r="G648" s="420"/>
      <c r="H648" s="402"/>
      <c r="I648" s="402"/>
      <c r="J648" s="402"/>
      <c r="K648" s="71">
        <f>'Isian Prodi'!C229</f>
        <v>0</v>
      </c>
      <c r="L648" s="413"/>
      <c r="M648" s="413"/>
      <c r="N648" s="413"/>
    </row>
    <row r="649" spans="1:14" hidden="1" x14ac:dyDescent="0.25">
      <c r="A649" s="417"/>
      <c r="B649" s="445"/>
      <c r="C649" s="434" t="s">
        <v>324</v>
      </c>
      <c r="D649" s="435"/>
      <c r="E649" s="382"/>
      <c r="F649" s="420"/>
      <c r="G649" s="420"/>
      <c r="H649" s="402"/>
      <c r="I649" s="402"/>
      <c r="J649" s="402"/>
      <c r="K649" s="71">
        <f>'Isian Prodi'!B229</f>
        <v>0</v>
      </c>
      <c r="L649" s="413"/>
      <c r="M649" s="413"/>
      <c r="N649" s="413"/>
    </row>
    <row r="650" spans="1:14" hidden="1" x14ac:dyDescent="0.25">
      <c r="A650" s="417"/>
      <c r="B650" s="445"/>
      <c r="C650" s="434" t="s">
        <v>325</v>
      </c>
      <c r="D650" s="435"/>
      <c r="E650" s="382"/>
      <c r="F650" s="420"/>
      <c r="G650" s="420"/>
      <c r="H650" s="402"/>
      <c r="I650" s="402"/>
      <c r="J650" s="402"/>
      <c r="K650" s="71">
        <f>'Isian Prodi'!B45</f>
        <v>0</v>
      </c>
      <c r="L650" s="413"/>
      <c r="M650" s="413"/>
      <c r="N650" s="413"/>
    </row>
    <row r="651" spans="1:14" hidden="1" x14ac:dyDescent="0.25">
      <c r="A651" s="417"/>
      <c r="B651" s="445"/>
      <c r="C651" s="434" t="s">
        <v>326</v>
      </c>
      <c r="D651" s="435"/>
      <c r="E651" s="382"/>
      <c r="F651" s="420"/>
      <c r="G651" s="420"/>
      <c r="H651" s="402"/>
      <c r="I651" s="402"/>
      <c r="J651" s="402"/>
      <c r="K651" s="11">
        <f>IF(K650&gt;0,K647/K650,0)</f>
        <v>0</v>
      </c>
      <c r="L651" s="413"/>
      <c r="M651" s="413"/>
      <c r="N651" s="413"/>
    </row>
    <row r="652" spans="1:14" hidden="1" x14ac:dyDescent="0.25">
      <c r="A652" s="417"/>
      <c r="B652" s="445"/>
      <c r="C652" s="434" t="s">
        <v>327</v>
      </c>
      <c r="D652" s="435"/>
      <c r="E652" s="382"/>
      <c r="F652" s="420"/>
      <c r="G652" s="420"/>
      <c r="H652" s="402"/>
      <c r="I652" s="402"/>
      <c r="J652" s="402"/>
      <c r="K652" s="11">
        <f>IF(K650&gt;0,K648/K650,0)</f>
        <v>0</v>
      </c>
      <c r="L652" s="413"/>
      <c r="M652" s="413"/>
      <c r="N652" s="413"/>
    </row>
    <row r="653" spans="1:14" hidden="1" x14ac:dyDescent="0.25">
      <c r="A653" s="417"/>
      <c r="B653" s="445"/>
      <c r="C653" s="434" t="s">
        <v>328</v>
      </c>
      <c r="D653" s="435"/>
      <c r="E653" s="382"/>
      <c r="F653" s="420"/>
      <c r="G653" s="420"/>
      <c r="H653" s="403"/>
      <c r="I653" s="403"/>
      <c r="J653" s="403"/>
      <c r="K653" s="11">
        <f>IF(K650&gt;0,K649/K650,0)</f>
        <v>0</v>
      </c>
      <c r="L653" s="413"/>
      <c r="M653" s="413"/>
      <c r="N653" s="413"/>
    </row>
    <row r="654" spans="1:14" ht="15" hidden="1" customHeight="1" x14ac:dyDescent="0.25">
      <c r="A654" s="417"/>
      <c r="B654" s="445"/>
      <c r="C654" s="88" t="s">
        <v>104</v>
      </c>
      <c r="D654" s="89">
        <v>2E-3</v>
      </c>
      <c r="E654" s="90"/>
      <c r="F654" s="90"/>
      <c r="G654" s="90"/>
      <c r="H654" s="90"/>
      <c r="I654" s="90"/>
      <c r="J654" s="90"/>
      <c r="K654" s="90"/>
      <c r="L654" s="413"/>
      <c r="M654" s="413"/>
      <c r="N654" s="413"/>
    </row>
    <row r="655" spans="1:14" ht="15" hidden="1" customHeight="1" x14ac:dyDescent="0.25">
      <c r="A655" s="417"/>
      <c r="B655" s="445"/>
      <c r="C655" s="88" t="s">
        <v>105</v>
      </c>
      <c r="D655" s="89">
        <v>0.02</v>
      </c>
      <c r="E655" s="90"/>
      <c r="F655" s="90"/>
      <c r="G655" s="90"/>
      <c r="H655" s="90"/>
      <c r="I655" s="90"/>
      <c r="J655" s="90"/>
      <c r="K655" s="90"/>
      <c r="L655" s="413"/>
      <c r="M655" s="413"/>
      <c r="N655" s="413"/>
    </row>
    <row r="656" spans="1:14" ht="15" hidden="1" customHeight="1" x14ac:dyDescent="0.25">
      <c r="A656" s="417"/>
      <c r="B656" s="445"/>
      <c r="C656" s="88" t="s">
        <v>106</v>
      </c>
      <c r="D656" s="89">
        <v>0.04</v>
      </c>
      <c r="E656" s="90"/>
      <c r="F656" s="90"/>
      <c r="G656" s="90"/>
      <c r="H656" s="90"/>
      <c r="I656" s="90"/>
      <c r="J656" s="90"/>
      <c r="K656" s="90"/>
      <c r="L656" s="413"/>
      <c r="M656" s="413"/>
      <c r="N656" s="413"/>
    </row>
    <row r="657" spans="1:14" hidden="1" x14ac:dyDescent="0.25">
      <c r="A657" s="417"/>
      <c r="B657" s="445"/>
      <c r="C657" s="419" t="s">
        <v>6</v>
      </c>
      <c r="D657" s="419"/>
      <c r="E657" s="419"/>
      <c r="F657" s="419"/>
      <c r="G657" s="64"/>
      <c r="H657" s="64"/>
      <c r="I657" s="64"/>
      <c r="J657" s="64"/>
      <c r="K657" s="12">
        <f>IF(K651&gt;=D654,4,IF(AND(K651&lt;D654,K652&gt;=D655),3+(K651/D654),IF(AND(0&lt;=K651,K651&lt;D654,0&lt;K652,K652&lt;D655),2+(2*(K651/D654))+(K652/D655)-((K651*K652)/(D654*D655)),IF(AND(K651=0,K652=0,K653&gt;=D656),2,IF(AND(K651=0,K652=0,K653&lt;D656),(2*K653)/D656,0)))))</f>
        <v>0</v>
      </c>
      <c r="L657" s="413"/>
      <c r="M657" s="413"/>
      <c r="N657" s="413"/>
    </row>
    <row r="658" spans="1:14" hidden="1" x14ac:dyDescent="0.25">
      <c r="N658" s="1"/>
    </row>
    <row r="659" spans="1:14" ht="15.75" customHeight="1" x14ac:dyDescent="0.25">
      <c r="A659" s="417">
        <v>52</v>
      </c>
      <c r="B659" s="418"/>
      <c r="C659" s="395" t="s">
        <v>786</v>
      </c>
      <c r="D659" s="395"/>
      <c r="E659" s="382" t="s">
        <v>1765</v>
      </c>
      <c r="F659" s="420" t="s">
        <v>1130</v>
      </c>
      <c r="G659" s="420" t="s">
        <v>1131</v>
      </c>
      <c r="H659" s="34" t="s">
        <v>582</v>
      </c>
      <c r="I659" s="34">
        <v>1</v>
      </c>
      <c r="J659" s="109" t="str">
        <f>IF((IF(OR((H659&amp;"."&amp;I659)=$R$8,(H659&amp;"."&amp;I659)=$S$8,(H659&amp;"."&amp;I659)=$T$8,(H659&amp;"."&amp;I659)=$U$8,(H659&amp;"."&amp;I659)=$V$8,(H659&amp;"."&amp;I659)=$W$8),1,0))=1,"EKSTREM",IF((IF(OR((H659&amp;"."&amp;I659)=$R$9,(H659&amp;"."&amp;I659)=$S$9,(H659&amp;"."&amp;I659)=$T$9,(H659&amp;"."&amp;I659)=$U$9,(H659&amp;"."&amp;I659)=$V$9,(H659&amp;"."&amp;I659)=$W$9,(H659&amp;"."&amp;I659)=$X$9),1,0))=1,"TINGGI",IF((IF(OR((H659&amp;"."&amp;I659)=$R$10,(H659&amp;"."&amp;I659)=$S$10,(H659&amp;"."&amp;I659)=$T$10,(H659&amp;"."&amp;I659)=$U$10,(H659&amp;"."&amp;I659)=$V$10,(H659&amp;"."&amp;I659)=$W$10),1,0))=1,"MODERAT",IF((IF(OR((H659&amp;"."&amp;I659)=$R$11,(H659&amp;"."&amp;I659)=$S$11,(H659&amp;"."&amp;I659)=$T$11,(H659&amp;"."&amp;I659)=$U$11,(H659&amp;"."&amp;I659)=$V$11,(H659&amp;"."&amp;I659)=$W$11),1,0))=1,"RENDAH","-"))))</f>
        <v>RENDAH</v>
      </c>
      <c r="K659" s="50"/>
      <c r="L659" s="413" t="s">
        <v>1132</v>
      </c>
      <c r="M659" s="413" t="s">
        <v>1133</v>
      </c>
      <c r="N659" s="517"/>
    </row>
    <row r="660" spans="1:14" ht="15" customHeight="1" x14ac:dyDescent="0.25">
      <c r="A660" s="417"/>
      <c r="B660" s="418"/>
      <c r="C660" s="468" t="s">
        <v>331</v>
      </c>
      <c r="D660" s="469"/>
      <c r="E660" s="382"/>
      <c r="F660" s="420"/>
      <c r="G660" s="420"/>
      <c r="H660" s="401"/>
      <c r="I660" s="401"/>
      <c r="J660" s="401"/>
      <c r="K660" s="127">
        <f>IF(AND(ISBLANK('Isian Prodi'!S235),ISBLANK('Isian Prodi'!T235),ISBLANK('Isian Prodi'!U235)),'Isian Prodi'!J235,'Isian Prodi'!V235)</f>
        <v>0</v>
      </c>
      <c r="L660" s="413"/>
      <c r="M660" s="413"/>
      <c r="N660" s="517"/>
    </row>
    <row r="661" spans="1:14" ht="15" customHeight="1" x14ac:dyDescent="0.25">
      <c r="A661" s="417"/>
      <c r="B661" s="418"/>
      <c r="C661" s="468" t="s">
        <v>332</v>
      </c>
      <c r="D661" s="469"/>
      <c r="E661" s="382"/>
      <c r="F661" s="420"/>
      <c r="G661" s="420"/>
      <c r="H661" s="402"/>
      <c r="I661" s="402"/>
      <c r="J661" s="402"/>
      <c r="K661" s="127">
        <f>IF(ISBLANK('Isian Prodi'!W235),'Isian Prodi'!K235,'Isian Prodi'!W235)</f>
        <v>0</v>
      </c>
      <c r="L661" s="413"/>
      <c r="M661" s="413"/>
      <c r="N661" s="517"/>
    </row>
    <row r="662" spans="1:14" ht="15" customHeight="1" x14ac:dyDescent="0.25">
      <c r="A662" s="417"/>
      <c r="B662" s="418"/>
      <c r="C662" s="468" t="s">
        <v>993</v>
      </c>
      <c r="D662" s="469"/>
      <c r="E662" s="382"/>
      <c r="F662" s="420"/>
      <c r="G662" s="420"/>
      <c r="H662" s="402"/>
      <c r="I662" s="402"/>
      <c r="J662" s="402"/>
      <c r="K662" s="127">
        <f>IF(AND(ISBLANK('Isian Prodi'!T236),ISBLANK('Isian Prodi'!U236)),'Isian Prodi'!J236,'Isian Prodi'!V236)</f>
        <v>0</v>
      </c>
      <c r="L662" s="413"/>
      <c r="M662" s="413"/>
      <c r="N662" s="517"/>
    </row>
    <row r="663" spans="1:14" ht="15" customHeight="1" x14ac:dyDescent="0.25">
      <c r="A663" s="417"/>
      <c r="B663" s="418"/>
      <c r="C663" s="468" t="s">
        <v>994</v>
      </c>
      <c r="D663" s="469"/>
      <c r="E663" s="382"/>
      <c r="F663" s="420"/>
      <c r="G663" s="420"/>
      <c r="H663" s="402"/>
      <c r="I663" s="402"/>
      <c r="J663" s="402"/>
      <c r="K663" s="111">
        <f>IF(ISBLANK('Isian Prodi'!W236),'Isian Prodi'!K236,'Isian Prodi'!W236)</f>
        <v>0</v>
      </c>
      <c r="L663" s="413"/>
      <c r="M663" s="413"/>
      <c r="N663" s="517"/>
    </row>
    <row r="664" spans="1:14" ht="15" customHeight="1" x14ac:dyDescent="0.25">
      <c r="A664" s="417"/>
      <c r="B664" s="418"/>
      <c r="C664" s="468" t="s">
        <v>995</v>
      </c>
      <c r="D664" s="469"/>
      <c r="E664" s="382"/>
      <c r="F664" s="420"/>
      <c r="G664" s="420"/>
      <c r="H664" s="402"/>
      <c r="I664" s="402"/>
      <c r="J664" s="402"/>
      <c r="K664" s="111">
        <f>IF(ISBLANK('Isian Prodi'!U237),'Isian Prodi'!J237,'Isian Prodi'!V237)</f>
        <v>0</v>
      </c>
      <c r="L664" s="413"/>
      <c r="M664" s="413"/>
      <c r="N664" s="517"/>
    </row>
    <row r="665" spans="1:14" ht="15" customHeight="1" x14ac:dyDescent="0.25">
      <c r="A665" s="417"/>
      <c r="B665" s="418"/>
      <c r="C665" s="468" t="s">
        <v>996</v>
      </c>
      <c r="D665" s="469"/>
      <c r="E665" s="382"/>
      <c r="F665" s="420"/>
      <c r="G665" s="420"/>
      <c r="H665" s="402"/>
      <c r="I665" s="402"/>
      <c r="J665" s="402"/>
      <c r="K665" s="111">
        <f>IF(ISBLANK('Isian Prodi'!W237),'Isian Prodi'!K237,'Isian Prodi'!W237)</f>
        <v>0</v>
      </c>
      <c r="L665" s="413"/>
      <c r="M665" s="413"/>
      <c r="N665" s="517"/>
    </row>
    <row r="666" spans="1:14" x14ac:dyDescent="0.25">
      <c r="A666" s="417"/>
      <c r="B666" s="418"/>
      <c r="C666" s="499" t="s">
        <v>333</v>
      </c>
      <c r="D666" s="499"/>
      <c r="E666" s="382"/>
      <c r="F666" s="420"/>
      <c r="G666" s="420"/>
      <c r="H666" s="403"/>
      <c r="I666" s="403"/>
      <c r="J666" s="403"/>
      <c r="K666" s="111">
        <f>IF(SUM(K660,K662,K664)&gt;0,(K660*K661+K662*K663+K664*K665)/SUM(K660,K662,K664),0)</f>
        <v>0</v>
      </c>
      <c r="L666" s="413"/>
      <c r="M666" s="413"/>
      <c r="N666" s="517"/>
    </row>
    <row r="667" spans="1:14" ht="15" hidden="1" customHeight="1" x14ac:dyDescent="0.25">
      <c r="A667" s="417"/>
      <c r="B667" s="418"/>
      <c r="C667" s="86" t="s">
        <v>320</v>
      </c>
      <c r="D667" s="86">
        <v>1</v>
      </c>
      <c r="E667" s="86">
        <v>1.5</v>
      </c>
      <c r="F667" s="87"/>
      <c r="G667" s="87"/>
      <c r="H667" s="87"/>
      <c r="I667" s="87"/>
      <c r="J667" s="87"/>
      <c r="K667" s="131"/>
      <c r="L667" s="413"/>
      <c r="M667" s="413"/>
      <c r="N667" s="517"/>
    </row>
    <row r="668" spans="1:14" ht="15" hidden="1" customHeight="1" x14ac:dyDescent="0.25">
      <c r="A668" s="417"/>
      <c r="B668" s="418"/>
      <c r="C668" s="86" t="s">
        <v>334</v>
      </c>
      <c r="D668" s="86">
        <v>2.5</v>
      </c>
      <c r="E668" s="86">
        <v>4</v>
      </c>
      <c r="F668" s="87"/>
      <c r="G668" s="87"/>
      <c r="H668" s="87"/>
      <c r="I668" s="87"/>
      <c r="J668" s="87"/>
      <c r="K668" s="131"/>
      <c r="L668" s="413"/>
      <c r="M668" s="413"/>
      <c r="N668" s="517"/>
    </row>
    <row r="669" spans="1:14" x14ac:dyDescent="0.25">
      <c r="A669" s="417"/>
      <c r="B669" s="418"/>
      <c r="C669" s="419" t="s">
        <v>6</v>
      </c>
      <c r="D669" s="419"/>
      <c r="E669" s="419"/>
      <c r="F669" s="419"/>
      <c r="G669" s="64"/>
      <c r="H669" s="64"/>
      <c r="I669" s="64"/>
      <c r="J669" s="64"/>
      <c r="K669" s="111">
        <f>IF(AND(K666&gt;E667,K666&lt;=D668),4,IF(AND(K666&gt;D667,K666&lt;=E667),(8*K666)-8,IF(AND(K666&gt;D668,K666&lt;=E668),(32-(8*K666))/3,0)))</f>
        <v>0</v>
      </c>
      <c r="L669" s="413"/>
      <c r="M669" s="413"/>
      <c r="N669" s="517"/>
    </row>
    <row r="670" spans="1:14" x14ac:dyDescent="0.25">
      <c r="N670" s="1"/>
    </row>
    <row r="671" spans="1:14" ht="15" customHeight="1" x14ac:dyDescent="0.25">
      <c r="A671" s="417">
        <f>A659+1</f>
        <v>53</v>
      </c>
      <c r="B671" s="418"/>
      <c r="C671" s="395" t="s">
        <v>787</v>
      </c>
      <c r="D671" s="395"/>
      <c r="E671" s="382" t="s">
        <v>1765</v>
      </c>
      <c r="F671" s="420" t="s">
        <v>1130</v>
      </c>
      <c r="G671" s="420" t="s">
        <v>1131</v>
      </c>
      <c r="H671" s="34" t="s">
        <v>582</v>
      </c>
      <c r="I671" s="34">
        <v>1</v>
      </c>
      <c r="J671" s="109" t="str">
        <f>IF((IF(OR((H671&amp;"."&amp;I671)=$R$8,(H671&amp;"."&amp;I671)=$S$8,(H671&amp;"."&amp;I671)=$T$8,(H671&amp;"."&amp;I671)=$U$8,(H671&amp;"."&amp;I671)=$V$8,(H671&amp;"."&amp;I671)=$W$8),1,0))=1,"EKSTREM",IF((IF(OR((H671&amp;"."&amp;I671)=$R$9,(H671&amp;"."&amp;I671)=$S$9,(H671&amp;"."&amp;I671)=$T$9,(H671&amp;"."&amp;I671)=$U$9,(H671&amp;"."&amp;I671)=$V$9,(H671&amp;"."&amp;I671)=$W$9,(H671&amp;"."&amp;I671)=$X$9),1,0))=1,"TINGGI",IF((IF(OR((H671&amp;"."&amp;I671)=$R$10,(H671&amp;"."&amp;I671)=$S$10,(H671&amp;"."&amp;I671)=$T$10,(H671&amp;"."&amp;I671)=$U$10,(H671&amp;"."&amp;I671)=$V$10,(H671&amp;"."&amp;I671)=$W$10),1,0))=1,"MODERAT",IF((IF(OR((H671&amp;"."&amp;I671)=$R$11,(H671&amp;"."&amp;I671)=$S$11,(H671&amp;"."&amp;I671)=$T$11,(H671&amp;"."&amp;I671)=$U$11,(H671&amp;"."&amp;I671)=$V$11,(H671&amp;"."&amp;I671)=$W$11),1,0))=1,"RENDAH","-"))))</f>
        <v>RENDAH</v>
      </c>
      <c r="K671" s="50"/>
      <c r="L671" s="413" t="s">
        <v>1132</v>
      </c>
      <c r="M671" s="413" t="s">
        <v>1133</v>
      </c>
      <c r="N671" s="517"/>
    </row>
    <row r="672" spans="1:14" x14ac:dyDescent="0.25">
      <c r="A672" s="417"/>
      <c r="B672" s="418"/>
      <c r="C672" s="468" t="s">
        <v>347</v>
      </c>
      <c r="D672" s="469"/>
      <c r="E672" s="382"/>
      <c r="F672" s="420"/>
      <c r="G672" s="420"/>
      <c r="H672" s="401"/>
      <c r="I672" s="401"/>
      <c r="J672" s="401"/>
      <c r="K672" s="111">
        <f>IF(ISBLANK('Isian Prodi'!N235),'Isian Prodi'!B235,'Isian Prodi'!N235)</f>
        <v>0</v>
      </c>
      <c r="L672" s="413"/>
      <c r="M672" s="413"/>
      <c r="N672" s="517"/>
    </row>
    <row r="673" spans="1:14" x14ac:dyDescent="0.25">
      <c r="A673" s="417"/>
      <c r="B673" s="418"/>
      <c r="C673" s="468" t="s">
        <v>997</v>
      </c>
      <c r="D673" s="469"/>
      <c r="E673" s="382"/>
      <c r="F673" s="420"/>
      <c r="G673" s="420"/>
      <c r="H673" s="402"/>
      <c r="I673" s="402"/>
      <c r="J673" s="402"/>
      <c r="K673" s="111">
        <f>IF(ISBLANK('Isian Prodi'!N236),'Isian Prodi'!B236,'Isian Prodi'!N236)</f>
        <v>0</v>
      </c>
      <c r="L673" s="413"/>
      <c r="M673" s="413"/>
      <c r="N673" s="517"/>
    </row>
    <row r="674" spans="1:14" x14ac:dyDescent="0.25">
      <c r="A674" s="417"/>
      <c r="B674" s="418"/>
      <c r="C674" s="468" t="s">
        <v>998</v>
      </c>
      <c r="D674" s="469"/>
      <c r="E674" s="382"/>
      <c r="F674" s="420"/>
      <c r="G674" s="420"/>
      <c r="H674" s="402"/>
      <c r="I674" s="402"/>
      <c r="J674" s="402"/>
      <c r="K674" s="111">
        <f>IF(ISBLANK('Isian Prodi'!N237),'Isian Prodi'!B237,'Isian Prodi'!N237)</f>
        <v>0</v>
      </c>
      <c r="L674" s="413"/>
      <c r="M674" s="413"/>
      <c r="N674" s="517"/>
    </row>
    <row r="675" spans="1:14" x14ac:dyDescent="0.25">
      <c r="A675" s="417"/>
      <c r="B675" s="418"/>
      <c r="C675" s="411" t="s">
        <v>348</v>
      </c>
      <c r="D675" s="411"/>
      <c r="E675" s="382"/>
      <c r="F675" s="420"/>
      <c r="G675" s="420"/>
      <c r="H675" s="402"/>
      <c r="I675" s="402"/>
      <c r="J675" s="402"/>
      <c r="K675" s="111">
        <f>IF(ISBLANK('Isian Prodi'!S235),'Isian Prodi'!G238,'Isian Prodi'!S238)</f>
        <v>0</v>
      </c>
      <c r="L675" s="413"/>
      <c r="M675" s="413"/>
      <c r="N675" s="517"/>
    </row>
    <row r="676" spans="1:14" x14ac:dyDescent="0.25">
      <c r="A676" s="417"/>
      <c r="B676" s="418"/>
      <c r="C676" s="411" t="s">
        <v>349</v>
      </c>
      <c r="D676" s="411"/>
      <c r="E676" s="382"/>
      <c r="F676" s="420"/>
      <c r="G676" s="420"/>
      <c r="H676" s="402"/>
      <c r="I676" s="402"/>
      <c r="J676" s="402"/>
      <c r="K676" s="111">
        <f>IF(AND(ISBLANK('Isian Prodi'!T235),ISBLANK('Isian Prodi'!T236)),'Isian Prodi'!H238,'Isian Prodi'!T238)</f>
        <v>0</v>
      </c>
      <c r="L676" s="413"/>
      <c r="M676" s="413"/>
      <c r="N676" s="517"/>
    </row>
    <row r="677" spans="1:14" x14ac:dyDescent="0.25">
      <c r="A677" s="417"/>
      <c r="B677" s="418"/>
      <c r="C677" s="411" t="s">
        <v>350</v>
      </c>
      <c r="D677" s="411"/>
      <c r="E677" s="382"/>
      <c r="F677" s="420"/>
      <c r="G677" s="420"/>
      <c r="H677" s="402"/>
      <c r="I677" s="402"/>
      <c r="J677" s="402"/>
      <c r="K677" s="111">
        <f>IF(AND(ISBLANK('Isian Prodi'!U235),ISBLANK('Isian Prodi'!U236),ISBLANK('Isian Prodi'!U237)),'Isian Prodi'!I238,'Isian Prodi'!U238)</f>
        <v>0</v>
      </c>
      <c r="L677" s="413"/>
      <c r="M677" s="413"/>
      <c r="N677" s="517"/>
    </row>
    <row r="678" spans="1:14" x14ac:dyDescent="0.25">
      <c r="A678" s="417"/>
      <c r="B678" s="418"/>
      <c r="C678" s="411" t="s">
        <v>351</v>
      </c>
      <c r="D678" s="411"/>
      <c r="E678" s="382"/>
      <c r="F678" s="420"/>
      <c r="G678" s="420"/>
      <c r="H678" s="403"/>
      <c r="I678" s="403"/>
      <c r="J678" s="403"/>
      <c r="K678" s="129">
        <f>IF(SUM(K672:K674)&gt;0,SUM(K675:K677)/SUM(K672:K674),0)</f>
        <v>0</v>
      </c>
      <c r="L678" s="413"/>
      <c r="M678" s="413"/>
      <c r="N678" s="517"/>
    </row>
    <row r="679" spans="1:14" x14ac:dyDescent="0.25">
      <c r="A679" s="417"/>
      <c r="B679" s="418"/>
      <c r="C679" s="419" t="s">
        <v>6</v>
      </c>
      <c r="D679" s="419"/>
      <c r="E679" s="419"/>
      <c r="F679" s="419"/>
      <c r="G679" s="64"/>
      <c r="H679" s="64"/>
      <c r="I679" s="64"/>
      <c r="J679" s="64"/>
      <c r="K679" s="111">
        <f>IF(K678&gt;=50%,4,1+(6*K678))</f>
        <v>1</v>
      </c>
      <c r="L679" s="413"/>
      <c r="M679" s="413"/>
      <c r="N679" s="517"/>
    </row>
    <row r="680" spans="1:14" x14ac:dyDescent="0.25">
      <c r="N680" s="1"/>
    </row>
    <row r="681" spans="1:14" ht="15.75" customHeight="1" x14ac:dyDescent="0.25">
      <c r="A681" s="417">
        <f>A671+1</f>
        <v>54</v>
      </c>
      <c r="B681" s="418"/>
      <c r="C681" s="395" t="s">
        <v>788</v>
      </c>
      <c r="D681" s="395"/>
      <c r="E681" s="382" t="s">
        <v>1766</v>
      </c>
      <c r="F681" s="420" t="s">
        <v>1130</v>
      </c>
      <c r="G681" s="420" t="s">
        <v>1131</v>
      </c>
      <c r="H681" s="34" t="s">
        <v>582</v>
      </c>
      <c r="I681" s="34">
        <v>1</v>
      </c>
      <c r="J681" s="109" t="str">
        <f>IF((IF(OR((H681&amp;"."&amp;I681)=$R$8,(H681&amp;"."&amp;I681)=$S$8,(H681&amp;"."&amp;I681)=$T$8,(H681&amp;"."&amp;I681)=$U$8,(H681&amp;"."&amp;I681)=$V$8,(H681&amp;"."&amp;I681)=$W$8),1,0))=1,"EKSTREM",IF((IF(OR((H681&amp;"."&amp;I681)=$R$9,(H681&amp;"."&amp;I681)=$S$9,(H681&amp;"."&amp;I681)=$T$9,(H681&amp;"."&amp;I681)=$U$9,(H681&amp;"."&amp;I681)=$V$9,(H681&amp;"."&amp;I681)=$W$9,(H681&amp;"."&amp;I681)=$X$9),1,0))=1,"TINGGI",IF((IF(OR((H681&amp;"."&amp;I681)=$R$10,(H681&amp;"."&amp;I681)=$S$10,(H681&amp;"."&amp;I681)=$T$10,(H681&amp;"."&amp;I681)=$U$10,(H681&amp;"."&amp;I681)=$V$10,(H681&amp;"."&amp;I681)=$W$10),1,0))=1,"MODERAT",IF((IF(OR((H681&amp;"."&amp;I681)=$R$11,(H681&amp;"."&amp;I681)=$S$11,(H681&amp;"."&amp;I681)=$T$11,(H681&amp;"."&amp;I681)=$U$11,(H681&amp;"."&amp;I681)=$V$11,(H681&amp;"."&amp;I681)=$W$11),1,0))=1,"RENDAH","-"))))</f>
        <v>RENDAH</v>
      </c>
      <c r="K681" s="50"/>
      <c r="L681" s="413" t="s">
        <v>1132</v>
      </c>
      <c r="M681" s="413" t="s">
        <v>1133</v>
      </c>
      <c r="N681" s="517"/>
    </row>
    <row r="682" spans="1:14" x14ac:dyDescent="0.25">
      <c r="A682" s="417"/>
      <c r="B682" s="418"/>
      <c r="C682" s="419" t="s">
        <v>142</v>
      </c>
      <c r="D682" s="419"/>
      <c r="E682" s="382"/>
      <c r="F682" s="420"/>
      <c r="G682" s="420"/>
      <c r="H682" s="401"/>
      <c r="I682" s="401"/>
      <c r="J682" s="401"/>
      <c r="K682" s="127">
        <f>IF(ISBLANK('Isian Prodi'!N235),'Isian Prodi'!B235,'Isian Prodi'!N235)</f>
        <v>0</v>
      </c>
      <c r="L682" s="413"/>
      <c r="M682" s="413"/>
      <c r="N682" s="517"/>
    </row>
    <row r="683" spans="1:14" x14ac:dyDescent="0.25">
      <c r="A683" s="417"/>
      <c r="B683" s="418"/>
      <c r="C683" s="419" t="s">
        <v>352</v>
      </c>
      <c r="D683" s="419"/>
      <c r="E683" s="382"/>
      <c r="F683" s="420"/>
      <c r="G683" s="420"/>
      <c r="H683" s="402"/>
      <c r="I683" s="402"/>
      <c r="J683" s="402"/>
      <c r="K683" s="127">
        <f>IF(ISBLANK('Isian Prodi'!S235),'Isian Prodi'!G235,'Isian Prodi'!S235)</f>
        <v>0</v>
      </c>
      <c r="L683" s="413"/>
      <c r="M683" s="413"/>
      <c r="N683" s="517"/>
    </row>
    <row r="684" spans="1:14" x14ac:dyDescent="0.25">
      <c r="A684" s="417"/>
      <c r="B684" s="418"/>
      <c r="C684" s="419" t="s">
        <v>353</v>
      </c>
      <c r="D684" s="419"/>
      <c r="E684" s="382"/>
      <c r="F684" s="420"/>
      <c r="G684" s="420"/>
      <c r="H684" s="402"/>
      <c r="I684" s="402"/>
      <c r="J684" s="402"/>
      <c r="K684" s="127">
        <f>IF(ISBLANK('Isian Prodi'!T235),'Isian Prodi'!H235,'Isian Prodi'!T235)</f>
        <v>0</v>
      </c>
      <c r="L684" s="413"/>
      <c r="M684" s="413"/>
      <c r="N684" s="517"/>
    </row>
    <row r="685" spans="1:14" x14ac:dyDescent="0.25">
      <c r="A685" s="417"/>
      <c r="B685" s="418"/>
      <c r="C685" s="419" t="s">
        <v>354</v>
      </c>
      <c r="D685" s="419"/>
      <c r="E685" s="382"/>
      <c r="F685" s="420"/>
      <c r="G685" s="420"/>
      <c r="H685" s="402"/>
      <c r="I685" s="402"/>
      <c r="J685" s="402"/>
      <c r="K685" s="127">
        <f>IF(ISBLANK('Isian Prodi'!U235),'Isian Prodi'!I235,'Isian Prodi'!U235)</f>
        <v>0</v>
      </c>
      <c r="L685" s="413"/>
      <c r="M685" s="413"/>
      <c r="N685" s="517"/>
    </row>
    <row r="686" spans="1:14" x14ac:dyDescent="0.25">
      <c r="A686" s="417"/>
      <c r="B686" s="418"/>
      <c r="C686" s="419" t="s">
        <v>355</v>
      </c>
      <c r="D686" s="419"/>
      <c r="E686" s="382"/>
      <c r="F686" s="420"/>
      <c r="G686" s="420"/>
      <c r="H686" s="403"/>
      <c r="I686" s="403"/>
      <c r="J686" s="403"/>
      <c r="K686" s="129">
        <f>IF(K682&gt;0,SUM(K683:K685)/K682,0)</f>
        <v>0</v>
      </c>
      <c r="L686" s="413"/>
      <c r="M686" s="413"/>
      <c r="N686" s="517"/>
    </row>
    <row r="687" spans="1:14" ht="15" hidden="1" customHeight="1" x14ac:dyDescent="0.25">
      <c r="A687" s="417"/>
      <c r="B687" s="418"/>
      <c r="C687" s="88" t="s">
        <v>320</v>
      </c>
      <c r="D687" s="89">
        <v>0.3</v>
      </c>
      <c r="E687" s="88"/>
      <c r="F687" s="88"/>
      <c r="G687" s="88"/>
      <c r="H687" s="88"/>
      <c r="I687" s="88"/>
      <c r="J687" s="88"/>
      <c r="K687" s="119"/>
      <c r="L687" s="413"/>
      <c r="M687" s="413"/>
      <c r="N687" s="517"/>
    </row>
    <row r="688" spans="1:14" ht="15" hidden="1" customHeight="1" x14ac:dyDescent="0.25">
      <c r="A688" s="417"/>
      <c r="B688" s="418"/>
      <c r="C688" s="88" t="s">
        <v>321</v>
      </c>
      <c r="D688" s="89">
        <v>0.85</v>
      </c>
      <c r="E688" s="88"/>
      <c r="F688" s="88"/>
      <c r="G688" s="88"/>
      <c r="H688" s="88"/>
      <c r="I688" s="88"/>
      <c r="J688" s="88"/>
      <c r="K688" s="119"/>
      <c r="L688" s="413"/>
      <c r="M688" s="413"/>
      <c r="N688" s="517"/>
    </row>
    <row r="689" spans="1:14" x14ac:dyDescent="0.25">
      <c r="A689" s="417"/>
      <c r="B689" s="418"/>
      <c r="C689" s="419" t="s">
        <v>6</v>
      </c>
      <c r="D689" s="419"/>
      <c r="E689" s="419"/>
      <c r="F689" s="419"/>
      <c r="G689" s="64"/>
      <c r="H689" s="64"/>
      <c r="I689" s="64"/>
      <c r="J689" s="64"/>
      <c r="K689" s="111">
        <f>IF(K686&gt;=D688,4,IF(K686&gt;=D687,((80*K686)-24)/11,0))</f>
        <v>0</v>
      </c>
      <c r="L689" s="413"/>
      <c r="M689" s="413"/>
      <c r="N689" s="517"/>
    </row>
    <row r="690" spans="1:14" x14ac:dyDescent="0.25">
      <c r="N690" s="1"/>
    </row>
    <row r="691" spans="1:14" ht="120" customHeight="1" x14ac:dyDescent="0.25">
      <c r="A691" s="417">
        <f>A681+1</f>
        <v>55</v>
      </c>
      <c r="B691" s="418"/>
      <c r="C691" s="395" t="s">
        <v>789</v>
      </c>
      <c r="D691" s="395"/>
      <c r="E691" s="382" t="s">
        <v>1767</v>
      </c>
      <c r="F691" s="420" t="s">
        <v>1130</v>
      </c>
      <c r="G691" s="420" t="s">
        <v>1131</v>
      </c>
      <c r="H691" s="34" t="s">
        <v>582</v>
      </c>
      <c r="I691" s="34">
        <v>1</v>
      </c>
      <c r="J691" s="109" t="str">
        <f>IF((IF(OR((H691&amp;"."&amp;I691)=$R$8,(H691&amp;"."&amp;I691)=$S$8,(H691&amp;"."&amp;I691)=$T$8,(H691&amp;"."&amp;I691)=$U$8,(H691&amp;"."&amp;I691)=$V$8,(H691&amp;"."&amp;I691)=$W$8),1,0))=1,"EKSTREM",IF((IF(OR((H691&amp;"."&amp;I691)=$R$9,(H691&amp;"."&amp;I691)=$S$9,(H691&amp;"."&amp;I691)=$T$9,(H691&amp;"."&amp;I691)=$U$9,(H691&amp;"."&amp;I691)=$V$9,(H691&amp;"."&amp;I691)=$W$9,(H691&amp;"."&amp;I691)=$X$9),1,0))=1,"TINGGI",IF((IF(OR((H691&amp;"."&amp;I691)=$R$10,(H691&amp;"."&amp;I691)=$S$10,(H691&amp;"."&amp;I691)=$T$10,(H691&amp;"."&amp;I691)=$U$10,(H691&amp;"."&amp;I691)=$V$10,(H691&amp;"."&amp;I691)=$W$10),1,0))=1,"MODERAT",IF((IF(OR((H691&amp;"."&amp;I691)=$R$11,(H691&amp;"."&amp;I691)=$S$11,(H691&amp;"."&amp;I691)=$T$11,(H691&amp;"."&amp;I691)=$U$11,(H691&amp;"."&amp;I691)=$V$11,(H691&amp;"."&amp;I691)=$W$11),1,0))=1,"RENDAH","-"))))</f>
        <v>RENDAH</v>
      </c>
      <c r="K691" s="36">
        <v>0</v>
      </c>
      <c r="L691" s="413" t="s">
        <v>1132</v>
      </c>
      <c r="M691" s="413" t="s">
        <v>1133</v>
      </c>
      <c r="N691" s="517"/>
    </row>
    <row r="692" spans="1:14" x14ac:dyDescent="0.25">
      <c r="A692" s="417"/>
      <c r="B692" s="418"/>
      <c r="C692" s="37">
        <v>4</v>
      </c>
      <c r="D692" s="41" t="s">
        <v>790</v>
      </c>
      <c r="E692" s="382"/>
      <c r="F692" s="420"/>
      <c r="G692" s="420"/>
      <c r="H692" s="401"/>
      <c r="I692" s="401"/>
      <c r="J692" s="401"/>
      <c r="K692" s="401"/>
      <c r="L692" s="413"/>
      <c r="M692" s="413"/>
      <c r="N692" s="517"/>
    </row>
    <row r="693" spans="1:14" x14ac:dyDescent="0.25">
      <c r="A693" s="417"/>
      <c r="B693" s="418"/>
      <c r="C693" s="37">
        <v>3</v>
      </c>
      <c r="D693" s="41" t="s">
        <v>791</v>
      </c>
      <c r="E693" s="382"/>
      <c r="F693" s="420"/>
      <c r="G693" s="420"/>
      <c r="H693" s="402"/>
      <c r="I693" s="402"/>
      <c r="J693" s="402"/>
      <c r="K693" s="402"/>
      <c r="L693" s="413"/>
      <c r="M693" s="413"/>
      <c r="N693" s="517"/>
    </row>
    <row r="694" spans="1:14" x14ac:dyDescent="0.25">
      <c r="A694" s="417"/>
      <c r="B694" s="418"/>
      <c r="C694" s="37">
        <v>2</v>
      </c>
      <c r="D694" s="41" t="s">
        <v>792</v>
      </c>
      <c r="E694" s="382"/>
      <c r="F694" s="420"/>
      <c r="G694" s="420"/>
      <c r="H694" s="402"/>
      <c r="I694" s="402"/>
      <c r="J694" s="402"/>
      <c r="K694" s="402"/>
      <c r="L694" s="413"/>
      <c r="M694" s="413"/>
      <c r="N694" s="517"/>
    </row>
    <row r="695" spans="1:14" x14ac:dyDescent="0.25">
      <c r="A695" s="417"/>
      <c r="B695" s="418"/>
      <c r="C695" s="37">
        <v>1</v>
      </c>
      <c r="D695" s="41" t="s">
        <v>793</v>
      </c>
      <c r="E695" s="382"/>
      <c r="F695" s="420"/>
      <c r="G695" s="420"/>
      <c r="H695" s="402"/>
      <c r="I695" s="402"/>
      <c r="J695" s="402"/>
      <c r="K695" s="402"/>
      <c r="L695" s="413"/>
      <c r="M695" s="413"/>
      <c r="N695" s="517"/>
    </row>
    <row r="696" spans="1:14" x14ac:dyDescent="0.25">
      <c r="A696" s="417"/>
      <c r="B696" s="418"/>
      <c r="C696" s="37">
        <v>0</v>
      </c>
      <c r="D696" s="41" t="s">
        <v>794</v>
      </c>
      <c r="E696" s="382"/>
      <c r="F696" s="420"/>
      <c r="G696" s="420"/>
      <c r="H696" s="403"/>
      <c r="I696" s="403"/>
      <c r="J696" s="403"/>
      <c r="K696" s="403"/>
      <c r="L696" s="413"/>
      <c r="M696" s="413"/>
      <c r="N696" s="517"/>
    </row>
    <row r="697" spans="1:14" x14ac:dyDescent="0.25">
      <c r="A697" s="417"/>
      <c r="B697" s="418"/>
      <c r="C697" s="419" t="s">
        <v>6</v>
      </c>
      <c r="D697" s="419"/>
      <c r="E697" s="419"/>
      <c r="F697" s="419"/>
      <c r="G697" s="64"/>
      <c r="H697" s="64"/>
      <c r="I697" s="64"/>
      <c r="J697" s="64"/>
      <c r="K697" s="110">
        <f>IF(OR(ISBLANK(K691),K691&lt;0,K691&gt;4),0,K691)</f>
        <v>0</v>
      </c>
      <c r="L697" s="413"/>
      <c r="M697" s="413"/>
      <c r="N697" s="517"/>
    </row>
    <row r="698" spans="1:14" x14ac:dyDescent="0.25">
      <c r="N698" s="1"/>
    </row>
    <row r="699" spans="1:14" ht="16.5" hidden="1" customHeight="1" x14ac:dyDescent="0.25">
      <c r="A699" s="417"/>
      <c r="B699" s="445"/>
      <c r="C699" s="395" t="s">
        <v>795</v>
      </c>
      <c r="D699" s="395"/>
      <c r="E699" s="382" t="s">
        <v>906</v>
      </c>
      <c r="F699" s="420" t="s">
        <v>877</v>
      </c>
      <c r="G699" s="420" t="s">
        <v>878</v>
      </c>
      <c r="H699" s="34" t="s">
        <v>582</v>
      </c>
      <c r="I699" s="34">
        <v>1</v>
      </c>
      <c r="J699" s="35" t="str">
        <f>IF((IF(OR((H699&amp;"."&amp;I699)=$R$8,(H699&amp;"."&amp;I699)=$S$8,(H699&amp;"."&amp;I699)=$T$8,(H699&amp;"."&amp;I699)=$U$8,(H699&amp;"."&amp;I699)=$V$8,(H699&amp;"."&amp;I699)=$W$8),1,0))=1,"EKSTREM",IF((IF(OR((H699&amp;"."&amp;I699)=$R$9,(H699&amp;"."&amp;I699)=$S$9,(H699&amp;"."&amp;I699)=$T$9,(H699&amp;"."&amp;I699)=$U$9,(H699&amp;"."&amp;I699)=$V$9,(H699&amp;"."&amp;I699)=$W$9,(H699&amp;"."&amp;I699)=$X$9),1,0))=1,"TINGGI",IF((IF(OR((H699&amp;"."&amp;I699)=$R$10,(H699&amp;"."&amp;I699)=$S$10,(H699&amp;"."&amp;I699)=$T$10,(H699&amp;"."&amp;I699)=$U$10,(H699&amp;"."&amp;I699)=$V$10,(H699&amp;"."&amp;I699)=$W$10),1,0))=1,"MODERAT",IF((IF(OR((H699&amp;"."&amp;I699)=$R$11,(H699&amp;"."&amp;I699)=$S$11,(H699&amp;"."&amp;I699)=$T$11,(H699&amp;"."&amp;I699)=$U$11,(H699&amp;"."&amp;I699)=$V$11,(H699&amp;"."&amp;I699)=$W$11),1,0))=1,"RENDAH","-"))))</f>
        <v>RENDAH</v>
      </c>
      <c r="K699" s="50"/>
      <c r="L699" s="413" t="s">
        <v>1022</v>
      </c>
      <c r="M699" s="413" t="s">
        <v>1023</v>
      </c>
      <c r="N699" s="413"/>
    </row>
    <row r="700" spans="1:14" hidden="1" x14ac:dyDescent="0.25">
      <c r="A700" s="417"/>
      <c r="B700" s="445"/>
      <c r="C700" s="419" t="s">
        <v>362</v>
      </c>
      <c r="D700" s="419"/>
      <c r="E700" s="382"/>
      <c r="F700" s="420"/>
      <c r="G700" s="420"/>
      <c r="H700" s="401"/>
      <c r="I700" s="401"/>
      <c r="J700" s="401"/>
      <c r="K700" s="91">
        <f>'Isian Prodi'!B244</f>
        <v>0</v>
      </c>
      <c r="L700" s="413"/>
      <c r="M700" s="413"/>
      <c r="N700" s="413"/>
    </row>
    <row r="701" spans="1:14" hidden="1" x14ac:dyDescent="0.25">
      <c r="A701" s="417"/>
      <c r="B701" s="445"/>
      <c r="C701" s="419" t="s">
        <v>363</v>
      </c>
      <c r="D701" s="419"/>
      <c r="E701" s="382"/>
      <c r="F701" s="420"/>
      <c r="G701" s="420"/>
      <c r="H701" s="402"/>
      <c r="I701" s="402"/>
      <c r="J701" s="402"/>
      <c r="K701" s="91">
        <f>'Isian Prodi'!B245</f>
        <v>0</v>
      </c>
      <c r="L701" s="413"/>
      <c r="M701" s="413"/>
      <c r="N701" s="413"/>
    </row>
    <row r="702" spans="1:14" hidden="1" x14ac:dyDescent="0.25">
      <c r="A702" s="417"/>
      <c r="B702" s="445"/>
      <c r="C702" s="419" t="s">
        <v>364</v>
      </c>
      <c r="D702" s="419"/>
      <c r="E702" s="382"/>
      <c r="F702" s="420"/>
      <c r="G702" s="420"/>
      <c r="H702" s="402"/>
      <c r="I702" s="402"/>
      <c r="J702" s="402"/>
      <c r="K702" s="91">
        <f>'Isian Prodi'!B246</f>
        <v>0</v>
      </c>
      <c r="L702" s="413"/>
      <c r="M702" s="413"/>
      <c r="N702" s="413"/>
    </row>
    <row r="703" spans="1:14" hidden="1" x14ac:dyDescent="0.25">
      <c r="A703" s="417"/>
      <c r="B703" s="445"/>
      <c r="C703" s="419" t="s">
        <v>365</v>
      </c>
      <c r="D703" s="419"/>
      <c r="E703" s="382"/>
      <c r="F703" s="420"/>
      <c r="G703" s="420"/>
      <c r="H703" s="402"/>
      <c r="I703" s="402"/>
      <c r="J703" s="402"/>
      <c r="K703" s="91">
        <f>'Isian Prodi'!C244</f>
        <v>0</v>
      </c>
      <c r="L703" s="413"/>
      <c r="M703" s="413"/>
      <c r="N703" s="413"/>
    </row>
    <row r="704" spans="1:14" hidden="1" x14ac:dyDescent="0.25">
      <c r="A704" s="417"/>
      <c r="B704" s="445"/>
      <c r="C704" s="419" t="s">
        <v>366</v>
      </c>
      <c r="D704" s="419"/>
      <c r="E704" s="382"/>
      <c r="F704" s="420"/>
      <c r="G704" s="420"/>
      <c r="H704" s="402"/>
      <c r="I704" s="402"/>
      <c r="J704" s="402"/>
      <c r="K704" s="91">
        <f>'Isian Prodi'!C245</f>
        <v>0</v>
      </c>
      <c r="L704" s="413"/>
      <c r="M704" s="413"/>
      <c r="N704" s="413"/>
    </row>
    <row r="705" spans="1:14" hidden="1" x14ac:dyDescent="0.25">
      <c r="A705" s="417"/>
      <c r="B705" s="445"/>
      <c r="C705" s="419" t="s">
        <v>367</v>
      </c>
      <c r="D705" s="419"/>
      <c r="E705" s="382"/>
      <c r="F705" s="420"/>
      <c r="G705" s="420"/>
      <c r="H705" s="402"/>
      <c r="I705" s="402"/>
      <c r="J705" s="402"/>
      <c r="K705" s="91">
        <f>'Isian Prodi'!C246</f>
        <v>0</v>
      </c>
      <c r="L705" s="413"/>
      <c r="M705" s="413"/>
      <c r="N705" s="413"/>
    </row>
    <row r="706" spans="1:14" hidden="1" x14ac:dyDescent="0.25">
      <c r="A706" s="417"/>
      <c r="B706" s="445"/>
      <c r="C706" s="419" t="s">
        <v>404</v>
      </c>
      <c r="D706" s="419"/>
      <c r="E706" s="382"/>
      <c r="F706" s="420"/>
      <c r="G706" s="420"/>
      <c r="H706" s="402"/>
      <c r="I706" s="402"/>
      <c r="J706" s="402"/>
      <c r="K706" s="92">
        <f>IF(SUM(K700:K702)&gt;=300,1,2)</f>
        <v>2</v>
      </c>
      <c r="L706" s="413"/>
      <c r="M706" s="413"/>
      <c r="N706" s="413"/>
    </row>
    <row r="707" spans="1:14" hidden="1" x14ac:dyDescent="0.25">
      <c r="A707" s="417"/>
      <c r="B707" s="445"/>
      <c r="C707" s="419" t="s">
        <v>368</v>
      </c>
      <c r="D707" s="419"/>
      <c r="E707" s="382"/>
      <c r="F707" s="420"/>
      <c r="G707" s="420"/>
      <c r="H707" s="402"/>
      <c r="I707" s="402"/>
      <c r="J707" s="402"/>
      <c r="K707" s="93">
        <f>IF(SUM(K700:K702)&gt;0,SUM(K703:K705)/SUM(K700:K702),0)</f>
        <v>0</v>
      </c>
      <c r="L707" s="413"/>
      <c r="M707" s="413"/>
      <c r="N707" s="413"/>
    </row>
    <row r="708" spans="1:14" ht="18" hidden="1" x14ac:dyDescent="0.25">
      <c r="A708" s="417"/>
      <c r="B708" s="445"/>
      <c r="C708" s="419" t="s">
        <v>369</v>
      </c>
      <c r="D708" s="419"/>
      <c r="E708" s="382"/>
      <c r="F708" s="420"/>
      <c r="G708" s="420"/>
      <c r="H708" s="402"/>
      <c r="I708" s="402"/>
      <c r="J708" s="402"/>
      <c r="K708" s="94">
        <f>IF(K706=1,30%,50%-SUM(K700:K702)/300*20%)</f>
        <v>0.5</v>
      </c>
      <c r="L708" s="413"/>
      <c r="M708" s="413"/>
      <c r="N708" s="413"/>
    </row>
    <row r="709" spans="1:14" hidden="1" x14ac:dyDescent="0.25">
      <c r="A709" s="417"/>
      <c r="B709" s="445"/>
      <c r="C709" s="436" t="s">
        <v>370</v>
      </c>
      <c r="D709" s="55" t="s">
        <v>378</v>
      </c>
      <c r="E709" s="382"/>
      <c r="F709" s="420"/>
      <c r="G709" s="420"/>
      <c r="H709" s="402"/>
      <c r="I709" s="402"/>
      <c r="J709" s="402"/>
      <c r="K709" s="10">
        <f>'Isian Prodi'!D244</f>
        <v>0</v>
      </c>
      <c r="L709" s="413"/>
      <c r="M709" s="413"/>
      <c r="N709" s="413"/>
    </row>
    <row r="710" spans="1:14" hidden="1" x14ac:dyDescent="0.25">
      <c r="A710" s="417"/>
      <c r="B710" s="445"/>
      <c r="C710" s="436"/>
      <c r="D710" s="55" t="s">
        <v>379</v>
      </c>
      <c r="E710" s="382"/>
      <c r="F710" s="420"/>
      <c r="G710" s="420"/>
      <c r="H710" s="402"/>
      <c r="I710" s="402"/>
      <c r="J710" s="402"/>
      <c r="K710" s="10">
        <f>'Isian Prodi'!E244</f>
        <v>0</v>
      </c>
      <c r="L710" s="413"/>
      <c r="M710" s="413"/>
      <c r="N710" s="413"/>
    </row>
    <row r="711" spans="1:14" hidden="1" x14ac:dyDescent="0.25">
      <c r="A711" s="417"/>
      <c r="B711" s="445"/>
      <c r="C711" s="436"/>
      <c r="D711" s="55" t="s">
        <v>380</v>
      </c>
      <c r="E711" s="382"/>
      <c r="F711" s="420"/>
      <c r="G711" s="420"/>
      <c r="H711" s="402"/>
      <c r="I711" s="402"/>
      <c r="J711" s="402"/>
      <c r="K711" s="10">
        <f>'Isian Prodi'!F244</f>
        <v>0</v>
      </c>
      <c r="L711" s="413"/>
      <c r="M711" s="413"/>
      <c r="N711" s="413"/>
    </row>
    <row r="712" spans="1:14" hidden="1" x14ac:dyDescent="0.25">
      <c r="A712" s="417"/>
      <c r="B712" s="445"/>
      <c r="C712" s="436" t="s">
        <v>371</v>
      </c>
      <c r="D712" s="55" t="s">
        <v>378</v>
      </c>
      <c r="E712" s="382"/>
      <c r="F712" s="420"/>
      <c r="G712" s="420"/>
      <c r="H712" s="402"/>
      <c r="I712" s="402"/>
      <c r="J712" s="402"/>
      <c r="K712" s="10">
        <f>'Isian Prodi'!D245</f>
        <v>0</v>
      </c>
      <c r="L712" s="413"/>
      <c r="M712" s="413"/>
      <c r="N712" s="413"/>
    </row>
    <row r="713" spans="1:14" hidden="1" x14ac:dyDescent="0.25">
      <c r="A713" s="417"/>
      <c r="B713" s="445"/>
      <c r="C713" s="436"/>
      <c r="D713" s="55" t="s">
        <v>379</v>
      </c>
      <c r="E713" s="382"/>
      <c r="F713" s="420"/>
      <c r="G713" s="420"/>
      <c r="H713" s="402"/>
      <c r="I713" s="402"/>
      <c r="J713" s="402"/>
      <c r="K713" s="10">
        <f>'Isian Prodi'!E245</f>
        <v>0</v>
      </c>
      <c r="L713" s="413"/>
      <c r="M713" s="413"/>
      <c r="N713" s="413"/>
    </row>
    <row r="714" spans="1:14" hidden="1" x14ac:dyDescent="0.25">
      <c r="A714" s="417"/>
      <c r="B714" s="445"/>
      <c r="C714" s="436"/>
      <c r="D714" s="55" t="s">
        <v>380</v>
      </c>
      <c r="E714" s="382"/>
      <c r="F714" s="420"/>
      <c r="G714" s="420"/>
      <c r="H714" s="402"/>
      <c r="I714" s="402"/>
      <c r="J714" s="402"/>
      <c r="K714" s="10">
        <f>'Isian Prodi'!F245</f>
        <v>0</v>
      </c>
      <c r="L714" s="413"/>
      <c r="M714" s="413"/>
      <c r="N714" s="413"/>
    </row>
    <row r="715" spans="1:14" hidden="1" x14ac:dyDescent="0.25">
      <c r="A715" s="417"/>
      <c r="B715" s="445"/>
      <c r="C715" s="436" t="s">
        <v>372</v>
      </c>
      <c r="D715" s="55" t="s">
        <v>378</v>
      </c>
      <c r="E715" s="382"/>
      <c r="F715" s="420"/>
      <c r="G715" s="420"/>
      <c r="H715" s="402"/>
      <c r="I715" s="402"/>
      <c r="J715" s="402"/>
      <c r="K715" s="10">
        <f>'Isian Prodi'!D246</f>
        <v>0</v>
      </c>
      <c r="L715" s="413"/>
      <c r="M715" s="413"/>
      <c r="N715" s="413"/>
    </row>
    <row r="716" spans="1:14" hidden="1" x14ac:dyDescent="0.25">
      <c r="A716" s="417"/>
      <c r="B716" s="445"/>
      <c r="C716" s="436"/>
      <c r="D716" s="55" t="s">
        <v>379</v>
      </c>
      <c r="E716" s="382"/>
      <c r="F716" s="420"/>
      <c r="G716" s="420"/>
      <c r="H716" s="402"/>
      <c r="I716" s="402"/>
      <c r="J716" s="402"/>
      <c r="K716" s="10">
        <f>'Isian Prodi'!E246</f>
        <v>0</v>
      </c>
      <c r="L716" s="413"/>
      <c r="M716" s="413"/>
      <c r="N716" s="413"/>
    </row>
    <row r="717" spans="1:14" hidden="1" x14ac:dyDescent="0.25">
      <c r="A717" s="417"/>
      <c r="B717" s="445"/>
      <c r="C717" s="436"/>
      <c r="D717" s="55" t="s">
        <v>380</v>
      </c>
      <c r="E717" s="382"/>
      <c r="F717" s="420"/>
      <c r="G717" s="420"/>
      <c r="H717" s="402"/>
      <c r="I717" s="402"/>
      <c r="J717" s="402"/>
      <c r="K717" s="10">
        <f>'Isian Prodi'!F246</f>
        <v>0</v>
      </c>
      <c r="L717" s="413"/>
      <c r="M717" s="413"/>
      <c r="N717" s="413"/>
    </row>
    <row r="718" spans="1:14" ht="15" hidden="1" customHeight="1" x14ac:dyDescent="0.25">
      <c r="A718" s="417"/>
      <c r="B718" s="445"/>
      <c r="C718" s="88" t="s">
        <v>320</v>
      </c>
      <c r="D718" s="86">
        <v>6</v>
      </c>
      <c r="E718" s="382"/>
      <c r="F718" s="420"/>
      <c r="G718" s="420"/>
      <c r="H718" s="402"/>
      <c r="I718" s="402"/>
      <c r="J718" s="402"/>
      <c r="K718" s="53"/>
      <c r="L718" s="413"/>
      <c r="M718" s="413"/>
      <c r="N718" s="413"/>
    </row>
    <row r="719" spans="1:14" ht="15" hidden="1" customHeight="1" x14ac:dyDescent="0.25">
      <c r="A719" s="417"/>
      <c r="B719" s="445"/>
      <c r="C719" s="88" t="s">
        <v>321</v>
      </c>
      <c r="D719" s="86">
        <v>18</v>
      </c>
      <c r="E719" s="382"/>
      <c r="F719" s="420"/>
      <c r="G719" s="420"/>
      <c r="H719" s="402"/>
      <c r="I719" s="402"/>
      <c r="J719" s="402"/>
      <c r="K719" s="53"/>
      <c r="L719" s="413"/>
      <c r="M719" s="413"/>
      <c r="N719" s="413"/>
    </row>
    <row r="720" spans="1:14" ht="15" hidden="1" customHeight="1" x14ac:dyDescent="0.25">
      <c r="A720" s="417"/>
      <c r="B720" s="445"/>
      <c r="C720" s="88" t="s">
        <v>334</v>
      </c>
      <c r="D720" s="86">
        <v>24</v>
      </c>
      <c r="E720" s="382"/>
      <c r="F720" s="420"/>
      <c r="G720" s="420"/>
      <c r="H720" s="402"/>
      <c r="I720" s="402"/>
      <c r="J720" s="402"/>
      <c r="K720" s="53"/>
      <c r="L720" s="413"/>
      <c r="M720" s="413"/>
      <c r="N720" s="413"/>
    </row>
    <row r="721" spans="1:14" ht="30" hidden="1" customHeight="1" x14ac:dyDescent="0.25">
      <c r="A721" s="417"/>
      <c r="B721" s="445"/>
      <c r="C721" s="95" t="s">
        <v>373</v>
      </c>
      <c r="D721" s="86">
        <f>AVERAGE(0,D718)</f>
        <v>3</v>
      </c>
      <c r="E721" s="382"/>
      <c r="F721" s="420"/>
      <c r="G721" s="420"/>
      <c r="H721" s="402"/>
      <c r="I721" s="402"/>
      <c r="J721" s="402"/>
      <c r="K721" s="53"/>
      <c r="L721" s="413"/>
      <c r="M721" s="413"/>
      <c r="N721" s="413"/>
    </row>
    <row r="722" spans="1:14" ht="30" hidden="1" customHeight="1" x14ac:dyDescent="0.25">
      <c r="A722" s="417"/>
      <c r="B722" s="445"/>
      <c r="C722" s="95" t="s">
        <v>374</v>
      </c>
      <c r="D722" s="86">
        <f>AVERAGE(D718,D719)</f>
        <v>12</v>
      </c>
      <c r="E722" s="382"/>
      <c r="F722" s="420"/>
      <c r="G722" s="420"/>
      <c r="H722" s="402"/>
      <c r="I722" s="402"/>
      <c r="J722" s="402"/>
      <c r="K722" s="53"/>
      <c r="L722" s="413"/>
      <c r="M722" s="413"/>
      <c r="N722" s="413"/>
    </row>
    <row r="723" spans="1:14" ht="30" hidden="1" customHeight="1" x14ac:dyDescent="0.25">
      <c r="A723" s="417"/>
      <c r="B723" s="445"/>
      <c r="C723" s="95" t="s">
        <v>375</v>
      </c>
      <c r="D723" s="86">
        <f>AVERAGE(D719,D720)</f>
        <v>21</v>
      </c>
      <c r="E723" s="382"/>
      <c r="F723" s="420"/>
      <c r="G723" s="420"/>
      <c r="H723" s="402"/>
      <c r="I723" s="402"/>
      <c r="J723" s="402"/>
      <c r="K723" s="53"/>
      <c r="L723" s="413"/>
      <c r="M723" s="413"/>
      <c r="N723" s="413"/>
    </row>
    <row r="724" spans="1:14" hidden="1" x14ac:dyDescent="0.25">
      <c r="A724" s="417"/>
      <c r="B724" s="445"/>
      <c r="C724" s="419" t="s">
        <v>376</v>
      </c>
      <c r="D724" s="419"/>
      <c r="E724" s="382"/>
      <c r="F724" s="420"/>
      <c r="G724" s="420"/>
      <c r="H724" s="403"/>
      <c r="I724" s="403"/>
      <c r="J724" s="403"/>
      <c r="K724" s="12">
        <f>IF(SUM(K709:K717)&gt;0,((K709+K712+K715)*D721+(K710+K713+K716)*D722+(K711+K714+K717)*D723)/SUM(K709:K717),0)</f>
        <v>0</v>
      </c>
      <c r="L724" s="413"/>
      <c r="M724" s="413"/>
      <c r="N724" s="413"/>
    </row>
    <row r="725" spans="1:14" hidden="1" x14ac:dyDescent="0.25">
      <c r="A725" s="417"/>
      <c r="B725" s="445"/>
      <c r="C725" s="419" t="s">
        <v>377</v>
      </c>
      <c r="D725" s="419"/>
      <c r="E725" s="419"/>
      <c r="F725" s="419"/>
      <c r="G725" s="64"/>
      <c r="H725" s="64"/>
      <c r="I725" s="64"/>
      <c r="J725" s="64"/>
      <c r="K725" s="51">
        <f>IF(K724&gt;=D719,0,IF(K724&gt;=D718,(18-K724)/3,4))</f>
        <v>4</v>
      </c>
      <c r="L725" s="413"/>
      <c r="M725" s="413"/>
      <c r="N725" s="413"/>
    </row>
    <row r="726" spans="1:14" hidden="1" x14ac:dyDescent="0.25">
      <c r="A726" s="417"/>
      <c r="B726" s="445"/>
      <c r="C726" s="419" t="s">
        <v>6</v>
      </c>
      <c r="D726" s="419"/>
      <c r="E726" s="419"/>
      <c r="F726" s="419"/>
      <c r="G726" s="64"/>
      <c r="H726" s="64"/>
      <c r="I726" s="64"/>
      <c r="J726" s="64"/>
      <c r="K726" s="12">
        <f>IF(K708&gt;=K707,K725,K707/K708*K725)</f>
        <v>4</v>
      </c>
      <c r="L726" s="413"/>
      <c r="M726" s="413"/>
      <c r="N726" s="413"/>
    </row>
    <row r="727" spans="1:14" hidden="1" x14ac:dyDescent="0.25">
      <c r="N727" s="1"/>
    </row>
    <row r="728" spans="1:14" ht="30" customHeight="1" x14ac:dyDescent="0.25">
      <c r="A728" s="417">
        <v>56</v>
      </c>
      <c r="B728" s="418"/>
      <c r="C728" s="395" t="s">
        <v>796</v>
      </c>
      <c r="D728" s="395"/>
      <c r="E728" s="382" t="s">
        <v>1768</v>
      </c>
      <c r="F728" s="420" t="s">
        <v>1130</v>
      </c>
      <c r="G728" s="420" t="s">
        <v>1131</v>
      </c>
      <c r="H728" s="34" t="s">
        <v>582</v>
      </c>
      <c r="I728" s="34">
        <v>1</v>
      </c>
      <c r="J728" s="109" t="str">
        <f>IF((IF(OR((H728&amp;"."&amp;I728)=$R$8,(H728&amp;"."&amp;I728)=$S$8,(H728&amp;"."&amp;I728)=$T$8,(H728&amp;"."&amp;I728)=$U$8,(H728&amp;"."&amp;I728)=$V$8,(H728&amp;"."&amp;I728)=$W$8),1,0))=1,"EKSTREM",IF((IF(OR((H728&amp;"."&amp;I728)=$R$9,(H728&amp;"."&amp;I728)=$S$9,(H728&amp;"."&amp;I728)=$T$9,(H728&amp;"."&amp;I728)=$U$9,(H728&amp;"."&amp;I728)=$V$9,(H728&amp;"."&amp;I728)=$W$9,(H728&amp;"."&amp;I728)=$X$9),1,0))=1,"TINGGI",IF((IF(OR((H728&amp;"."&amp;I728)=$R$10,(H728&amp;"."&amp;I728)=$S$10,(H728&amp;"."&amp;I728)=$T$10,(H728&amp;"."&amp;I728)=$U$10,(H728&amp;"."&amp;I728)=$V$10,(H728&amp;"."&amp;I728)=$W$10),1,0))=1,"MODERAT",IF((IF(OR((H728&amp;"."&amp;I728)=$R$11,(H728&amp;"."&amp;I728)=$S$11,(H728&amp;"."&amp;I728)=$T$11,(H728&amp;"."&amp;I728)=$U$11,(H728&amp;"."&amp;I728)=$V$11,(H728&amp;"."&amp;I728)=$W$11),1,0))=1,"RENDAH","-"))))</f>
        <v>RENDAH</v>
      </c>
      <c r="K728" s="50"/>
      <c r="L728" s="413" t="s">
        <v>1132</v>
      </c>
      <c r="M728" s="413" t="s">
        <v>1133</v>
      </c>
      <c r="N728" s="517"/>
    </row>
    <row r="729" spans="1:14" x14ac:dyDescent="0.25">
      <c r="A729" s="417"/>
      <c r="B729" s="418"/>
      <c r="C729" s="419" t="s">
        <v>362</v>
      </c>
      <c r="D729" s="419"/>
      <c r="E729" s="382"/>
      <c r="F729" s="420"/>
      <c r="G729" s="420"/>
      <c r="H729" s="401"/>
      <c r="I729" s="401"/>
      <c r="J729" s="401"/>
      <c r="K729" s="127">
        <f>IF(ISBLANK('Isian Prodi'!I253),'Isian Prodi'!B253,'Isian Prodi'!I253)</f>
        <v>0</v>
      </c>
      <c r="L729" s="413"/>
      <c r="M729" s="413"/>
      <c r="N729" s="517"/>
    </row>
    <row r="730" spans="1:14" x14ac:dyDescent="0.25">
      <c r="A730" s="417"/>
      <c r="B730" s="418"/>
      <c r="C730" s="419" t="s">
        <v>363</v>
      </c>
      <c r="D730" s="419"/>
      <c r="E730" s="382"/>
      <c r="F730" s="420"/>
      <c r="G730" s="420"/>
      <c r="H730" s="402"/>
      <c r="I730" s="402"/>
      <c r="J730" s="402"/>
      <c r="K730" s="127">
        <f>IF(ISBLANK('Isian Prodi'!I254),'Isian Prodi'!B254,'Isian Prodi'!I254)</f>
        <v>0</v>
      </c>
      <c r="L730" s="413"/>
      <c r="M730" s="413"/>
      <c r="N730" s="517"/>
    </row>
    <row r="731" spans="1:14" x14ac:dyDescent="0.25">
      <c r="A731" s="417"/>
      <c r="B731" s="418"/>
      <c r="C731" s="419" t="s">
        <v>364</v>
      </c>
      <c r="D731" s="419"/>
      <c r="E731" s="382"/>
      <c r="F731" s="420"/>
      <c r="G731" s="420"/>
      <c r="H731" s="402"/>
      <c r="I731" s="402"/>
      <c r="J731" s="402"/>
      <c r="K731" s="127">
        <f>IF(ISBLANK('Isian Prodi'!I255),'Isian Prodi'!B255,'Isian Prodi'!I255)</f>
        <v>0</v>
      </c>
      <c r="L731" s="413"/>
      <c r="M731" s="413"/>
      <c r="N731" s="517"/>
    </row>
    <row r="732" spans="1:14" x14ac:dyDescent="0.25">
      <c r="A732" s="417"/>
      <c r="B732" s="418"/>
      <c r="C732" s="419" t="s">
        <v>365</v>
      </c>
      <c r="D732" s="419"/>
      <c r="E732" s="382"/>
      <c r="F732" s="420"/>
      <c r="G732" s="420"/>
      <c r="H732" s="402"/>
      <c r="I732" s="402"/>
      <c r="J732" s="402"/>
      <c r="K732" s="127">
        <f>IF(ISBLANK('Isian Prodi'!J253),'Isian Prodi'!C253,'Isian Prodi'!J253)</f>
        <v>0</v>
      </c>
      <c r="L732" s="413"/>
      <c r="M732" s="413"/>
      <c r="N732" s="517"/>
    </row>
    <row r="733" spans="1:14" x14ac:dyDescent="0.25">
      <c r="A733" s="417"/>
      <c r="B733" s="418"/>
      <c r="C733" s="419" t="s">
        <v>366</v>
      </c>
      <c r="D733" s="419"/>
      <c r="E733" s="382"/>
      <c r="F733" s="420"/>
      <c r="G733" s="420"/>
      <c r="H733" s="402"/>
      <c r="I733" s="402"/>
      <c r="J733" s="402"/>
      <c r="K733" s="127">
        <f>IF(ISBLANK('Isian Prodi'!J254),'Isian Prodi'!C254,'Isian Prodi'!J254)</f>
        <v>0</v>
      </c>
      <c r="L733" s="413"/>
      <c r="M733" s="413"/>
      <c r="N733" s="517"/>
    </row>
    <row r="734" spans="1:14" x14ac:dyDescent="0.25">
      <c r="A734" s="417"/>
      <c r="B734" s="418"/>
      <c r="C734" s="419" t="s">
        <v>367</v>
      </c>
      <c r="D734" s="419"/>
      <c r="E734" s="382"/>
      <c r="F734" s="420"/>
      <c r="G734" s="420"/>
      <c r="H734" s="402"/>
      <c r="I734" s="402"/>
      <c r="J734" s="402"/>
      <c r="K734" s="127">
        <f>IF(ISBLANK('Isian Prodi'!J255),'Isian Prodi'!C255,'Isian Prodi'!J255)</f>
        <v>0</v>
      </c>
      <c r="L734" s="413"/>
      <c r="M734" s="413"/>
      <c r="N734" s="517"/>
    </row>
    <row r="735" spans="1:14" x14ac:dyDescent="0.25">
      <c r="A735" s="417"/>
      <c r="B735" s="418"/>
      <c r="C735" s="419" t="s">
        <v>404</v>
      </c>
      <c r="D735" s="419"/>
      <c r="E735" s="382"/>
      <c r="F735" s="420"/>
      <c r="G735" s="420"/>
      <c r="H735" s="402"/>
      <c r="I735" s="402"/>
      <c r="J735" s="402"/>
      <c r="K735" s="122">
        <f>IF(SUM(K729:K731)&gt;=300,1,2)</f>
        <v>2</v>
      </c>
      <c r="L735" s="413"/>
      <c r="M735" s="413"/>
      <c r="N735" s="517"/>
    </row>
    <row r="736" spans="1:14" x14ac:dyDescent="0.25">
      <c r="A736" s="417"/>
      <c r="B736" s="418"/>
      <c r="C736" s="419" t="s">
        <v>368</v>
      </c>
      <c r="D736" s="419"/>
      <c r="E736" s="382"/>
      <c r="F736" s="420"/>
      <c r="G736" s="420"/>
      <c r="H736" s="402"/>
      <c r="I736" s="402"/>
      <c r="J736" s="402"/>
      <c r="K736" s="132">
        <f>IF(SUM(K729:K731)&gt;0,SUM(K732:K734)/SUM(K729:K731),0)</f>
        <v>0</v>
      </c>
      <c r="L736" s="413"/>
      <c r="M736" s="413"/>
      <c r="N736" s="517"/>
    </row>
    <row r="737" spans="1:14" ht="18" x14ac:dyDescent="0.25">
      <c r="A737" s="417"/>
      <c r="B737" s="418"/>
      <c r="C737" s="419" t="s">
        <v>369</v>
      </c>
      <c r="D737" s="419"/>
      <c r="E737" s="382"/>
      <c r="F737" s="420"/>
      <c r="G737" s="420"/>
      <c r="H737" s="402"/>
      <c r="I737" s="402"/>
      <c r="J737" s="402"/>
      <c r="K737" s="133">
        <f>IF(K735=1,30%,50%-SUM(K729:K731)/300*20%)</f>
        <v>0.5</v>
      </c>
      <c r="L737" s="413"/>
      <c r="M737" s="413"/>
      <c r="N737" s="517"/>
    </row>
    <row r="738" spans="1:14" x14ac:dyDescent="0.25">
      <c r="A738" s="417"/>
      <c r="B738" s="418"/>
      <c r="C738" s="436" t="s">
        <v>370</v>
      </c>
      <c r="D738" s="96" t="s">
        <v>381</v>
      </c>
      <c r="E738" s="382"/>
      <c r="F738" s="420"/>
      <c r="G738" s="420"/>
      <c r="H738" s="402"/>
      <c r="I738" s="402"/>
      <c r="J738" s="402"/>
      <c r="K738" s="127">
        <f>IF(ISBLANK('Isian Prodi'!K253),'Isian Prodi'!D253,'Isian Prodi'!K253)</f>
        <v>0</v>
      </c>
      <c r="L738" s="413"/>
      <c r="M738" s="413"/>
      <c r="N738" s="517"/>
    </row>
    <row r="739" spans="1:14" x14ac:dyDescent="0.25">
      <c r="A739" s="417"/>
      <c r="B739" s="418"/>
      <c r="C739" s="436"/>
      <c r="D739" s="96" t="s">
        <v>382</v>
      </c>
      <c r="E739" s="382"/>
      <c r="F739" s="420"/>
      <c r="G739" s="420"/>
      <c r="H739" s="402"/>
      <c r="I739" s="402"/>
      <c r="J739" s="402"/>
      <c r="K739" s="127">
        <f>IF(ISBLANK('Isian Prodi'!L253),'Isian Prodi'!E253,'Isian Prodi'!L253)</f>
        <v>0</v>
      </c>
      <c r="L739" s="413"/>
      <c r="M739" s="413"/>
      <c r="N739" s="517"/>
    </row>
    <row r="740" spans="1:14" x14ac:dyDescent="0.25">
      <c r="A740" s="417"/>
      <c r="B740" s="418"/>
      <c r="C740" s="436"/>
      <c r="D740" s="96" t="s">
        <v>383</v>
      </c>
      <c r="E740" s="382"/>
      <c r="F740" s="420"/>
      <c r="G740" s="420"/>
      <c r="H740" s="402"/>
      <c r="I740" s="402"/>
      <c r="J740" s="402"/>
      <c r="K740" s="127">
        <f>IF(ISBLANK('Isian Prodi'!M253),'Isian Prodi'!F253,'Isian Prodi'!M253)</f>
        <v>0</v>
      </c>
      <c r="L740" s="413"/>
      <c r="M740" s="413"/>
      <c r="N740" s="517"/>
    </row>
    <row r="741" spans="1:14" x14ac:dyDescent="0.25">
      <c r="A741" s="417"/>
      <c r="B741" s="418"/>
      <c r="C741" s="436" t="s">
        <v>371</v>
      </c>
      <c r="D741" s="96" t="s">
        <v>381</v>
      </c>
      <c r="E741" s="382"/>
      <c r="F741" s="420"/>
      <c r="G741" s="420"/>
      <c r="H741" s="402"/>
      <c r="I741" s="402"/>
      <c r="J741" s="402"/>
      <c r="K741" s="127">
        <f>IF(ISBLANK('Isian Prodi'!K254),'Isian Prodi'!D254,'Isian Prodi'!K254)</f>
        <v>0</v>
      </c>
      <c r="L741" s="413"/>
      <c r="M741" s="413"/>
      <c r="N741" s="517"/>
    </row>
    <row r="742" spans="1:14" x14ac:dyDescent="0.25">
      <c r="A742" s="417"/>
      <c r="B742" s="418"/>
      <c r="C742" s="436"/>
      <c r="D742" s="96" t="s">
        <v>382</v>
      </c>
      <c r="E742" s="382"/>
      <c r="F742" s="420"/>
      <c r="G742" s="420"/>
      <c r="H742" s="402"/>
      <c r="I742" s="402"/>
      <c r="J742" s="402"/>
      <c r="K742" s="127">
        <f>IF(ISBLANK('Isian Prodi'!L254),'Isian Prodi'!E254,'Isian Prodi'!L254)</f>
        <v>0</v>
      </c>
      <c r="L742" s="413"/>
      <c r="M742" s="413"/>
      <c r="N742" s="517"/>
    </row>
    <row r="743" spans="1:14" x14ac:dyDescent="0.25">
      <c r="A743" s="417"/>
      <c r="B743" s="418"/>
      <c r="C743" s="436"/>
      <c r="D743" s="96" t="s">
        <v>383</v>
      </c>
      <c r="E743" s="382"/>
      <c r="F743" s="420"/>
      <c r="G743" s="420"/>
      <c r="H743" s="402"/>
      <c r="I743" s="402"/>
      <c r="J743" s="402"/>
      <c r="K743" s="127">
        <f>IF(ISBLANK('Isian Prodi'!M254),'Isian Prodi'!F254,'Isian Prodi'!M254)</f>
        <v>0</v>
      </c>
      <c r="L743" s="413"/>
      <c r="M743" s="413"/>
      <c r="N743" s="517"/>
    </row>
    <row r="744" spans="1:14" x14ac:dyDescent="0.25">
      <c r="A744" s="417"/>
      <c r="B744" s="418"/>
      <c r="C744" s="436" t="s">
        <v>372</v>
      </c>
      <c r="D744" s="96" t="s">
        <v>381</v>
      </c>
      <c r="E744" s="382"/>
      <c r="F744" s="420"/>
      <c r="G744" s="420"/>
      <c r="H744" s="402"/>
      <c r="I744" s="402"/>
      <c r="J744" s="402"/>
      <c r="K744" s="127">
        <f>IF(ISBLANK('Isian Prodi'!K255),'Isian Prodi'!D255,'Isian Prodi'!K255)</f>
        <v>0</v>
      </c>
      <c r="L744" s="413"/>
      <c r="M744" s="413"/>
      <c r="N744" s="517"/>
    </row>
    <row r="745" spans="1:14" x14ac:dyDescent="0.25">
      <c r="A745" s="417"/>
      <c r="B745" s="418"/>
      <c r="C745" s="436"/>
      <c r="D745" s="96" t="s">
        <v>382</v>
      </c>
      <c r="E745" s="382"/>
      <c r="F745" s="420"/>
      <c r="G745" s="420"/>
      <c r="H745" s="402"/>
      <c r="I745" s="402"/>
      <c r="J745" s="402"/>
      <c r="K745" s="127">
        <f>IF(ISBLANK('Isian Prodi'!L255),'Isian Prodi'!E255,'Isian Prodi'!L255)</f>
        <v>0</v>
      </c>
      <c r="L745" s="413"/>
      <c r="M745" s="413"/>
      <c r="N745" s="517"/>
    </row>
    <row r="746" spans="1:14" x14ac:dyDescent="0.25">
      <c r="A746" s="417"/>
      <c r="B746" s="418"/>
      <c r="C746" s="436"/>
      <c r="D746" s="96" t="s">
        <v>383</v>
      </c>
      <c r="E746" s="382"/>
      <c r="F746" s="420"/>
      <c r="G746" s="420"/>
      <c r="H746" s="402"/>
      <c r="I746" s="402"/>
      <c r="J746" s="402"/>
      <c r="K746" s="127">
        <f>IF(ISBLANK('Isian Prodi'!M255),'Isian Prodi'!F255,'Isian Prodi'!M255)</f>
        <v>0</v>
      </c>
      <c r="L746" s="413"/>
      <c r="M746" s="413"/>
      <c r="N746" s="517"/>
    </row>
    <row r="747" spans="1:14" ht="15" hidden="1" customHeight="1" x14ac:dyDescent="0.25">
      <c r="A747" s="417"/>
      <c r="B747" s="418"/>
      <c r="C747" s="88" t="s">
        <v>384</v>
      </c>
      <c r="D747" s="97">
        <v>0.6</v>
      </c>
      <c r="E747" s="382"/>
      <c r="F747" s="420"/>
      <c r="G747" s="420"/>
      <c r="H747" s="402"/>
      <c r="I747" s="402"/>
      <c r="J747" s="402"/>
      <c r="K747" s="119"/>
      <c r="L747" s="413"/>
      <c r="M747" s="413"/>
      <c r="N747" s="517"/>
    </row>
    <row r="748" spans="1:14" ht="15" hidden="1" customHeight="1" x14ac:dyDescent="0.25">
      <c r="A748" s="417"/>
      <c r="B748" s="418"/>
      <c r="C748" s="88" t="s">
        <v>320</v>
      </c>
      <c r="D748" s="97">
        <v>0.3</v>
      </c>
      <c r="E748" s="382"/>
      <c r="F748" s="420"/>
      <c r="G748" s="420"/>
      <c r="H748" s="402"/>
      <c r="I748" s="402"/>
      <c r="J748" s="402"/>
      <c r="K748" s="119" t="s">
        <v>385</v>
      </c>
      <c r="L748" s="413"/>
      <c r="M748" s="413"/>
      <c r="N748" s="517"/>
    </row>
    <row r="749" spans="1:14" ht="15" hidden="1" customHeight="1" x14ac:dyDescent="0.25">
      <c r="A749" s="417"/>
      <c r="B749" s="418"/>
      <c r="C749" s="88" t="s">
        <v>321</v>
      </c>
      <c r="D749" s="97">
        <v>0.7</v>
      </c>
      <c r="E749" s="382"/>
      <c r="F749" s="420"/>
      <c r="G749" s="420"/>
      <c r="H749" s="402"/>
      <c r="I749" s="402"/>
      <c r="J749" s="402"/>
      <c r="K749" s="119" t="s">
        <v>386</v>
      </c>
      <c r="L749" s="413"/>
      <c r="M749" s="413"/>
      <c r="N749" s="517"/>
    </row>
    <row r="750" spans="1:14" ht="15" hidden="1" customHeight="1" x14ac:dyDescent="0.25">
      <c r="A750" s="417"/>
      <c r="B750" s="418"/>
      <c r="C750" s="95" t="s">
        <v>334</v>
      </c>
      <c r="D750" s="97">
        <v>1</v>
      </c>
      <c r="E750" s="382"/>
      <c r="F750" s="420"/>
      <c r="G750" s="420"/>
      <c r="H750" s="402"/>
      <c r="I750" s="402"/>
      <c r="J750" s="402"/>
      <c r="K750" s="119" t="s">
        <v>387</v>
      </c>
      <c r="L750" s="413"/>
      <c r="M750" s="413"/>
      <c r="N750" s="517"/>
    </row>
    <row r="751" spans="1:14" x14ac:dyDescent="0.25">
      <c r="A751" s="417"/>
      <c r="B751" s="418"/>
      <c r="C751" s="422" t="s">
        <v>388</v>
      </c>
      <c r="D751" s="422"/>
      <c r="E751" s="382"/>
      <c r="F751" s="420"/>
      <c r="G751" s="420"/>
      <c r="H751" s="403"/>
      <c r="I751" s="403"/>
      <c r="J751" s="403"/>
      <c r="K751" s="132">
        <f>IF(SUM(K738:K746)&gt;0,((K738+K741+K744)*D748+(K739+K742+K745)*D749+(K740+K743+K746)*D750)/SUM(K738:K746),0)</f>
        <v>0</v>
      </c>
      <c r="L751" s="413"/>
      <c r="M751" s="413"/>
      <c r="N751" s="517"/>
    </row>
    <row r="752" spans="1:14" x14ac:dyDescent="0.25">
      <c r="A752" s="417"/>
      <c r="B752" s="418"/>
      <c r="C752" s="419" t="s">
        <v>377</v>
      </c>
      <c r="D752" s="419"/>
      <c r="E752" s="419"/>
      <c r="F752" s="419"/>
      <c r="G752" s="64"/>
      <c r="H752" s="64"/>
      <c r="I752" s="64"/>
      <c r="J752" s="64"/>
      <c r="K752" s="111">
        <f>IF(K751&gt;=60%,4,(20*K751)/3)</f>
        <v>0</v>
      </c>
      <c r="L752" s="413"/>
      <c r="M752" s="413"/>
      <c r="N752" s="517"/>
    </row>
    <row r="753" spans="1:14" x14ac:dyDescent="0.25">
      <c r="A753" s="417"/>
      <c r="B753" s="418"/>
      <c r="C753" s="419" t="s">
        <v>6</v>
      </c>
      <c r="D753" s="419"/>
      <c r="E753" s="419"/>
      <c r="F753" s="419"/>
      <c r="G753" s="64"/>
      <c r="H753" s="64"/>
      <c r="I753" s="64"/>
      <c r="J753" s="64"/>
      <c r="K753" s="111">
        <f>IF(K735&gt;=K736,K752,K735/K736*K752)</f>
        <v>0</v>
      </c>
      <c r="L753" s="413"/>
      <c r="M753" s="413"/>
      <c r="N753" s="517"/>
    </row>
    <row r="754" spans="1:14" x14ac:dyDescent="0.25">
      <c r="N754" s="1"/>
    </row>
    <row r="755" spans="1:14" ht="30" hidden="1" customHeight="1" x14ac:dyDescent="0.25">
      <c r="A755" s="417"/>
      <c r="B755" s="445"/>
      <c r="C755" s="395" t="s">
        <v>797</v>
      </c>
      <c r="D755" s="395"/>
      <c r="E755" s="454" t="s">
        <v>907</v>
      </c>
      <c r="F755" s="414" t="s">
        <v>877</v>
      </c>
      <c r="G755" s="414" t="s">
        <v>878</v>
      </c>
      <c r="H755" s="34" t="s">
        <v>582</v>
      </c>
      <c r="I755" s="34">
        <v>1</v>
      </c>
      <c r="J755" s="35" t="str">
        <f>IF((IF(OR((H755&amp;"."&amp;I755)=$R$8,(H755&amp;"."&amp;I755)=$S$8,(H755&amp;"."&amp;I755)=$T$8,(H755&amp;"."&amp;I755)=$U$8,(H755&amp;"."&amp;I755)=$V$8,(H755&amp;"."&amp;I755)=$W$8),1,0))=1,"EKSTREM",IF((IF(OR((H755&amp;"."&amp;I755)=$R$9,(H755&amp;"."&amp;I755)=$S$9,(H755&amp;"."&amp;I755)=$T$9,(H755&amp;"."&amp;I755)=$U$9,(H755&amp;"."&amp;I755)=$V$9,(H755&amp;"."&amp;I755)=$W$9,(H755&amp;"."&amp;I755)=$X$9),1,0))=1,"TINGGI",IF((IF(OR((H755&amp;"."&amp;I755)=$R$10,(H755&amp;"."&amp;I755)=$S$10,(H755&amp;"."&amp;I755)=$T$10,(H755&amp;"."&amp;I755)=$U$10,(H755&amp;"."&amp;I755)=$V$10,(H755&amp;"."&amp;I755)=$W$10),1,0))=1,"MODERAT",IF((IF(OR((H755&amp;"."&amp;I755)=$R$11,(H755&amp;"."&amp;I755)=$S$11,(H755&amp;"."&amp;I755)=$T$11,(H755&amp;"."&amp;I755)=$U$11,(H755&amp;"."&amp;I755)=$V$11,(H755&amp;"."&amp;I755)=$W$11),1,0))=1,"RENDAH","-"))))</f>
        <v>RENDAH</v>
      </c>
      <c r="K755" s="50"/>
      <c r="L755" s="413" t="s">
        <v>1022</v>
      </c>
      <c r="M755" s="413" t="s">
        <v>1023</v>
      </c>
      <c r="N755" s="413"/>
    </row>
    <row r="756" spans="1:14" hidden="1" x14ac:dyDescent="0.25">
      <c r="A756" s="417"/>
      <c r="B756" s="445"/>
      <c r="C756" s="419" t="s">
        <v>362</v>
      </c>
      <c r="D756" s="419"/>
      <c r="E756" s="455"/>
      <c r="F756" s="415"/>
      <c r="G756" s="415"/>
      <c r="H756" s="401"/>
      <c r="I756" s="401"/>
      <c r="J756" s="401"/>
      <c r="K756" s="91">
        <f>'Isian Prodi'!B262</f>
        <v>0</v>
      </c>
      <c r="L756" s="413"/>
      <c r="M756" s="413"/>
      <c r="N756" s="413"/>
    </row>
    <row r="757" spans="1:14" hidden="1" x14ac:dyDescent="0.25">
      <c r="A757" s="417"/>
      <c r="B757" s="445"/>
      <c r="C757" s="419" t="s">
        <v>363</v>
      </c>
      <c r="D757" s="419"/>
      <c r="E757" s="455"/>
      <c r="F757" s="415"/>
      <c r="G757" s="415"/>
      <c r="H757" s="402"/>
      <c r="I757" s="402"/>
      <c r="J757" s="402"/>
      <c r="K757" s="91">
        <f>'Isian Prodi'!B263</f>
        <v>0</v>
      </c>
      <c r="L757" s="413"/>
      <c r="M757" s="413"/>
      <c r="N757" s="413"/>
    </row>
    <row r="758" spans="1:14" hidden="1" x14ac:dyDescent="0.25">
      <c r="A758" s="417"/>
      <c r="B758" s="445"/>
      <c r="C758" s="419" t="s">
        <v>364</v>
      </c>
      <c r="D758" s="419"/>
      <c r="E758" s="455"/>
      <c r="F758" s="415"/>
      <c r="G758" s="415"/>
      <c r="H758" s="402"/>
      <c r="I758" s="402"/>
      <c r="J758" s="402"/>
      <c r="K758" s="91">
        <f>'Isian Prodi'!B264</f>
        <v>0</v>
      </c>
      <c r="L758" s="413"/>
      <c r="M758" s="413"/>
      <c r="N758" s="413"/>
    </row>
    <row r="759" spans="1:14" ht="15" hidden="1" customHeight="1" x14ac:dyDescent="0.25">
      <c r="A759" s="417"/>
      <c r="B759" s="445"/>
      <c r="C759" s="419" t="s">
        <v>401</v>
      </c>
      <c r="D759" s="419"/>
      <c r="E759" s="455"/>
      <c r="F759" s="415"/>
      <c r="G759" s="415"/>
      <c r="H759" s="402"/>
      <c r="I759" s="402"/>
      <c r="J759" s="402"/>
      <c r="K759" s="91">
        <f>'Isian Prodi'!C262</f>
        <v>0</v>
      </c>
      <c r="L759" s="413"/>
      <c r="M759" s="413"/>
      <c r="N759" s="413"/>
    </row>
    <row r="760" spans="1:14" ht="15" hidden="1" customHeight="1" x14ac:dyDescent="0.25">
      <c r="A760" s="417"/>
      <c r="B760" s="445"/>
      <c r="C760" s="419" t="s">
        <v>402</v>
      </c>
      <c r="D760" s="419"/>
      <c r="E760" s="455"/>
      <c r="F760" s="415"/>
      <c r="G760" s="415"/>
      <c r="H760" s="402"/>
      <c r="I760" s="402"/>
      <c r="J760" s="402"/>
      <c r="K760" s="91">
        <f>'Isian Prodi'!C263</f>
        <v>0</v>
      </c>
      <c r="L760" s="413"/>
      <c r="M760" s="413"/>
      <c r="N760" s="413"/>
    </row>
    <row r="761" spans="1:14" ht="15" hidden="1" customHeight="1" x14ac:dyDescent="0.25">
      <c r="A761" s="417"/>
      <c r="B761" s="445"/>
      <c r="C761" s="419" t="s">
        <v>403</v>
      </c>
      <c r="D761" s="419"/>
      <c r="E761" s="455"/>
      <c r="F761" s="415"/>
      <c r="G761" s="415"/>
      <c r="H761" s="402"/>
      <c r="I761" s="402"/>
      <c r="J761" s="402"/>
      <c r="K761" s="91">
        <f>'Isian Prodi'!C264</f>
        <v>0</v>
      </c>
      <c r="L761" s="413"/>
      <c r="M761" s="413"/>
      <c r="N761" s="413"/>
    </row>
    <row r="762" spans="1:14" hidden="1" x14ac:dyDescent="0.25">
      <c r="A762" s="417"/>
      <c r="B762" s="445"/>
      <c r="C762" s="419" t="s">
        <v>404</v>
      </c>
      <c r="D762" s="419"/>
      <c r="E762" s="455"/>
      <c r="F762" s="415"/>
      <c r="G762" s="415"/>
      <c r="H762" s="402"/>
      <c r="I762" s="402"/>
      <c r="J762" s="402"/>
      <c r="K762" s="92">
        <f>IF(SUM(K756:K758)&gt;=300,1,2)</f>
        <v>2</v>
      </c>
      <c r="L762" s="413"/>
      <c r="M762" s="413"/>
      <c r="N762" s="413"/>
    </row>
    <row r="763" spans="1:14" hidden="1" x14ac:dyDescent="0.25">
      <c r="A763" s="417"/>
      <c r="B763" s="445"/>
      <c r="C763" s="419" t="s">
        <v>368</v>
      </c>
      <c r="D763" s="419"/>
      <c r="E763" s="455"/>
      <c r="F763" s="415"/>
      <c r="G763" s="415"/>
      <c r="H763" s="402"/>
      <c r="I763" s="402"/>
      <c r="J763" s="402"/>
      <c r="K763" s="93">
        <f>IF(SUM(K756:K758)&gt;0,SUM(K759:K761)/SUM(K756:K758),0)</f>
        <v>0</v>
      </c>
      <c r="L763" s="413"/>
      <c r="M763" s="413"/>
      <c r="N763" s="413"/>
    </row>
    <row r="764" spans="1:14" ht="18" hidden="1" x14ac:dyDescent="0.25">
      <c r="A764" s="417"/>
      <c r="B764" s="445"/>
      <c r="C764" s="419" t="s">
        <v>369</v>
      </c>
      <c r="D764" s="419"/>
      <c r="E764" s="455"/>
      <c r="F764" s="415"/>
      <c r="G764" s="415"/>
      <c r="H764" s="402"/>
      <c r="I764" s="402"/>
      <c r="J764" s="402"/>
      <c r="K764" s="94">
        <f>IF(K762=1,30%,50%-SUM(K756:K758)/300*20%)</f>
        <v>0.5</v>
      </c>
      <c r="L764" s="413"/>
      <c r="M764" s="413"/>
      <c r="N764" s="413"/>
    </row>
    <row r="765" spans="1:14" ht="30" hidden="1" x14ac:dyDescent="0.25">
      <c r="A765" s="417"/>
      <c r="B765" s="445"/>
      <c r="C765" s="436" t="s">
        <v>370</v>
      </c>
      <c r="D765" s="96" t="s">
        <v>413</v>
      </c>
      <c r="E765" s="455"/>
      <c r="F765" s="415"/>
      <c r="G765" s="415"/>
      <c r="H765" s="402"/>
      <c r="I765" s="402"/>
      <c r="J765" s="402"/>
      <c r="K765" s="98">
        <f>'Isian Prodi'!F262</f>
        <v>0</v>
      </c>
      <c r="L765" s="413"/>
      <c r="M765" s="413"/>
      <c r="N765" s="413"/>
    </row>
    <row r="766" spans="1:14" ht="30" hidden="1" x14ac:dyDescent="0.25">
      <c r="A766" s="417"/>
      <c r="B766" s="445"/>
      <c r="C766" s="436"/>
      <c r="D766" s="96" t="s">
        <v>414</v>
      </c>
      <c r="E766" s="455"/>
      <c r="F766" s="415"/>
      <c r="G766" s="415"/>
      <c r="H766" s="402"/>
      <c r="I766" s="402"/>
      <c r="J766" s="402"/>
      <c r="K766" s="98">
        <f>'Isian Prodi'!E262</f>
        <v>0</v>
      </c>
      <c r="L766" s="413"/>
      <c r="M766" s="413"/>
      <c r="N766" s="413"/>
    </row>
    <row r="767" spans="1:14" ht="30" hidden="1" x14ac:dyDescent="0.25">
      <c r="A767" s="417"/>
      <c r="B767" s="445"/>
      <c r="C767" s="436"/>
      <c r="D767" s="96" t="s">
        <v>415</v>
      </c>
      <c r="E767" s="455"/>
      <c r="F767" s="415"/>
      <c r="G767" s="415"/>
      <c r="H767" s="402"/>
      <c r="I767" s="402"/>
      <c r="J767" s="402"/>
      <c r="K767" s="98">
        <f>'Isian Prodi'!D262</f>
        <v>0</v>
      </c>
      <c r="L767" s="413"/>
      <c r="M767" s="413"/>
      <c r="N767" s="413"/>
    </row>
    <row r="768" spans="1:14" ht="30" hidden="1" x14ac:dyDescent="0.25">
      <c r="A768" s="417"/>
      <c r="B768" s="445"/>
      <c r="C768" s="436" t="s">
        <v>371</v>
      </c>
      <c r="D768" s="96" t="s">
        <v>413</v>
      </c>
      <c r="E768" s="455"/>
      <c r="F768" s="415"/>
      <c r="G768" s="415"/>
      <c r="H768" s="402"/>
      <c r="I768" s="402"/>
      <c r="J768" s="402"/>
      <c r="K768" s="98">
        <f>'Isian Prodi'!F263</f>
        <v>0</v>
      </c>
      <c r="L768" s="413"/>
      <c r="M768" s="413"/>
      <c r="N768" s="413"/>
    </row>
    <row r="769" spans="1:14" ht="30" hidden="1" x14ac:dyDescent="0.25">
      <c r="A769" s="417"/>
      <c r="B769" s="445"/>
      <c r="C769" s="436"/>
      <c r="D769" s="96" t="s">
        <v>414</v>
      </c>
      <c r="E769" s="455"/>
      <c r="F769" s="415"/>
      <c r="G769" s="415"/>
      <c r="H769" s="402"/>
      <c r="I769" s="402"/>
      <c r="J769" s="402"/>
      <c r="K769" s="98">
        <f>'Isian Prodi'!E263</f>
        <v>0</v>
      </c>
      <c r="L769" s="413"/>
      <c r="M769" s="413"/>
      <c r="N769" s="413"/>
    </row>
    <row r="770" spans="1:14" ht="30" hidden="1" x14ac:dyDescent="0.25">
      <c r="A770" s="417"/>
      <c r="B770" s="445"/>
      <c r="C770" s="436"/>
      <c r="D770" s="96" t="s">
        <v>415</v>
      </c>
      <c r="E770" s="455"/>
      <c r="F770" s="415"/>
      <c r="G770" s="415"/>
      <c r="H770" s="402"/>
      <c r="I770" s="402"/>
      <c r="J770" s="402"/>
      <c r="K770" s="98">
        <f>'Isian Prodi'!D263</f>
        <v>0</v>
      </c>
      <c r="L770" s="413"/>
      <c r="M770" s="413"/>
      <c r="N770" s="413"/>
    </row>
    <row r="771" spans="1:14" ht="30" hidden="1" x14ac:dyDescent="0.25">
      <c r="A771" s="417"/>
      <c r="B771" s="445"/>
      <c r="C771" s="436" t="s">
        <v>372</v>
      </c>
      <c r="D771" s="96" t="s">
        <v>413</v>
      </c>
      <c r="E771" s="455"/>
      <c r="F771" s="415"/>
      <c r="G771" s="415"/>
      <c r="H771" s="402"/>
      <c r="I771" s="402"/>
      <c r="J771" s="402"/>
      <c r="K771" s="98">
        <f>'Isian Prodi'!F264</f>
        <v>0</v>
      </c>
      <c r="L771" s="413"/>
      <c r="M771" s="413"/>
      <c r="N771" s="413"/>
    </row>
    <row r="772" spans="1:14" ht="30" hidden="1" x14ac:dyDescent="0.25">
      <c r="A772" s="417"/>
      <c r="B772" s="445"/>
      <c r="C772" s="436"/>
      <c r="D772" s="96" t="s">
        <v>414</v>
      </c>
      <c r="E772" s="455"/>
      <c r="F772" s="415"/>
      <c r="G772" s="415"/>
      <c r="H772" s="402"/>
      <c r="I772" s="402"/>
      <c r="J772" s="402"/>
      <c r="K772" s="98">
        <f>'Isian Prodi'!E264</f>
        <v>0</v>
      </c>
      <c r="L772" s="413"/>
      <c r="M772" s="413"/>
      <c r="N772" s="413"/>
    </row>
    <row r="773" spans="1:14" ht="30" hidden="1" x14ac:dyDescent="0.25">
      <c r="A773" s="417"/>
      <c r="B773" s="445"/>
      <c r="C773" s="436"/>
      <c r="D773" s="96" t="s">
        <v>415</v>
      </c>
      <c r="E773" s="455"/>
      <c r="F773" s="415"/>
      <c r="G773" s="415"/>
      <c r="H773" s="402"/>
      <c r="I773" s="402"/>
      <c r="J773" s="402"/>
      <c r="K773" s="98">
        <f>'Isian Prodi'!D264</f>
        <v>0</v>
      </c>
      <c r="L773" s="413"/>
      <c r="M773" s="413"/>
      <c r="N773" s="413"/>
    </row>
    <row r="774" spans="1:14" hidden="1" x14ac:dyDescent="0.25">
      <c r="A774" s="417"/>
      <c r="B774" s="445"/>
      <c r="C774" s="422" t="s">
        <v>405</v>
      </c>
      <c r="D774" s="422"/>
      <c r="E774" s="455"/>
      <c r="F774" s="415"/>
      <c r="G774" s="415"/>
      <c r="H774" s="402"/>
      <c r="I774" s="402"/>
      <c r="J774" s="402"/>
      <c r="K774" s="93">
        <f>IF(SUM(K765:K773)&gt;0,(K765+K768+K771)/SUM(K765:K773),0)</f>
        <v>0</v>
      </c>
      <c r="L774" s="413"/>
      <c r="M774" s="413"/>
      <c r="N774" s="413"/>
    </row>
    <row r="775" spans="1:14" hidden="1" x14ac:dyDescent="0.25">
      <c r="A775" s="417"/>
      <c r="B775" s="445"/>
      <c r="C775" s="422" t="s">
        <v>406</v>
      </c>
      <c r="D775" s="422"/>
      <c r="E775" s="455"/>
      <c r="F775" s="415"/>
      <c r="G775" s="415"/>
      <c r="H775" s="402"/>
      <c r="I775" s="402"/>
      <c r="J775" s="402"/>
      <c r="K775" s="93">
        <f>IF(SUM(K765:K773)&gt;0,(K766+K769+K772)/SUM(K765:K773),0)</f>
        <v>0</v>
      </c>
      <c r="L775" s="413"/>
      <c r="M775" s="413"/>
      <c r="N775" s="413"/>
    </row>
    <row r="776" spans="1:14" hidden="1" x14ac:dyDescent="0.25">
      <c r="A776" s="417"/>
      <c r="B776" s="445"/>
      <c r="C776" s="422" t="s">
        <v>407</v>
      </c>
      <c r="D776" s="422"/>
      <c r="E776" s="455"/>
      <c r="F776" s="415"/>
      <c r="G776" s="415"/>
      <c r="H776" s="402"/>
      <c r="I776" s="402"/>
      <c r="J776" s="402"/>
      <c r="K776" s="93">
        <f>IF(SUM(K765:K773)&gt;0,(K767+K770+K773)/SUM(K765:K773),0)</f>
        <v>0</v>
      </c>
      <c r="L776" s="413"/>
      <c r="M776" s="413"/>
      <c r="N776" s="413"/>
    </row>
    <row r="777" spans="1:14" ht="15" hidden="1" customHeight="1" x14ac:dyDescent="0.25">
      <c r="A777" s="417"/>
      <c r="B777" s="445"/>
      <c r="C777" s="95" t="s">
        <v>104</v>
      </c>
      <c r="D777" s="97">
        <v>0.05</v>
      </c>
      <c r="E777" s="455"/>
      <c r="F777" s="415"/>
      <c r="G777" s="415"/>
      <c r="H777" s="402"/>
      <c r="I777" s="402"/>
      <c r="J777" s="402"/>
      <c r="K777" s="53"/>
      <c r="L777" s="413"/>
      <c r="M777" s="413"/>
      <c r="N777" s="413"/>
    </row>
    <row r="778" spans="1:14" ht="15" hidden="1" customHeight="1" x14ac:dyDescent="0.25">
      <c r="A778" s="417"/>
      <c r="B778" s="445"/>
      <c r="C778" s="95" t="s">
        <v>105</v>
      </c>
      <c r="D778" s="97">
        <v>0.2</v>
      </c>
      <c r="E778" s="455"/>
      <c r="F778" s="415"/>
      <c r="G778" s="415"/>
      <c r="H778" s="402"/>
      <c r="I778" s="402"/>
      <c r="J778" s="402"/>
      <c r="K778" s="53"/>
      <c r="L778" s="413"/>
      <c r="M778" s="413"/>
      <c r="N778" s="413"/>
    </row>
    <row r="779" spans="1:14" ht="15" hidden="1" customHeight="1" x14ac:dyDescent="0.25">
      <c r="A779" s="417"/>
      <c r="B779" s="445"/>
      <c r="C779" s="95" t="s">
        <v>106</v>
      </c>
      <c r="D779" s="97">
        <v>0.9</v>
      </c>
      <c r="E779" s="455"/>
      <c r="F779" s="415"/>
      <c r="G779" s="415"/>
      <c r="H779" s="402"/>
      <c r="I779" s="402"/>
      <c r="J779" s="402"/>
      <c r="K779" s="53"/>
      <c r="L779" s="413"/>
      <c r="M779" s="413"/>
      <c r="N779" s="413"/>
    </row>
    <row r="780" spans="1:14" ht="15" hidden="1" customHeight="1" x14ac:dyDescent="0.25">
      <c r="A780" s="417"/>
      <c r="B780" s="445"/>
      <c r="C780" s="95"/>
      <c r="D780" s="97" t="s">
        <v>408</v>
      </c>
      <c r="E780" s="455"/>
      <c r="F780" s="415"/>
      <c r="G780" s="415"/>
      <c r="H780" s="402"/>
      <c r="I780" s="402"/>
      <c r="J780" s="402"/>
      <c r="K780" s="74" t="str">
        <f>IF(K774&gt;=D777,"YES","NO")</f>
        <v>NO</v>
      </c>
      <c r="L780" s="413"/>
      <c r="M780" s="413"/>
      <c r="N780" s="413"/>
    </row>
    <row r="781" spans="1:14" ht="15" hidden="1" customHeight="1" x14ac:dyDescent="0.25">
      <c r="A781" s="417"/>
      <c r="B781" s="445"/>
      <c r="C781" s="95"/>
      <c r="D781" s="97" t="s">
        <v>409</v>
      </c>
      <c r="E781" s="455"/>
      <c r="F781" s="415"/>
      <c r="G781" s="415"/>
      <c r="H781" s="402"/>
      <c r="I781" s="402"/>
      <c r="J781" s="402"/>
      <c r="K781" s="74" t="str">
        <f>IF(AND(K774&lt;D777,K775&gt;=D778),"YES","NO")</f>
        <v>NO</v>
      </c>
      <c r="L781" s="413"/>
      <c r="M781" s="413"/>
      <c r="N781" s="413"/>
    </row>
    <row r="782" spans="1:14" ht="15" hidden="1" customHeight="1" x14ac:dyDescent="0.25">
      <c r="A782" s="417"/>
      <c r="B782" s="445"/>
      <c r="C782" s="95"/>
      <c r="D782" s="97" t="s">
        <v>410</v>
      </c>
      <c r="E782" s="455"/>
      <c r="F782" s="415"/>
      <c r="G782" s="415"/>
      <c r="H782" s="402"/>
      <c r="I782" s="402"/>
      <c r="J782" s="402"/>
      <c r="K782" s="74" t="str">
        <f>IF(OR(AND(K774&gt;0,K774&lt;D777,K775=0),AND(K775&gt;0,K775&lt;D778,K774=0),AND(K774&gt;0,K774&lt;D777,K775&gt;0,K775&lt;D778)),"YES","NO")</f>
        <v>NO</v>
      </c>
      <c r="L782" s="413"/>
      <c r="M782" s="413"/>
      <c r="N782" s="413"/>
    </row>
    <row r="783" spans="1:14" ht="15" hidden="1" customHeight="1" x14ac:dyDescent="0.25">
      <c r="A783" s="417"/>
      <c r="B783" s="445"/>
      <c r="C783" s="95"/>
      <c r="D783" s="97" t="s">
        <v>411</v>
      </c>
      <c r="E783" s="455"/>
      <c r="F783" s="415"/>
      <c r="G783" s="415"/>
      <c r="H783" s="402"/>
      <c r="I783" s="402"/>
      <c r="J783" s="402"/>
      <c r="K783" s="74" t="str">
        <f>IF(AND(K774=0,K775=0,K776&gt;=D779),"YES","NO")</f>
        <v>NO</v>
      </c>
      <c r="L783" s="413"/>
      <c r="M783" s="413"/>
      <c r="N783" s="413"/>
    </row>
    <row r="784" spans="1:14" ht="15" hidden="1" customHeight="1" x14ac:dyDescent="0.25">
      <c r="A784" s="417"/>
      <c r="B784" s="445"/>
      <c r="C784" s="95"/>
      <c r="D784" s="97" t="s">
        <v>412</v>
      </c>
      <c r="E784" s="455"/>
      <c r="F784" s="415"/>
      <c r="G784" s="415"/>
      <c r="H784" s="402"/>
      <c r="I784" s="402"/>
      <c r="J784" s="402"/>
      <c r="K784" s="74" t="str">
        <f>IF(AND(K774=0,K775=0,K776&lt;D779),"YES","NO")</f>
        <v>YES</v>
      </c>
      <c r="L784" s="413"/>
      <c r="M784" s="413"/>
      <c r="N784" s="413"/>
    </row>
    <row r="785" spans="1:14" hidden="1" x14ac:dyDescent="0.25">
      <c r="A785" s="417"/>
      <c r="B785" s="445"/>
      <c r="C785" s="99" t="s">
        <v>377</v>
      </c>
      <c r="D785" s="99"/>
      <c r="E785" s="456"/>
      <c r="F785" s="416"/>
      <c r="G785" s="416"/>
      <c r="H785" s="403"/>
      <c r="I785" s="403"/>
      <c r="J785" s="403"/>
      <c r="K785" s="12">
        <f>IF(K780="YES",4,IF(K781="YES",3+K774/D777,IF(K782="YES",2+2*K774/D777+K775/D778-(K774*K775)/(D777*D778),IF(K783="YES",2,2*K776/D779))))</f>
        <v>0</v>
      </c>
      <c r="L785" s="413"/>
      <c r="M785" s="413"/>
      <c r="N785" s="413"/>
    </row>
    <row r="786" spans="1:14" hidden="1" x14ac:dyDescent="0.25">
      <c r="A786" s="417"/>
      <c r="B786" s="445"/>
      <c r="C786" s="434" t="s">
        <v>6</v>
      </c>
      <c r="D786" s="482"/>
      <c r="E786" s="482"/>
      <c r="F786" s="482"/>
      <c r="G786" s="482"/>
      <c r="H786" s="482"/>
      <c r="I786" s="482"/>
      <c r="J786" s="435"/>
      <c r="K786" s="12">
        <f>IF(K762&gt;=K763,K785,K762/K763*K785)</f>
        <v>0</v>
      </c>
      <c r="L786" s="413"/>
      <c r="M786" s="413"/>
      <c r="N786" s="413"/>
    </row>
    <row r="787" spans="1:14" hidden="1" x14ac:dyDescent="0.25">
      <c r="N787" s="1"/>
    </row>
    <row r="788" spans="1:14" ht="30" customHeight="1" x14ac:dyDescent="0.25">
      <c r="A788" s="417">
        <v>57</v>
      </c>
      <c r="B788" s="418"/>
      <c r="C788" s="395" t="s">
        <v>798</v>
      </c>
      <c r="D788" s="385"/>
      <c r="E788" s="382" t="s">
        <v>1770</v>
      </c>
      <c r="F788" s="414" t="s">
        <v>1130</v>
      </c>
      <c r="G788" s="414" t="s">
        <v>1131</v>
      </c>
      <c r="H788" s="34" t="s">
        <v>582</v>
      </c>
      <c r="I788" s="34">
        <v>1</v>
      </c>
      <c r="J788" s="109" t="str">
        <f>IF((IF(OR((H788&amp;"."&amp;I788)=$R$8,(H788&amp;"."&amp;I788)=$S$8,(H788&amp;"."&amp;I788)=$T$8,(H788&amp;"."&amp;I788)=$U$8,(H788&amp;"."&amp;I788)=$V$8,(H788&amp;"."&amp;I788)=$W$8),1,0))=1,"EKSTREM",IF((IF(OR((H788&amp;"."&amp;I788)=$R$9,(H788&amp;"."&amp;I788)=$S$9,(H788&amp;"."&amp;I788)=$T$9,(H788&amp;"."&amp;I788)=$U$9,(H788&amp;"."&amp;I788)=$V$9,(H788&amp;"."&amp;I788)=$W$9,(H788&amp;"."&amp;I788)=$X$9),1,0))=1,"TINGGI",IF((IF(OR((H788&amp;"."&amp;I788)=$R$10,(H788&amp;"."&amp;I788)=$S$10,(H788&amp;"."&amp;I788)=$T$10,(H788&amp;"."&amp;I788)=$U$10,(H788&amp;"."&amp;I788)=$V$10,(H788&amp;"."&amp;I788)=$W$10),1,0))=1,"MODERAT",IF((IF(OR((H788&amp;"."&amp;I788)=$R$11,(H788&amp;"."&amp;I788)=$S$11,(H788&amp;"."&amp;I788)=$T$11,(H788&amp;"."&amp;I788)=$U$11,(H788&amp;"."&amp;I788)=$V$11,(H788&amp;"."&amp;I788)=$W$11),1,0))=1,"RENDAH","-"))))</f>
        <v>RENDAH</v>
      </c>
      <c r="K788" s="50"/>
      <c r="L788" s="413" t="s">
        <v>1132</v>
      </c>
      <c r="M788" s="413" t="s">
        <v>1133</v>
      </c>
      <c r="N788" s="517"/>
    </row>
    <row r="789" spans="1:14" x14ac:dyDescent="0.25">
      <c r="A789" s="417"/>
      <c r="B789" s="418"/>
      <c r="C789" s="411" t="s">
        <v>362</v>
      </c>
      <c r="D789" s="439"/>
      <c r="E789" s="382"/>
      <c r="F789" s="415"/>
      <c r="G789" s="415"/>
      <c r="H789" s="401"/>
      <c r="I789" s="401"/>
      <c r="J789" s="401"/>
      <c r="K789" s="127">
        <f>IF(ISBLANK('Isian Prodi'!K271),'Isian Prodi'!B271,'Isian Prodi'!K271)</f>
        <v>0</v>
      </c>
      <c r="L789" s="413"/>
      <c r="M789" s="413"/>
      <c r="N789" s="517"/>
    </row>
    <row r="790" spans="1:14" x14ac:dyDescent="0.25">
      <c r="A790" s="417"/>
      <c r="B790" s="418"/>
      <c r="C790" s="411" t="s">
        <v>363</v>
      </c>
      <c r="D790" s="439"/>
      <c r="E790" s="382"/>
      <c r="F790" s="415"/>
      <c r="G790" s="415"/>
      <c r="H790" s="402"/>
      <c r="I790" s="402"/>
      <c r="J790" s="402"/>
      <c r="K790" s="127">
        <f>IF(ISBLANK('Isian Prodi'!K272),'Isian Prodi'!B272,'Isian Prodi'!K272)</f>
        <v>0</v>
      </c>
      <c r="L790" s="413"/>
      <c r="M790" s="413"/>
      <c r="N790" s="517"/>
    </row>
    <row r="791" spans="1:14" x14ac:dyDescent="0.25">
      <c r="A791" s="417"/>
      <c r="B791" s="418"/>
      <c r="C791" s="411" t="s">
        <v>364</v>
      </c>
      <c r="D791" s="439"/>
      <c r="E791" s="382"/>
      <c r="F791" s="415"/>
      <c r="G791" s="415"/>
      <c r="H791" s="402"/>
      <c r="I791" s="402"/>
      <c r="J791" s="402"/>
      <c r="K791" s="127">
        <f>IF(ISBLANK('Isian Prodi'!K273),'Isian Prodi'!B273,'Isian Prodi'!K273)</f>
        <v>0</v>
      </c>
      <c r="L791" s="413"/>
      <c r="M791" s="413"/>
      <c r="N791" s="517"/>
    </row>
    <row r="792" spans="1:14" x14ac:dyDescent="0.25">
      <c r="A792" s="417"/>
      <c r="B792" s="418"/>
      <c r="C792" s="411" t="s">
        <v>433</v>
      </c>
      <c r="D792" s="439"/>
      <c r="E792" s="382"/>
      <c r="F792" s="415"/>
      <c r="G792" s="415"/>
      <c r="H792" s="402"/>
      <c r="I792" s="402"/>
      <c r="J792" s="402"/>
      <c r="K792" s="127">
        <f>IF(ISBLANK('Isian Prodi'!L271),'Isian Prodi'!C271,'Isian Prodi'!L271)</f>
        <v>0</v>
      </c>
      <c r="L792" s="413"/>
      <c r="M792" s="413"/>
      <c r="N792" s="517"/>
    </row>
    <row r="793" spans="1:14" x14ac:dyDescent="0.25">
      <c r="A793" s="417"/>
      <c r="B793" s="418"/>
      <c r="C793" s="411" t="s">
        <v>434</v>
      </c>
      <c r="D793" s="439"/>
      <c r="E793" s="382"/>
      <c r="F793" s="415"/>
      <c r="G793" s="415"/>
      <c r="H793" s="402"/>
      <c r="I793" s="402"/>
      <c r="J793" s="402"/>
      <c r="K793" s="127">
        <f>IF(ISBLANK('Isian Prodi'!L272),'Isian Prodi'!C272,'Isian Prodi'!L272)</f>
        <v>0</v>
      </c>
      <c r="L793" s="413"/>
      <c r="M793" s="413"/>
      <c r="N793" s="517"/>
    </row>
    <row r="794" spans="1:14" x14ac:dyDescent="0.25">
      <c r="A794" s="417"/>
      <c r="B794" s="418"/>
      <c r="C794" s="411" t="s">
        <v>435</v>
      </c>
      <c r="D794" s="439"/>
      <c r="E794" s="382"/>
      <c r="F794" s="415"/>
      <c r="G794" s="415"/>
      <c r="H794" s="402"/>
      <c r="I794" s="402"/>
      <c r="J794" s="402"/>
      <c r="K794" s="127">
        <f>IF(ISBLANK('Isian Prodi'!L273),'Isian Prodi'!C273,'Isian Prodi'!L273)</f>
        <v>0</v>
      </c>
      <c r="L794" s="413"/>
      <c r="M794" s="413"/>
      <c r="N794" s="517"/>
    </row>
    <row r="795" spans="1:14" x14ac:dyDescent="0.25">
      <c r="A795" s="417"/>
      <c r="B795" s="418"/>
      <c r="C795" s="419" t="s">
        <v>404</v>
      </c>
      <c r="D795" s="434"/>
      <c r="E795" s="382"/>
      <c r="F795" s="415"/>
      <c r="G795" s="415"/>
      <c r="H795" s="402"/>
      <c r="I795" s="402"/>
      <c r="J795" s="402"/>
      <c r="K795" s="134">
        <f>IF(SUM(K789:K791)&gt;=300,1,2)</f>
        <v>2</v>
      </c>
      <c r="L795" s="413"/>
      <c r="M795" s="413"/>
      <c r="N795" s="517"/>
    </row>
    <row r="796" spans="1:14" x14ac:dyDescent="0.25">
      <c r="A796" s="417"/>
      <c r="B796" s="418"/>
      <c r="C796" s="411" t="s">
        <v>436</v>
      </c>
      <c r="D796" s="439"/>
      <c r="E796" s="382"/>
      <c r="F796" s="415"/>
      <c r="G796" s="415"/>
      <c r="H796" s="402"/>
      <c r="I796" s="402"/>
      <c r="J796" s="402"/>
      <c r="K796" s="132">
        <f>IF(SUM(K789:K791)&gt;0,SUM(K792:K794)/SUM(K789:K791),0)</f>
        <v>0</v>
      </c>
      <c r="L796" s="413"/>
      <c r="M796" s="413"/>
      <c r="N796" s="517"/>
    </row>
    <row r="797" spans="1:14" ht="18" x14ac:dyDescent="0.25">
      <c r="A797" s="417"/>
      <c r="B797" s="418"/>
      <c r="C797" s="419" t="s">
        <v>369</v>
      </c>
      <c r="D797" s="434"/>
      <c r="E797" s="382"/>
      <c r="F797" s="415"/>
      <c r="G797" s="415"/>
      <c r="H797" s="402"/>
      <c r="I797" s="402"/>
      <c r="J797" s="402"/>
      <c r="K797" s="133">
        <f>IF(K795=1,30%,50%-SUM(K789:K791)/300*20%)</f>
        <v>0.5</v>
      </c>
      <c r="L797" s="413"/>
      <c r="M797" s="413"/>
      <c r="N797" s="517"/>
    </row>
    <row r="798" spans="1:14" x14ac:dyDescent="0.25">
      <c r="A798" s="417"/>
      <c r="B798" s="418"/>
      <c r="C798" s="465" t="s">
        <v>418</v>
      </c>
      <c r="D798" s="100" t="s">
        <v>271</v>
      </c>
      <c r="E798" s="382"/>
      <c r="F798" s="415"/>
      <c r="G798" s="415"/>
      <c r="H798" s="402"/>
      <c r="I798" s="402"/>
      <c r="J798" s="402"/>
      <c r="K798" s="135">
        <f>IF(ISBLANK('Isian Prodi'!N271),'Isian Prodi'!E271,'Isian Prodi'!N271)</f>
        <v>0</v>
      </c>
      <c r="L798" s="413"/>
      <c r="M798" s="413"/>
      <c r="N798" s="517"/>
    </row>
    <row r="799" spans="1:14" x14ac:dyDescent="0.25">
      <c r="A799" s="417"/>
      <c r="B799" s="418"/>
      <c r="C799" s="465"/>
      <c r="D799" s="100" t="s">
        <v>272</v>
      </c>
      <c r="E799" s="382"/>
      <c r="F799" s="415"/>
      <c r="G799" s="415"/>
      <c r="H799" s="402"/>
      <c r="I799" s="402"/>
      <c r="J799" s="402"/>
      <c r="K799" s="135">
        <f>IF(ISBLANK('Isian Prodi'!O271),'Isian Prodi'!F271,'Isian Prodi'!O271)</f>
        <v>0</v>
      </c>
      <c r="L799" s="413"/>
      <c r="M799" s="413"/>
      <c r="N799" s="517"/>
    </row>
    <row r="800" spans="1:14" x14ac:dyDescent="0.25">
      <c r="A800" s="417"/>
      <c r="B800" s="418"/>
      <c r="C800" s="465"/>
      <c r="D800" s="100" t="s">
        <v>273</v>
      </c>
      <c r="E800" s="382"/>
      <c r="F800" s="415"/>
      <c r="G800" s="415"/>
      <c r="H800" s="402"/>
      <c r="I800" s="402"/>
      <c r="J800" s="402"/>
      <c r="K800" s="135">
        <f>IF(ISBLANK('Isian Prodi'!P271),'Isian Prodi'!G271,'Isian Prodi'!P271)</f>
        <v>0</v>
      </c>
      <c r="L800" s="413"/>
      <c r="M800" s="413"/>
      <c r="N800" s="517"/>
    </row>
    <row r="801" spans="1:14" x14ac:dyDescent="0.25">
      <c r="A801" s="417"/>
      <c r="B801" s="418"/>
      <c r="C801" s="465"/>
      <c r="D801" s="100" t="s">
        <v>274</v>
      </c>
      <c r="E801" s="382"/>
      <c r="F801" s="415"/>
      <c r="G801" s="415"/>
      <c r="H801" s="402"/>
      <c r="I801" s="402"/>
      <c r="J801" s="402"/>
      <c r="K801" s="135">
        <f>IF(ISBLANK('Isian Prodi'!Q271),'Isian Prodi'!H271,'Isian Prodi'!Q271)</f>
        <v>0</v>
      </c>
      <c r="L801" s="413"/>
      <c r="M801" s="413"/>
      <c r="N801" s="517"/>
    </row>
    <row r="802" spans="1:14" x14ac:dyDescent="0.25">
      <c r="A802" s="417"/>
      <c r="B802" s="418"/>
      <c r="C802" s="465"/>
      <c r="D802" s="101" t="s">
        <v>423</v>
      </c>
      <c r="E802" s="382"/>
      <c r="F802" s="415"/>
      <c r="G802" s="415"/>
      <c r="H802" s="402"/>
      <c r="I802" s="402"/>
      <c r="J802" s="402"/>
      <c r="K802" s="122">
        <f>IF((4*K798+3*K799+2*K800+K801)&gt;4,0,4*K798+3*K799+2*K800+K801)</f>
        <v>0</v>
      </c>
      <c r="L802" s="413"/>
      <c r="M802" s="413"/>
      <c r="N802" s="517"/>
    </row>
    <row r="803" spans="1:14" x14ac:dyDescent="0.25">
      <c r="A803" s="417"/>
      <c r="B803" s="418"/>
      <c r="C803" s="465" t="s">
        <v>437</v>
      </c>
      <c r="D803" s="100" t="s">
        <v>271</v>
      </c>
      <c r="E803" s="382"/>
      <c r="F803" s="415"/>
      <c r="G803" s="415"/>
      <c r="H803" s="402"/>
      <c r="I803" s="402"/>
      <c r="J803" s="402"/>
      <c r="K803" s="135">
        <f>IF(ISBLANK('Isian Prodi'!N272),'Isian Prodi'!E272,'Isian Prodi'!N272)</f>
        <v>0</v>
      </c>
      <c r="L803" s="413"/>
      <c r="M803" s="413"/>
      <c r="N803" s="517"/>
    </row>
    <row r="804" spans="1:14" x14ac:dyDescent="0.25">
      <c r="A804" s="417"/>
      <c r="B804" s="418"/>
      <c r="C804" s="465"/>
      <c r="D804" s="100" t="s">
        <v>272</v>
      </c>
      <c r="E804" s="382"/>
      <c r="F804" s="415"/>
      <c r="G804" s="415"/>
      <c r="H804" s="402"/>
      <c r="I804" s="402"/>
      <c r="J804" s="402"/>
      <c r="K804" s="136">
        <f>IF(ISBLANK('Isian Prodi'!O272),'Isian Prodi'!F272,'Isian Prodi'!O272)</f>
        <v>0</v>
      </c>
      <c r="L804" s="413"/>
      <c r="M804" s="413"/>
      <c r="N804" s="517"/>
    </row>
    <row r="805" spans="1:14" x14ac:dyDescent="0.25">
      <c r="A805" s="417"/>
      <c r="B805" s="418"/>
      <c r="C805" s="465"/>
      <c r="D805" s="100" t="s">
        <v>273</v>
      </c>
      <c r="E805" s="382"/>
      <c r="F805" s="415"/>
      <c r="G805" s="415"/>
      <c r="H805" s="402"/>
      <c r="I805" s="402"/>
      <c r="J805" s="402"/>
      <c r="K805" s="136">
        <f>IF(ISBLANK('Isian Prodi'!P272),'Isian Prodi'!G272,'Isian Prodi'!P272)</f>
        <v>0</v>
      </c>
      <c r="L805" s="413"/>
      <c r="M805" s="413"/>
      <c r="N805" s="517"/>
    </row>
    <row r="806" spans="1:14" x14ac:dyDescent="0.25">
      <c r="A806" s="417"/>
      <c r="B806" s="418"/>
      <c r="C806" s="465"/>
      <c r="D806" s="100" t="s">
        <v>274</v>
      </c>
      <c r="E806" s="382"/>
      <c r="F806" s="415"/>
      <c r="G806" s="415"/>
      <c r="H806" s="402"/>
      <c r="I806" s="402"/>
      <c r="J806" s="402"/>
      <c r="K806" s="136">
        <f>IF(ISBLANK('Isian Prodi'!Q272),'Isian Prodi'!H272,'Isian Prodi'!Q272)</f>
        <v>0</v>
      </c>
      <c r="L806" s="413"/>
      <c r="M806" s="413"/>
      <c r="N806" s="517"/>
    </row>
    <row r="807" spans="1:14" x14ac:dyDescent="0.25">
      <c r="A807" s="417"/>
      <c r="B807" s="418"/>
      <c r="C807" s="465"/>
      <c r="D807" s="101" t="s">
        <v>424</v>
      </c>
      <c r="E807" s="382"/>
      <c r="F807" s="415"/>
      <c r="G807" s="415"/>
      <c r="H807" s="402"/>
      <c r="I807" s="402"/>
      <c r="J807" s="402"/>
      <c r="K807" s="122">
        <f>IF((4*K803+3*K804+2*K805+K806)&gt;4,0,4*K803+3*K804+2*K805+K806)</f>
        <v>0</v>
      </c>
      <c r="L807" s="413"/>
      <c r="M807" s="413"/>
      <c r="N807" s="517"/>
    </row>
    <row r="808" spans="1:14" x14ac:dyDescent="0.25">
      <c r="A808" s="417"/>
      <c r="B808" s="418"/>
      <c r="C808" s="465" t="s">
        <v>438</v>
      </c>
      <c r="D808" s="100" t="s">
        <v>271</v>
      </c>
      <c r="E808" s="382"/>
      <c r="F808" s="415"/>
      <c r="G808" s="415"/>
      <c r="H808" s="402"/>
      <c r="I808" s="402"/>
      <c r="J808" s="402"/>
      <c r="K808" s="136">
        <f>IF(ISBLANK('Isian Prodi'!N273),'Isian Prodi'!E273,'Isian Prodi'!N273)</f>
        <v>0</v>
      </c>
      <c r="L808" s="413"/>
      <c r="M808" s="413"/>
      <c r="N808" s="517"/>
    </row>
    <row r="809" spans="1:14" x14ac:dyDescent="0.25">
      <c r="A809" s="417"/>
      <c r="B809" s="418"/>
      <c r="C809" s="465"/>
      <c r="D809" s="100" t="s">
        <v>272</v>
      </c>
      <c r="E809" s="382"/>
      <c r="F809" s="415"/>
      <c r="G809" s="415"/>
      <c r="H809" s="402"/>
      <c r="I809" s="402"/>
      <c r="J809" s="402"/>
      <c r="K809" s="136">
        <f>IF(ISBLANK('Isian Prodi'!O273),'Isian Prodi'!F273,'Isian Prodi'!O273)</f>
        <v>0</v>
      </c>
      <c r="L809" s="413"/>
      <c r="M809" s="413"/>
      <c r="N809" s="517"/>
    </row>
    <row r="810" spans="1:14" x14ac:dyDescent="0.25">
      <c r="A810" s="417"/>
      <c r="B810" s="418"/>
      <c r="C810" s="465"/>
      <c r="D810" s="100" t="s">
        <v>273</v>
      </c>
      <c r="E810" s="382"/>
      <c r="F810" s="415"/>
      <c r="G810" s="415"/>
      <c r="H810" s="402"/>
      <c r="I810" s="402"/>
      <c r="J810" s="402"/>
      <c r="K810" s="136">
        <f>IF(ISBLANK('Isian Prodi'!P273),'Isian Prodi'!G273,'Isian Prodi'!P273)</f>
        <v>0</v>
      </c>
      <c r="L810" s="413"/>
      <c r="M810" s="413"/>
      <c r="N810" s="517"/>
    </row>
    <row r="811" spans="1:14" x14ac:dyDescent="0.25">
      <c r="A811" s="417"/>
      <c r="B811" s="418"/>
      <c r="C811" s="465"/>
      <c r="D811" s="100" t="s">
        <v>274</v>
      </c>
      <c r="E811" s="382"/>
      <c r="F811" s="415"/>
      <c r="G811" s="415"/>
      <c r="H811" s="402"/>
      <c r="I811" s="402"/>
      <c r="J811" s="402"/>
      <c r="K811" s="136">
        <f>IF(ISBLANK('Isian Prodi'!Q273),'Isian Prodi'!H273,'Isian Prodi'!Q273)</f>
        <v>0</v>
      </c>
      <c r="L811" s="413"/>
      <c r="M811" s="413"/>
      <c r="N811" s="517"/>
    </row>
    <row r="812" spans="1:14" x14ac:dyDescent="0.25">
      <c r="A812" s="417"/>
      <c r="B812" s="418"/>
      <c r="C812" s="465"/>
      <c r="D812" s="101" t="s">
        <v>425</v>
      </c>
      <c r="E812" s="382"/>
      <c r="F812" s="415"/>
      <c r="G812" s="415"/>
      <c r="H812" s="402"/>
      <c r="I812" s="402"/>
      <c r="J812" s="402"/>
      <c r="K812" s="122">
        <f>IF((4*K808+3*K809+2*K810+K811)&gt;4,0,4*K808+3*K809+2*K810+K811)</f>
        <v>0</v>
      </c>
      <c r="L812" s="413"/>
      <c r="M812" s="413"/>
      <c r="N812" s="517"/>
    </row>
    <row r="813" spans="1:14" x14ac:dyDescent="0.25">
      <c r="A813" s="417"/>
      <c r="B813" s="418"/>
      <c r="C813" s="466" t="s">
        <v>439</v>
      </c>
      <c r="D813" s="100" t="s">
        <v>271</v>
      </c>
      <c r="E813" s="382"/>
      <c r="F813" s="415"/>
      <c r="G813" s="415"/>
      <c r="H813" s="402"/>
      <c r="I813" s="402"/>
      <c r="J813" s="402"/>
      <c r="K813" s="136">
        <f>IF(ISBLANK('Isian Prodi'!N274),'Isian Prodi'!E274,'Isian Prodi'!N274)</f>
        <v>0</v>
      </c>
      <c r="L813" s="413"/>
      <c r="M813" s="413"/>
      <c r="N813" s="517"/>
    </row>
    <row r="814" spans="1:14" x14ac:dyDescent="0.25">
      <c r="A814" s="417"/>
      <c r="B814" s="418"/>
      <c r="C814" s="466"/>
      <c r="D814" s="100" t="s">
        <v>272</v>
      </c>
      <c r="E814" s="382"/>
      <c r="F814" s="415"/>
      <c r="G814" s="415"/>
      <c r="H814" s="402"/>
      <c r="I814" s="402"/>
      <c r="J814" s="402"/>
      <c r="K814" s="136">
        <f>IF(ISBLANK('Isian Prodi'!O274),'Isian Prodi'!F274,'Isian Prodi'!O274)</f>
        <v>0</v>
      </c>
      <c r="L814" s="413"/>
      <c r="M814" s="413"/>
      <c r="N814" s="517"/>
    </row>
    <row r="815" spans="1:14" x14ac:dyDescent="0.25">
      <c r="A815" s="417"/>
      <c r="B815" s="418"/>
      <c r="C815" s="466"/>
      <c r="D815" s="100" t="s">
        <v>273</v>
      </c>
      <c r="E815" s="382"/>
      <c r="F815" s="415"/>
      <c r="G815" s="415"/>
      <c r="H815" s="402"/>
      <c r="I815" s="402"/>
      <c r="J815" s="402"/>
      <c r="K815" s="136">
        <f>IF(ISBLANK('Isian Prodi'!P274),'Isian Prodi'!G274,'Isian Prodi'!P274)</f>
        <v>0</v>
      </c>
      <c r="L815" s="413"/>
      <c r="M815" s="413"/>
      <c r="N815" s="517"/>
    </row>
    <row r="816" spans="1:14" x14ac:dyDescent="0.25">
      <c r="A816" s="417"/>
      <c r="B816" s="418"/>
      <c r="C816" s="466"/>
      <c r="D816" s="100" t="s">
        <v>274</v>
      </c>
      <c r="E816" s="382"/>
      <c r="F816" s="415"/>
      <c r="G816" s="415"/>
      <c r="H816" s="402"/>
      <c r="I816" s="402"/>
      <c r="J816" s="402"/>
      <c r="K816" s="136">
        <f>IF(ISBLANK('Isian Prodi'!Q274),'Isian Prodi'!H274,'Isian Prodi'!Q274)</f>
        <v>0</v>
      </c>
      <c r="L816" s="413"/>
      <c r="M816" s="413"/>
      <c r="N816" s="517"/>
    </row>
    <row r="817" spans="1:14" x14ac:dyDescent="0.25">
      <c r="A817" s="417"/>
      <c r="B817" s="418"/>
      <c r="C817" s="466"/>
      <c r="D817" s="101" t="s">
        <v>426</v>
      </c>
      <c r="E817" s="382"/>
      <c r="F817" s="415"/>
      <c r="G817" s="415"/>
      <c r="H817" s="402"/>
      <c r="I817" s="402"/>
      <c r="J817" s="402"/>
      <c r="K817" s="122">
        <f>IF((4*K813+3*K814+2*K815+K816)&gt;4,0,4*K813+3*K814+2*K815+K816)</f>
        <v>0</v>
      </c>
      <c r="L817" s="413"/>
      <c r="M817" s="413"/>
      <c r="N817" s="517"/>
    </row>
    <row r="818" spans="1:14" x14ac:dyDescent="0.25">
      <c r="A818" s="417"/>
      <c r="B818" s="418"/>
      <c r="C818" s="465" t="s">
        <v>440</v>
      </c>
      <c r="D818" s="100" t="s">
        <v>271</v>
      </c>
      <c r="E818" s="382"/>
      <c r="F818" s="415"/>
      <c r="G818" s="415"/>
      <c r="H818" s="402"/>
      <c r="I818" s="402"/>
      <c r="J818" s="402"/>
      <c r="K818" s="136">
        <f>IF(ISBLANK('Isian Prodi'!N275),'Isian Prodi'!E275,'Isian Prodi'!N275)</f>
        <v>0</v>
      </c>
      <c r="L818" s="413"/>
      <c r="M818" s="413"/>
      <c r="N818" s="517"/>
    </row>
    <row r="819" spans="1:14" x14ac:dyDescent="0.25">
      <c r="A819" s="417"/>
      <c r="B819" s="418"/>
      <c r="C819" s="465"/>
      <c r="D819" s="100" t="s">
        <v>272</v>
      </c>
      <c r="E819" s="382"/>
      <c r="F819" s="415"/>
      <c r="G819" s="415"/>
      <c r="H819" s="402"/>
      <c r="I819" s="402"/>
      <c r="J819" s="402"/>
      <c r="K819" s="136">
        <f>IF(ISBLANK('Isian Prodi'!O275),'Isian Prodi'!F275,'Isian Prodi'!O275)</f>
        <v>0</v>
      </c>
      <c r="L819" s="413"/>
      <c r="M819" s="413"/>
      <c r="N819" s="517"/>
    </row>
    <row r="820" spans="1:14" x14ac:dyDescent="0.25">
      <c r="A820" s="417"/>
      <c r="B820" s="418"/>
      <c r="C820" s="465"/>
      <c r="D820" s="100" t="s">
        <v>273</v>
      </c>
      <c r="E820" s="382"/>
      <c r="F820" s="415"/>
      <c r="G820" s="415"/>
      <c r="H820" s="402"/>
      <c r="I820" s="402"/>
      <c r="J820" s="402"/>
      <c r="K820" s="136">
        <f>IF(ISBLANK('Isian Prodi'!P275),'Isian Prodi'!G275,'Isian Prodi'!P275)</f>
        <v>0</v>
      </c>
      <c r="L820" s="413"/>
      <c r="M820" s="413"/>
      <c r="N820" s="517"/>
    </row>
    <row r="821" spans="1:14" x14ac:dyDescent="0.25">
      <c r="A821" s="417"/>
      <c r="B821" s="418"/>
      <c r="C821" s="465"/>
      <c r="D821" s="100" t="s">
        <v>274</v>
      </c>
      <c r="E821" s="382"/>
      <c r="F821" s="415"/>
      <c r="G821" s="415"/>
      <c r="H821" s="402"/>
      <c r="I821" s="402"/>
      <c r="J821" s="402"/>
      <c r="K821" s="136">
        <f>IF(ISBLANK('Isian Prodi'!Q275),'Isian Prodi'!H275,'Isian Prodi'!Q275)</f>
        <v>0</v>
      </c>
      <c r="L821" s="413"/>
      <c r="M821" s="413"/>
      <c r="N821" s="517"/>
    </row>
    <row r="822" spans="1:14" x14ac:dyDescent="0.25">
      <c r="A822" s="417"/>
      <c r="B822" s="418"/>
      <c r="C822" s="465"/>
      <c r="D822" s="101" t="s">
        <v>427</v>
      </c>
      <c r="E822" s="382"/>
      <c r="F822" s="415"/>
      <c r="G822" s="415"/>
      <c r="H822" s="402"/>
      <c r="I822" s="402"/>
      <c r="J822" s="402"/>
      <c r="K822" s="122">
        <f>IF((4*K818+3*K819+2*K820+K821)&gt;4,0,4*K818+3*K819+2*K820+K821)</f>
        <v>0</v>
      </c>
      <c r="L822" s="413"/>
      <c r="M822" s="413"/>
      <c r="N822" s="517"/>
    </row>
    <row r="823" spans="1:14" x14ac:dyDescent="0.25">
      <c r="A823" s="417"/>
      <c r="B823" s="418"/>
      <c r="C823" s="465" t="s">
        <v>441</v>
      </c>
      <c r="D823" s="100" t="s">
        <v>271</v>
      </c>
      <c r="E823" s="382"/>
      <c r="F823" s="415"/>
      <c r="G823" s="415"/>
      <c r="H823" s="402"/>
      <c r="I823" s="402"/>
      <c r="J823" s="402"/>
      <c r="K823" s="136">
        <f>IF(ISBLANK('Isian Prodi'!N276),'Isian Prodi'!E276,'Isian Prodi'!N276)</f>
        <v>0</v>
      </c>
      <c r="L823" s="413"/>
      <c r="M823" s="413"/>
      <c r="N823" s="517"/>
    </row>
    <row r="824" spans="1:14" x14ac:dyDescent="0.25">
      <c r="A824" s="417"/>
      <c r="B824" s="418"/>
      <c r="C824" s="465"/>
      <c r="D824" s="100" t="s">
        <v>272</v>
      </c>
      <c r="E824" s="382"/>
      <c r="F824" s="415"/>
      <c r="G824" s="415"/>
      <c r="H824" s="402"/>
      <c r="I824" s="402"/>
      <c r="J824" s="402"/>
      <c r="K824" s="136">
        <f>IF(ISBLANK('Isian Prodi'!O276),'Isian Prodi'!F276,'Isian Prodi'!O276)</f>
        <v>0</v>
      </c>
      <c r="L824" s="413"/>
      <c r="M824" s="413"/>
      <c r="N824" s="517"/>
    </row>
    <row r="825" spans="1:14" x14ac:dyDescent="0.25">
      <c r="A825" s="417"/>
      <c r="B825" s="418"/>
      <c r="C825" s="465"/>
      <c r="D825" s="100" t="s">
        <v>273</v>
      </c>
      <c r="E825" s="382"/>
      <c r="F825" s="415"/>
      <c r="G825" s="415"/>
      <c r="H825" s="402"/>
      <c r="I825" s="402"/>
      <c r="J825" s="402"/>
      <c r="K825" s="136">
        <f>IF(ISBLANK('Isian Prodi'!P276),'Isian Prodi'!G276,'Isian Prodi'!P276)</f>
        <v>0</v>
      </c>
      <c r="L825" s="413"/>
      <c r="M825" s="413"/>
      <c r="N825" s="517"/>
    </row>
    <row r="826" spans="1:14" x14ac:dyDescent="0.25">
      <c r="A826" s="417"/>
      <c r="B826" s="418"/>
      <c r="C826" s="465"/>
      <c r="D826" s="100" t="s">
        <v>274</v>
      </c>
      <c r="E826" s="382"/>
      <c r="F826" s="415"/>
      <c r="G826" s="415"/>
      <c r="H826" s="402"/>
      <c r="I826" s="402"/>
      <c r="J826" s="402"/>
      <c r="K826" s="136">
        <f>IF(ISBLANK('Isian Prodi'!Q276),'Isian Prodi'!H276,'Isian Prodi'!Q276)</f>
        <v>0</v>
      </c>
      <c r="L826" s="413"/>
      <c r="M826" s="413"/>
      <c r="N826" s="517"/>
    </row>
    <row r="827" spans="1:14" x14ac:dyDescent="0.25">
      <c r="A827" s="417"/>
      <c r="B827" s="418"/>
      <c r="C827" s="465"/>
      <c r="D827" s="101" t="s">
        <v>431</v>
      </c>
      <c r="E827" s="382"/>
      <c r="F827" s="415"/>
      <c r="G827" s="415"/>
      <c r="H827" s="402"/>
      <c r="I827" s="402"/>
      <c r="J827" s="402"/>
      <c r="K827" s="122">
        <f>IF((4*K823+3*K824+2*K825+K826)&gt;4,0,4*K823+3*K824+2*K825+K826)</f>
        <v>0</v>
      </c>
      <c r="L827" s="413"/>
      <c r="M827" s="413"/>
      <c r="N827" s="517"/>
    </row>
    <row r="828" spans="1:14" x14ac:dyDescent="0.25">
      <c r="A828" s="417"/>
      <c r="B828" s="418"/>
      <c r="C828" s="466" t="s">
        <v>442</v>
      </c>
      <c r="D828" s="100" t="s">
        <v>271</v>
      </c>
      <c r="E828" s="382"/>
      <c r="F828" s="415"/>
      <c r="G828" s="415"/>
      <c r="H828" s="402"/>
      <c r="I828" s="402"/>
      <c r="J828" s="402"/>
      <c r="K828" s="136">
        <f>IF(ISBLANK('Isian Prodi'!N277),'Isian Prodi'!E277,'Isian Prodi'!N277)</f>
        <v>0</v>
      </c>
      <c r="L828" s="413"/>
      <c r="M828" s="413"/>
      <c r="N828" s="517"/>
    </row>
    <row r="829" spans="1:14" x14ac:dyDescent="0.25">
      <c r="A829" s="417"/>
      <c r="B829" s="418"/>
      <c r="C829" s="466"/>
      <c r="D829" s="100" t="s">
        <v>272</v>
      </c>
      <c r="E829" s="382"/>
      <c r="F829" s="415"/>
      <c r="G829" s="415"/>
      <c r="H829" s="402"/>
      <c r="I829" s="402"/>
      <c r="J829" s="402"/>
      <c r="K829" s="136">
        <f>IF(ISBLANK('Isian Prodi'!O277),'Isian Prodi'!F277,'Isian Prodi'!O277)</f>
        <v>0</v>
      </c>
      <c r="L829" s="413"/>
      <c r="M829" s="413"/>
      <c r="N829" s="517"/>
    </row>
    <row r="830" spans="1:14" x14ac:dyDescent="0.25">
      <c r="A830" s="417"/>
      <c r="B830" s="418"/>
      <c r="C830" s="466"/>
      <c r="D830" s="100" t="s">
        <v>273</v>
      </c>
      <c r="E830" s="382"/>
      <c r="F830" s="415"/>
      <c r="G830" s="415"/>
      <c r="H830" s="402"/>
      <c r="I830" s="402"/>
      <c r="J830" s="402"/>
      <c r="K830" s="136">
        <f>IF(ISBLANK('Isian Prodi'!P277),'Isian Prodi'!G277,'Isian Prodi'!P277)</f>
        <v>0</v>
      </c>
      <c r="L830" s="413"/>
      <c r="M830" s="413"/>
      <c r="N830" s="517"/>
    </row>
    <row r="831" spans="1:14" x14ac:dyDescent="0.25">
      <c r="A831" s="417"/>
      <c r="B831" s="418"/>
      <c r="C831" s="466"/>
      <c r="D831" s="100" t="s">
        <v>274</v>
      </c>
      <c r="E831" s="382"/>
      <c r="F831" s="415"/>
      <c r="G831" s="415"/>
      <c r="H831" s="402"/>
      <c r="I831" s="402"/>
      <c r="J831" s="402"/>
      <c r="K831" s="136">
        <f>IF(ISBLANK('Isian Prodi'!Q277),'Isian Prodi'!H277,'Isian Prodi'!Q277)</f>
        <v>0</v>
      </c>
      <c r="L831" s="413"/>
      <c r="M831" s="413"/>
      <c r="N831" s="517"/>
    </row>
    <row r="832" spans="1:14" x14ac:dyDescent="0.25">
      <c r="A832" s="417"/>
      <c r="B832" s="418"/>
      <c r="C832" s="466"/>
      <c r="D832" s="101" t="s">
        <v>432</v>
      </c>
      <c r="E832" s="382"/>
      <c r="F832" s="415"/>
      <c r="G832" s="415"/>
      <c r="H832" s="402"/>
      <c r="I832" s="402"/>
      <c r="J832" s="402"/>
      <c r="K832" s="122">
        <f>IF((4*K828+3*K829+2*K830+K831)&gt;4,0,4*K828+3*K829+2*K830+K831)</f>
        <v>0</v>
      </c>
      <c r="L832" s="413"/>
      <c r="M832" s="413"/>
      <c r="N832" s="517"/>
    </row>
    <row r="833" spans="1:14" ht="15" customHeight="1" x14ac:dyDescent="0.25">
      <c r="A833" s="417"/>
      <c r="B833" s="418"/>
      <c r="C833" s="434" t="s">
        <v>377</v>
      </c>
      <c r="D833" s="482"/>
      <c r="E833" s="382"/>
      <c r="F833" s="416"/>
      <c r="G833" s="416"/>
      <c r="H833" s="403"/>
      <c r="I833" s="403"/>
      <c r="J833" s="403"/>
      <c r="K833" s="111">
        <f>(K802+K807+K812+K817+K822+K827+K832)/7</f>
        <v>0</v>
      </c>
      <c r="L833" s="413"/>
      <c r="M833" s="413"/>
      <c r="N833" s="517"/>
    </row>
    <row r="834" spans="1:14" x14ac:dyDescent="0.25">
      <c r="A834" s="417"/>
      <c r="B834" s="418"/>
      <c r="C834" s="419" t="s">
        <v>6</v>
      </c>
      <c r="D834" s="419"/>
      <c r="E834" s="419"/>
      <c r="F834" s="419"/>
      <c r="G834" s="64"/>
      <c r="H834" s="64"/>
      <c r="I834" s="64"/>
      <c r="J834" s="64"/>
      <c r="K834" s="111">
        <f>IF(K795&gt;=K796,K833,K795/K796*K833)</f>
        <v>0</v>
      </c>
      <c r="L834" s="413"/>
      <c r="M834" s="413"/>
      <c r="N834" s="517"/>
    </row>
    <row r="835" spans="1:14" x14ac:dyDescent="0.25">
      <c r="N835" s="1"/>
    </row>
    <row r="836" spans="1:14" ht="45" customHeight="1" x14ac:dyDescent="0.25">
      <c r="A836" s="417">
        <f>A788+1</f>
        <v>58</v>
      </c>
      <c r="B836" s="421" t="s">
        <v>799</v>
      </c>
      <c r="C836" s="395" t="s">
        <v>1000</v>
      </c>
      <c r="D836" s="395"/>
      <c r="E836" s="462" t="s">
        <v>1776</v>
      </c>
      <c r="F836" s="420" t="s">
        <v>1130</v>
      </c>
      <c r="G836" s="420" t="s">
        <v>1131</v>
      </c>
      <c r="H836" s="34" t="s">
        <v>582</v>
      </c>
      <c r="I836" s="34">
        <v>1</v>
      </c>
      <c r="J836" s="109" t="str">
        <f>IF((IF(OR((H836&amp;"."&amp;I836)=$R$8,(H836&amp;"."&amp;I836)=$S$8,(H836&amp;"."&amp;I836)=$T$8,(H836&amp;"."&amp;I836)=$U$8,(H836&amp;"."&amp;I836)=$V$8,(H836&amp;"."&amp;I836)=$W$8),1,0))=1,"EKSTREM",IF((IF(OR((H836&amp;"."&amp;I836)=$R$9,(H836&amp;"."&amp;I836)=$S$9,(H836&amp;"."&amp;I836)=$T$9,(H836&amp;"."&amp;I836)=$U$9,(H836&amp;"."&amp;I836)=$V$9,(H836&amp;"."&amp;I836)=$W$9,(H836&amp;"."&amp;I836)=$X$9),1,0))=1,"TINGGI",IF((IF(OR((H836&amp;"."&amp;I836)=$R$10,(H836&amp;"."&amp;I836)=$S$10,(H836&amp;"."&amp;I836)=$T$10,(H836&amp;"."&amp;I836)=$U$10,(H836&amp;"."&amp;I836)=$V$10,(H836&amp;"."&amp;I836)=$W$10),1,0))=1,"MODERAT",IF((IF(OR((H836&amp;"."&amp;I836)=$R$11,(H836&amp;"."&amp;I836)=$S$11,(H836&amp;"."&amp;I836)=$T$11,(H836&amp;"."&amp;I836)=$U$11,(H836&amp;"."&amp;I836)=$V$11,(H836&amp;"."&amp;I836)=$W$11),1,0))=1,"RENDAH","-"))))</f>
        <v>RENDAH</v>
      </c>
      <c r="K836" s="50"/>
      <c r="L836" s="413" t="s">
        <v>1132</v>
      </c>
      <c r="M836" s="413" t="s">
        <v>1133</v>
      </c>
      <c r="N836" s="517"/>
    </row>
    <row r="837" spans="1:14" x14ac:dyDescent="0.25">
      <c r="A837" s="417"/>
      <c r="B837" s="421"/>
      <c r="C837" s="55" t="s">
        <v>449</v>
      </c>
      <c r="D837" s="55"/>
      <c r="E837" s="463"/>
      <c r="F837" s="420"/>
      <c r="G837" s="420"/>
      <c r="H837" s="401"/>
      <c r="I837" s="401"/>
      <c r="J837" s="401"/>
      <c r="K837" s="127">
        <f>IF(AND(ISBLANK('Isian Prodi'!H283),ISBLANK('Isian Prodi'!I283),ISBLANK('Isian Prodi'!J283)),'Isian Prodi'!E283,'Isian Prodi'!K283)</f>
        <v>0</v>
      </c>
      <c r="L837" s="413"/>
      <c r="M837" s="413"/>
      <c r="N837" s="517"/>
    </row>
    <row r="838" spans="1:14" x14ac:dyDescent="0.25">
      <c r="A838" s="417"/>
      <c r="B838" s="421"/>
      <c r="C838" s="55" t="s">
        <v>450</v>
      </c>
      <c r="D838" s="55"/>
      <c r="E838" s="463"/>
      <c r="F838" s="420"/>
      <c r="G838" s="420"/>
      <c r="H838" s="402"/>
      <c r="I838" s="402"/>
      <c r="J838" s="402"/>
      <c r="K838" s="127">
        <f>IF(AND(ISBLANK('Isian Prodi'!H284),ISBLANK('Isian Prodi'!I284),ISBLANK('Isian Prodi'!J284)),'Isian Prodi'!E284,'Isian Prodi'!K284)</f>
        <v>0</v>
      </c>
      <c r="L838" s="413"/>
      <c r="M838" s="413"/>
      <c r="N838" s="517"/>
    </row>
    <row r="839" spans="1:14" x14ac:dyDescent="0.25">
      <c r="A839" s="417"/>
      <c r="B839" s="421"/>
      <c r="C839" s="55" t="s">
        <v>451</v>
      </c>
      <c r="D839" s="55"/>
      <c r="E839" s="463"/>
      <c r="F839" s="420"/>
      <c r="G839" s="420"/>
      <c r="H839" s="402"/>
      <c r="I839" s="402"/>
      <c r="J839" s="402"/>
      <c r="K839" s="127">
        <f>IF(AND(ISBLANK('Isian Prodi'!H285),ISBLANK('Isian Prodi'!I285),ISBLANK('Isian Prodi'!J285)),'Isian Prodi'!E285,'Isian Prodi'!K285)</f>
        <v>0</v>
      </c>
      <c r="L839" s="413"/>
      <c r="M839" s="413"/>
      <c r="N839" s="517"/>
    </row>
    <row r="840" spans="1:14" x14ac:dyDescent="0.25">
      <c r="A840" s="417"/>
      <c r="B840" s="421"/>
      <c r="C840" s="55" t="s">
        <v>452</v>
      </c>
      <c r="D840" s="55"/>
      <c r="E840" s="463"/>
      <c r="F840" s="420"/>
      <c r="G840" s="420"/>
      <c r="H840" s="402"/>
      <c r="I840" s="402"/>
      <c r="J840" s="402"/>
      <c r="K840" s="127">
        <f>IF(AND(ISBLANK('Isian Prodi'!H286),ISBLANK('Isian Prodi'!I286),ISBLANK('Isian Prodi'!J286)),'Isian Prodi'!E286,'Isian Prodi'!K286)</f>
        <v>0</v>
      </c>
      <c r="L840" s="413"/>
      <c r="M840" s="413"/>
      <c r="N840" s="517"/>
    </row>
    <row r="841" spans="1:14" x14ac:dyDescent="0.25">
      <c r="A841" s="417"/>
      <c r="B841" s="421"/>
      <c r="C841" s="55" t="s">
        <v>453</v>
      </c>
      <c r="D841" s="55"/>
      <c r="E841" s="463"/>
      <c r="F841" s="420"/>
      <c r="G841" s="420"/>
      <c r="H841" s="402"/>
      <c r="I841" s="402"/>
      <c r="J841" s="402"/>
      <c r="K841" s="127">
        <f>IF(AND(ISBLANK('Isian Prodi'!H287),ISBLANK('Isian Prodi'!I287),ISBLANK('Isian Prodi'!J287)),'Isian Prodi'!E287,'Isian Prodi'!K287)</f>
        <v>0</v>
      </c>
      <c r="L841" s="413"/>
      <c r="M841" s="413"/>
      <c r="N841" s="517"/>
    </row>
    <row r="842" spans="1:14" x14ac:dyDescent="0.25">
      <c r="A842" s="417"/>
      <c r="B842" s="421"/>
      <c r="C842" s="55" t="s">
        <v>454</v>
      </c>
      <c r="D842" s="55"/>
      <c r="E842" s="463"/>
      <c r="F842" s="420"/>
      <c r="G842" s="420"/>
      <c r="H842" s="402"/>
      <c r="I842" s="402"/>
      <c r="J842" s="402"/>
      <c r="K842" s="127">
        <f>IF(AND(ISBLANK('Isian Prodi'!H288),ISBLANK('Isian Prodi'!I288),ISBLANK('Isian Prodi'!J288)),'Isian Prodi'!E288,'Isian Prodi'!K288)</f>
        <v>0</v>
      </c>
      <c r="L842" s="413"/>
      <c r="M842" s="413"/>
      <c r="N842" s="517"/>
    </row>
    <row r="843" spans="1:14" x14ac:dyDescent="0.25">
      <c r="A843" s="417"/>
      <c r="B843" s="421"/>
      <c r="C843" s="55" t="s">
        <v>455</v>
      </c>
      <c r="D843" s="55"/>
      <c r="E843" s="463"/>
      <c r="F843" s="420"/>
      <c r="G843" s="420"/>
      <c r="H843" s="402"/>
      <c r="I843" s="402"/>
      <c r="J843" s="402"/>
      <c r="K843" s="127">
        <f>IF(AND(ISBLANK('Isian Prodi'!H289),ISBLANK('Isian Prodi'!I289),ISBLANK('Isian Prodi'!J289)),'Isian Prodi'!E289,'Isian Prodi'!K289)</f>
        <v>0</v>
      </c>
      <c r="L843" s="413"/>
      <c r="M843" s="413"/>
      <c r="N843" s="517"/>
    </row>
    <row r="844" spans="1:14" x14ac:dyDescent="0.25">
      <c r="A844" s="417"/>
      <c r="B844" s="421"/>
      <c r="C844" s="55" t="s">
        <v>456</v>
      </c>
      <c r="D844" s="55"/>
      <c r="E844" s="463"/>
      <c r="F844" s="420"/>
      <c r="G844" s="420"/>
      <c r="H844" s="402"/>
      <c r="I844" s="402"/>
      <c r="J844" s="402"/>
      <c r="K844" s="127">
        <f>IF(AND(ISBLANK('Isian Prodi'!H290),ISBLANK('Isian Prodi'!I290),ISBLANK('Isian Prodi'!J290)),'Isian Prodi'!E290,'Isian Prodi'!K290)</f>
        <v>0</v>
      </c>
      <c r="L844" s="413"/>
      <c r="M844" s="413"/>
      <c r="N844" s="517"/>
    </row>
    <row r="845" spans="1:14" x14ac:dyDescent="0.25">
      <c r="A845" s="417"/>
      <c r="B845" s="421"/>
      <c r="C845" s="55" t="s">
        <v>457</v>
      </c>
      <c r="D845" s="55"/>
      <c r="E845" s="463"/>
      <c r="F845" s="420"/>
      <c r="G845" s="420"/>
      <c r="H845" s="402"/>
      <c r="I845" s="402"/>
      <c r="J845" s="402"/>
      <c r="K845" s="127">
        <f>IF(AND(ISBLANK('Isian Prodi'!H291),ISBLANK('Isian Prodi'!I291),ISBLANK('Isian Prodi'!J291)),'Isian Prodi'!E291,'Isian Prodi'!K291)</f>
        <v>0</v>
      </c>
      <c r="L845" s="413"/>
      <c r="M845" s="413"/>
      <c r="N845" s="517"/>
    </row>
    <row r="846" spans="1:14" x14ac:dyDescent="0.25">
      <c r="A846" s="417"/>
      <c r="B846" s="421"/>
      <c r="C846" s="55" t="s">
        <v>458</v>
      </c>
      <c r="D846" s="55"/>
      <c r="E846" s="463"/>
      <c r="F846" s="420"/>
      <c r="G846" s="420"/>
      <c r="H846" s="402"/>
      <c r="I846" s="402"/>
      <c r="J846" s="402"/>
      <c r="K846" s="127">
        <f>IF(AND(ISBLANK('Isian Prodi'!H292),ISBLANK('Isian Prodi'!I292),ISBLANK('Isian Prodi'!J292)),'Isian Prodi'!E292,'Isian Prodi'!K292)</f>
        <v>0</v>
      </c>
      <c r="L846" s="413"/>
      <c r="M846" s="413"/>
      <c r="N846" s="517"/>
    </row>
    <row r="847" spans="1:14" x14ac:dyDescent="0.25">
      <c r="A847" s="417"/>
      <c r="B847" s="421"/>
      <c r="C847" s="55" t="s">
        <v>459</v>
      </c>
      <c r="D847" s="55"/>
      <c r="E847" s="463"/>
      <c r="F847" s="420"/>
      <c r="G847" s="420"/>
      <c r="H847" s="402"/>
      <c r="I847" s="402"/>
      <c r="J847" s="402"/>
      <c r="K847" s="127">
        <f>IF(AND(ISBLANK('Isian Prodi'!P35),ISBLANK('Isian Prodi'!Q35)),'Isian Prodi'!B45,'Isian Prodi'!F45)</f>
        <v>0</v>
      </c>
      <c r="L847" s="413"/>
      <c r="M847" s="413"/>
      <c r="N847" s="517"/>
    </row>
    <row r="848" spans="1:14" x14ac:dyDescent="0.25">
      <c r="A848" s="417"/>
      <c r="B848" s="421"/>
      <c r="C848" s="55" t="s">
        <v>462</v>
      </c>
      <c r="D848" s="55"/>
      <c r="E848" s="463"/>
      <c r="F848" s="420"/>
      <c r="G848" s="420"/>
      <c r="H848" s="402"/>
      <c r="I848" s="402"/>
      <c r="J848" s="402"/>
      <c r="K848" s="133">
        <f>IF(K847&gt;0,(K840+K843+K846)/K847,0)</f>
        <v>0</v>
      </c>
      <c r="L848" s="413"/>
      <c r="M848" s="413"/>
      <c r="N848" s="517"/>
    </row>
    <row r="849" spans="1:14" x14ac:dyDescent="0.25">
      <c r="A849" s="417"/>
      <c r="B849" s="421"/>
      <c r="C849" s="55" t="s">
        <v>463</v>
      </c>
      <c r="D849" s="55"/>
      <c r="E849" s="463"/>
      <c r="F849" s="420"/>
      <c r="G849" s="420"/>
      <c r="H849" s="402"/>
      <c r="I849" s="402"/>
      <c r="J849" s="402"/>
      <c r="K849" s="133">
        <f>IF(K847&gt;0,(K838+K839+K842+K845)/K847,0)</f>
        <v>0</v>
      </c>
      <c r="L849" s="413"/>
      <c r="M849" s="413"/>
      <c r="N849" s="517"/>
    </row>
    <row r="850" spans="1:14" x14ac:dyDescent="0.25">
      <c r="A850" s="417"/>
      <c r="B850" s="421"/>
      <c r="C850" s="55" t="s">
        <v>464</v>
      </c>
      <c r="D850" s="55"/>
      <c r="E850" s="464"/>
      <c r="F850" s="420"/>
      <c r="G850" s="420"/>
      <c r="H850" s="403"/>
      <c r="I850" s="403"/>
      <c r="J850" s="403"/>
      <c r="K850" s="133">
        <f>IF(K847&gt;0,(K837+K841+K844)/K847,0)</f>
        <v>0</v>
      </c>
      <c r="L850" s="413"/>
      <c r="M850" s="413"/>
      <c r="N850" s="517"/>
    </row>
    <row r="851" spans="1:14" ht="15" hidden="1" customHeight="1" x14ac:dyDescent="0.25">
      <c r="A851" s="417"/>
      <c r="B851" s="421"/>
      <c r="C851" s="74" t="s">
        <v>104</v>
      </c>
      <c r="D851" s="97">
        <v>0.02</v>
      </c>
      <c r="E851" s="55"/>
      <c r="F851" s="420"/>
      <c r="G851" s="420"/>
      <c r="H851" s="85"/>
      <c r="I851" s="85"/>
      <c r="J851" s="85"/>
      <c r="K851" s="119"/>
      <c r="L851" s="413"/>
      <c r="M851" s="413"/>
      <c r="N851" s="517"/>
    </row>
    <row r="852" spans="1:14" ht="15" hidden="1" customHeight="1" x14ac:dyDescent="0.25">
      <c r="A852" s="417"/>
      <c r="B852" s="421"/>
      <c r="C852" s="74" t="s">
        <v>105</v>
      </c>
      <c r="D852" s="97">
        <v>0.2</v>
      </c>
      <c r="E852" s="55"/>
      <c r="F852" s="420"/>
      <c r="G852" s="420"/>
      <c r="H852" s="85"/>
      <c r="I852" s="85"/>
      <c r="J852" s="85"/>
      <c r="K852" s="119"/>
      <c r="L852" s="413"/>
      <c r="M852" s="413"/>
      <c r="N852" s="517"/>
    </row>
    <row r="853" spans="1:14" ht="15" hidden="1" customHeight="1" x14ac:dyDescent="0.25">
      <c r="A853" s="417"/>
      <c r="B853" s="421"/>
      <c r="C853" s="74" t="s">
        <v>106</v>
      </c>
      <c r="D853" s="97">
        <v>0.7</v>
      </c>
      <c r="E853" s="55"/>
      <c r="F853" s="420"/>
      <c r="G853" s="420"/>
      <c r="H853" s="85"/>
      <c r="I853" s="85"/>
      <c r="J853" s="85"/>
      <c r="K853" s="119"/>
      <c r="L853" s="413"/>
      <c r="M853" s="413"/>
      <c r="N853" s="517"/>
    </row>
    <row r="854" spans="1:14" ht="15" hidden="1" customHeight="1" x14ac:dyDescent="0.25">
      <c r="A854" s="417"/>
      <c r="B854" s="421"/>
      <c r="C854" s="74"/>
      <c r="D854" s="86" t="s">
        <v>408</v>
      </c>
      <c r="E854" s="55"/>
      <c r="F854" s="420"/>
      <c r="G854" s="420"/>
      <c r="H854" s="85"/>
      <c r="I854" s="85"/>
      <c r="J854" s="85"/>
      <c r="K854" s="120" t="str">
        <f>IF(K848&gt;=D851,"YES","NO")</f>
        <v>NO</v>
      </c>
      <c r="L854" s="413"/>
      <c r="M854" s="413"/>
      <c r="N854" s="517"/>
    </row>
    <row r="855" spans="1:14" ht="15" hidden="1" customHeight="1" x14ac:dyDescent="0.25">
      <c r="A855" s="417"/>
      <c r="B855" s="421"/>
      <c r="C855" s="74"/>
      <c r="D855" s="86" t="s">
        <v>409</v>
      </c>
      <c r="E855" s="55"/>
      <c r="F855" s="420"/>
      <c r="G855" s="420"/>
      <c r="H855" s="85"/>
      <c r="I855" s="85"/>
      <c r="J855" s="85"/>
      <c r="K855" s="120" t="str">
        <f>IF(AND(K848&lt;D851,K849&gt;=D852),"YES","NO")</f>
        <v>NO</v>
      </c>
      <c r="L855" s="413"/>
      <c r="M855" s="413"/>
      <c r="N855" s="517"/>
    </row>
    <row r="856" spans="1:14" ht="15" hidden="1" customHeight="1" x14ac:dyDescent="0.25">
      <c r="A856" s="417"/>
      <c r="B856" s="421"/>
      <c r="C856" s="74"/>
      <c r="D856" s="86" t="s">
        <v>410</v>
      </c>
      <c r="E856" s="55"/>
      <c r="F856" s="420"/>
      <c r="G856" s="420"/>
      <c r="H856" s="85"/>
      <c r="I856" s="85"/>
      <c r="J856" s="85"/>
      <c r="K856" s="120" t="str">
        <f>IF(OR(AND(K848&gt;0,K848&lt;D851,K849=0),AND(K849&gt;0,K849&lt;D852,K848=0),AND(K848&gt;0,K848&lt;D851,K849&gt;0,K849&lt;D852)),"YES","NO")</f>
        <v>NO</v>
      </c>
      <c r="L856" s="413"/>
      <c r="M856" s="413"/>
      <c r="N856" s="517"/>
    </row>
    <row r="857" spans="1:14" ht="15" hidden="1" customHeight="1" x14ac:dyDescent="0.25">
      <c r="A857" s="417"/>
      <c r="B857" s="421"/>
      <c r="C857" s="74"/>
      <c r="D857" s="86" t="s">
        <v>460</v>
      </c>
      <c r="E857" s="55"/>
      <c r="F857" s="420"/>
      <c r="G857" s="420"/>
      <c r="H857" s="85"/>
      <c r="I857" s="85"/>
      <c r="J857" s="85"/>
      <c r="K857" s="120" t="str">
        <f>IF(AND(K848=0,K849=0,K850&gt;=D853),"YES","NO")</f>
        <v>NO</v>
      </c>
      <c r="L857" s="413"/>
      <c r="M857" s="413"/>
      <c r="N857" s="517"/>
    </row>
    <row r="858" spans="1:14" ht="15" hidden="1" customHeight="1" x14ac:dyDescent="0.25">
      <c r="A858" s="417"/>
      <c r="B858" s="421"/>
      <c r="C858" s="74"/>
      <c r="D858" s="86" t="s">
        <v>461</v>
      </c>
      <c r="E858" s="55"/>
      <c r="F858" s="420"/>
      <c r="G858" s="420"/>
      <c r="H858" s="85"/>
      <c r="I858" s="85"/>
      <c r="J858" s="85"/>
      <c r="K858" s="120" t="str">
        <f>IF(AND(K848=0,K849=0,K850&lt;D853),"YES","NO")</f>
        <v>YES</v>
      </c>
      <c r="L858" s="413"/>
      <c r="M858" s="413"/>
      <c r="N858" s="517"/>
    </row>
    <row r="859" spans="1:14" x14ac:dyDescent="0.25">
      <c r="A859" s="417"/>
      <c r="B859" s="421"/>
      <c r="C859" s="419" t="s">
        <v>6</v>
      </c>
      <c r="D859" s="419"/>
      <c r="E859" s="419"/>
      <c r="F859" s="419"/>
      <c r="G859" s="64"/>
      <c r="H859" s="64"/>
      <c r="I859" s="64"/>
      <c r="J859" s="64"/>
      <c r="K859" s="126">
        <f>IF(K854="YES",4,IF(K855="YES",3+K848/D851,IF(K856="YES",2+2*K848/D851+K849/D852-(K848*K849)/(D851*D852),IF(K857="YES",2,2*K850/D853))))</f>
        <v>0</v>
      </c>
      <c r="L859" s="413"/>
      <c r="M859" s="413"/>
      <c r="N859" s="517"/>
    </row>
    <row r="860" spans="1:14" x14ac:dyDescent="0.25">
      <c r="A860" s="67"/>
      <c r="B860" s="9"/>
      <c r="C860" s="43"/>
      <c r="D860" s="43"/>
      <c r="E860" s="43"/>
      <c r="F860" s="43"/>
      <c r="G860" s="43"/>
      <c r="H860" s="43"/>
      <c r="I860" s="43"/>
      <c r="J860" s="43"/>
      <c r="K860" s="79"/>
      <c r="L860" s="8"/>
      <c r="M860" s="8"/>
      <c r="N860" s="8"/>
    </row>
    <row r="861" spans="1:14" ht="30" customHeight="1" x14ac:dyDescent="0.25">
      <c r="A861" s="417">
        <f>A836+1</f>
        <v>59</v>
      </c>
      <c r="B861" s="418"/>
      <c r="C861" s="395" t="s">
        <v>923</v>
      </c>
      <c r="D861" s="395"/>
      <c r="E861" s="382" t="s">
        <v>1775</v>
      </c>
      <c r="F861" s="414" t="s">
        <v>1130</v>
      </c>
      <c r="G861" s="414" t="s">
        <v>1131</v>
      </c>
      <c r="H861" s="34" t="s">
        <v>582</v>
      </c>
      <c r="I861" s="34">
        <v>1</v>
      </c>
      <c r="J861" s="109" t="str">
        <f>IF((IF(OR((H861&amp;"."&amp;I861)=$R$8,(H861&amp;"."&amp;I861)=$S$8,(H861&amp;"."&amp;I861)=$T$8,(H861&amp;"."&amp;I861)=$U$8,(H861&amp;"."&amp;I861)=$V$8,(H861&amp;"."&amp;I861)=$W$8),1,0))=1,"EKSTREM",IF((IF(OR((H861&amp;"."&amp;I861)=$R$9,(H861&amp;"."&amp;I861)=$S$9,(H861&amp;"."&amp;I861)=$T$9,(H861&amp;"."&amp;I861)=$U$9,(H861&amp;"."&amp;I861)=$V$9,(H861&amp;"."&amp;I861)=$W$9,(H861&amp;"."&amp;I861)=$X$9),1,0))=1,"TINGGI",IF((IF(OR((H861&amp;"."&amp;I861)=$R$10,(H861&amp;"."&amp;I861)=$S$10,(H861&amp;"."&amp;I861)=$T$10,(H861&amp;"."&amp;I861)=$U$10,(H861&amp;"."&amp;I861)=$V$10,(H861&amp;"."&amp;I861)=$W$10),1,0))=1,"MODERAT",IF((IF(OR((H861&amp;"."&amp;I861)=$R$11,(H861&amp;"."&amp;I861)=$S$11,(H861&amp;"."&amp;I861)=$T$11,(H861&amp;"."&amp;I861)=$U$11,(H861&amp;"."&amp;I861)=$V$11,(H861&amp;"."&amp;I861)=$W$11),1,0))=1,"RENDAH","-"))))</f>
        <v>RENDAH</v>
      </c>
      <c r="K861" s="50"/>
      <c r="L861" s="413" t="s">
        <v>1132</v>
      </c>
      <c r="M861" s="413" t="s">
        <v>1133</v>
      </c>
      <c r="N861" s="517"/>
    </row>
    <row r="862" spans="1:14" ht="15" customHeight="1" x14ac:dyDescent="0.25">
      <c r="A862" s="417"/>
      <c r="B862" s="418"/>
      <c r="C862" s="419" t="s">
        <v>925</v>
      </c>
      <c r="D862" s="419"/>
      <c r="E862" s="382"/>
      <c r="F862" s="416"/>
      <c r="G862" s="416"/>
      <c r="H862" s="50"/>
      <c r="I862" s="50"/>
      <c r="J862" s="50"/>
      <c r="K862" s="114">
        <f>IF(ISBLANK('Isian Prodi'!E311),'Isian Prodi'!B311,'Isian Prodi'!E311)</f>
        <v>0</v>
      </c>
      <c r="L862" s="413"/>
      <c r="M862" s="413"/>
      <c r="N862" s="517"/>
    </row>
    <row r="863" spans="1:14" x14ac:dyDescent="0.25">
      <c r="A863" s="417"/>
      <c r="B863" s="418"/>
      <c r="C863" s="419" t="s">
        <v>6</v>
      </c>
      <c r="D863" s="419"/>
      <c r="E863" s="419"/>
      <c r="F863" s="419"/>
      <c r="G863" s="64"/>
      <c r="H863" s="64"/>
      <c r="I863" s="64"/>
      <c r="J863" s="64"/>
      <c r="K863" s="114">
        <f>IF(K862&gt;=2,4,IF(K862=1,3,2))</f>
        <v>2</v>
      </c>
      <c r="L863" s="413"/>
      <c r="M863" s="413"/>
      <c r="N863" s="517"/>
    </row>
    <row r="864" spans="1:14" x14ac:dyDescent="0.25">
      <c r="N864" s="1"/>
    </row>
    <row r="865" spans="1:14" ht="45" hidden="1" customHeight="1" x14ac:dyDescent="0.25">
      <c r="A865" s="417"/>
      <c r="B865" s="445"/>
      <c r="C865" s="395" t="s">
        <v>897</v>
      </c>
      <c r="D865" s="395"/>
      <c r="E865" s="382" t="s">
        <v>974</v>
      </c>
      <c r="F865" s="414" t="s">
        <v>877</v>
      </c>
      <c r="G865" s="414" t="s">
        <v>878</v>
      </c>
      <c r="H865" s="34" t="s">
        <v>582</v>
      </c>
      <c r="I865" s="34">
        <v>1</v>
      </c>
      <c r="J865" s="35" t="str">
        <f>IF((IF(OR((H865&amp;"."&amp;I865)=$R$8,(H865&amp;"."&amp;I865)=$S$8,(H865&amp;"."&amp;I865)=$T$8,(H865&amp;"."&amp;I865)=$U$8,(H865&amp;"."&amp;I865)=$V$8,(H865&amp;"."&amp;I865)=$W$8),1,0))=1,"EKSTREM",IF((IF(OR((H865&amp;"."&amp;I865)=$R$9,(H865&amp;"."&amp;I865)=$S$9,(H865&amp;"."&amp;I865)=$T$9,(H865&amp;"."&amp;I865)=$U$9,(H865&amp;"."&amp;I865)=$V$9,(H865&amp;"."&amp;I865)=$W$9,(H865&amp;"."&amp;I865)=$X$9),1,0))=1,"TINGGI",IF((IF(OR((H865&amp;"."&amp;I865)=$R$10,(H865&amp;"."&amp;I865)=$S$10,(H865&amp;"."&amp;I865)=$T$10,(H865&amp;"."&amp;I865)=$U$10,(H865&amp;"."&amp;I865)=$V$10,(H865&amp;"."&amp;I865)=$W$10),1,0))=1,"MODERAT",IF((IF(OR((H865&amp;"."&amp;I865)=$R$11,(H865&amp;"."&amp;I865)=$S$11,(H865&amp;"."&amp;I865)=$T$11,(H865&amp;"."&amp;I865)=$U$11,(H865&amp;"."&amp;I865)=$V$11,(H865&amp;"."&amp;I865)=$W$11),1,0))=1,"RENDAH","-"))))</f>
        <v>RENDAH</v>
      </c>
      <c r="K865" s="50"/>
      <c r="L865" s="413" t="s">
        <v>1022</v>
      </c>
      <c r="M865" s="413" t="s">
        <v>1023</v>
      </c>
      <c r="N865" s="413"/>
    </row>
    <row r="866" spans="1:14" ht="30" hidden="1" customHeight="1" x14ac:dyDescent="0.25">
      <c r="A866" s="417"/>
      <c r="B866" s="445"/>
      <c r="C866" s="422" t="s">
        <v>898</v>
      </c>
      <c r="D866" s="422"/>
      <c r="E866" s="419"/>
      <c r="F866" s="416"/>
      <c r="G866" s="416"/>
      <c r="H866" s="50"/>
      <c r="I866" s="50"/>
      <c r="J866" s="50"/>
      <c r="K866" s="65">
        <f>'Isian Prodi'!E316</f>
        <v>0</v>
      </c>
      <c r="L866" s="413"/>
      <c r="M866" s="413"/>
      <c r="N866" s="413"/>
    </row>
    <row r="867" spans="1:14" hidden="1" x14ac:dyDescent="0.25">
      <c r="A867" s="417"/>
      <c r="B867" s="445"/>
      <c r="C867" s="419" t="s">
        <v>6</v>
      </c>
      <c r="D867" s="419"/>
      <c r="E867" s="419"/>
      <c r="F867" s="419"/>
      <c r="G867" s="64"/>
      <c r="H867" s="64"/>
      <c r="I867" s="64"/>
      <c r="J867" s="64"/>
      <c r="K867" s="65">
        <f>IF(K866&gt;=2,4,IF(K866=1,3,2))</f>
        <v>2</v>
      </c>
      <c r="L867" s="413"/>
      <c r="M867" s="413"/>
      <c r="N867" s="413"/>
    </row>
    <row r="868" spans="1:14" hidden="1" x14ac:dyDescent="0.25">
      <c r="N868" s="1"/>
    </row>
    <row r="869" spans="1:14" ht="30.75" customHeight="1" x14ac:dyDescent="0.25">
      <c r="A869" s="417">
        <v>60</v>
      </c>
      <c r="B869" s="418"/>
      <c r="C869" s="395" t="s">
        <v>800</v>
      </c>
      <c r="D869" s="395"/>
      <c r="E869" s="438" t="s">
        <v>1777</v>
      </c>
      <c r="F869" s="420" t="s">
        <v>1130</v>
      </c>
      <c r="G869" s="420" t="s">
        <v>1131</v>
      </c>
      <c r="H869" s="34" t="s">
        <v>582</v>
      </c>
      <c r="I869" s="34">
        <v>1</v>
      </c>
      <c r="J869" s="109" t="str">
        <f>IF((IF(OR((H869&amp;"."&amp;I869)=$R$8,(H869&amp;"."&amp;I869)=$S$8,(H869&amp;"."&amp;I869)=$T$8,(H869&amp;"."&amp;I869)=$U$8,(H869&amp;"."&amp;I869)=$V$8,(H869&amp;"."&amp;I869)=$W$8),1,0))=1,"EKSTREM",IF((IF(OR((H869&amp;"."&amp;I869)=$R$9,(H869&amp;"."&amp;I869)=$S$9,(H869&amp;"."&amp;I869)=$T$9,(H869&amp;"."&amp;I869)=$U$9,(H869&amp;"."&amp;I869)=$V$9,(H869&amp;"."&amp;I869)=$W$9,(H869&amp;"."&amp;I869)=$X$9),1,0))=1,"TINGGI",IF((IF(OR((H869&amp;"."&amp;I869)=$R$10,(H869&amp;"."&amp;I869)=$S$10,(H869&amp;"."&amp;I869)=$T$10,(H869&amp;"."&amp;I869)=$U$10,(H869&amp;"."&amp;I869)=$V$10,(H869&amp;"."&amp;I869)=$W$10),1,0))=1,"MODERAT",IF((IF(OR((H869&amp;"."&amp;I869)=$R$11,(H869&amp;"."&amp;I869)=$S$11,(H869&amp;"."&amp;I869)=$T$11,(H869&amp;"."&amp;I869)=$U$11,(H869&amp;"."&amp;I869)=$V$11,(H869&amp;"."&amp;I869)=$W$11),1,0))=1,"RENDAH","-"))))</f>
        <v>RENDAH</v>
      </c>
      <c r="K869" s="50"/>
      <c r="L869" s="413" t="s">
        <v>1132</v>
      </c>
      <c r="M869" s="413" t="s">
        <v>1133</v>
      </c>
      <c r="N869" s="517"/>
    </row>
    <row r="870" spans="1:14" ht="30" customHeight="1" x14ac:dyDescent="0.25">
      <c r="A870" s="417"/>
      <c r="B870" s="418"/>
      <c r="C870" s="437" t="s">
        <v>479</v>
      </c>
      <c r="D870" s="437"/>
      <c r="E870" s="438"/>
      <c r="F870" s="420"/>
      <c r="G870" s="420"/>
      <c r="H870" s="401"/>
      <c r="I870" s="401"/>
      <c r="J870" s="401"/>
      <c r="K870" s="127">
        <f>IF(AND(ISBLANK('Isian Prodi'!H322),ISBLANK('Isian Prodi'!I322),ISBLANK('Isian Prodi'!J322)),'Isian Prodi'!E322,'Isian Prodi'!K322)</f>
        <v>0</v>
      </c>
      <c r="L870" s="413"/>
      <c r="M870" s="413"/>
      <c r="N870" s="517"/>
    </row>
    <row r="871" spans="1:14" ht="45" customHeight="1" x14ac:dyDescent="0.25">
      <c r="A871" s="417"/>
      <c r="B871" s="418"/>
      <c r="C871" s="437" t="s">
        <v>480</v>
      </c>
      <c r="D871" s="437"/>
      <c r="E871" s="438"/>
      <c r="F871" s="420"/>
      <c r="G871" s="420"/>
      <c r="H871" s="402"/>
      <c r="I871" s="402"/>
      <c r="J871" s="402"/>
      <c r="K871" s="127">
        <f>IF(AND(ISBLANK('Isian Prodi'!H323),ISBLANK('Isian Prodi'!I323),ISBLANK('Isian Prodi'!J323)),'Isian Prodi'!E323,'Isian Prodi'!K323)</f>
        <v>0</v>
      </c>
      <c r="L871" s="413"/>
      <c r="M871" s="413"/>
      <c r="N871" s="517"/>
    </row>
    <row r="872" spans="1:14" ht="45" customHeight="1" x14ac:dyDescent="0.25">
      <c r="A872" s="417"/>
      <c r="B872" s="418"/>
      <c r="C872" s="437" t="s">
        <v>481</v>
      </c>
      <c r="D872" s="437"/>
      <c r="E872" s="438"/>
      <c r="F872" s="420"/>
      <c r="G872" s="420"/>
      <c r="H872" s="402"/>
      <c r="I872" s="402"/>
      <c r="J872" s="402"/>
      <c r="K872" s="127">
        <f>IF(AND(ISBLANK('Isian Prodi'!H324),ISBLANK('Isian Prodi'!I324),ISBLANK('Isian Prodi'!J324)),'Isian Prodi'!E324,'Isian Prodi'!K324)</f>
        <v>0</v>
      </c>
      <c r="L872" s="413"/>
      <c r="M872" s="413"/>
      <c r="N872" s="517"/>
    </row>
    <row r="873" spans="1:14" ht="30" customHeight="1" x14ac:dyDescent="0.25">
      <c r="A873" s="417"/>
      <c r="B873" s="418"/>
      <c r="C873" s="437" t="s">
        <v>482</v>
      </c>
      <c r="D873" s="437"/>
      <c r="E873" s="438"/>
      <c r="F873" s="420"/>
      <c r="G873" s="420"/>
      <c r="H873" s="402"/>
      <c r="I873" s="402"/>
      <c r="J873" s="402"/>
      <c r="K873" s="127">
        <f>IF(AND(ISBLANK('Isian Prodi'!H325),ISBLANK('Isian Prodi'!I325),ISBLANK('Isian Prodi'!J325)),'Isian Prodi'!E325,'Isian Prodi'!K325)</f>
        <v>0</v>
      </c>
      <c r="L873" s="413"/>
      <c r="M873" s="413"/>
      <c r="N873" s="517"/>
    </row>
    <row r="874" spans="1:14" x14ac:dyDescent="0.25">
      <c r="A874" s="417"/>
      <c r="B874" s="418"/>
      <c r="C874" s="437" t="s">
        <v>483</v>
      </c>
      <c r="D874" s="437"/>
      <c r="E874" s="438"/>
      <c r="F874" s="420"/>
      <c r="G874" s="420"/>
      <c r="H874" s="403"/>
      <c r="I874" s="403"/>
      <c r="J874" s="403"/>
      <c r="K874" s="125">
        <f>2*(K870+K871+K872)+K873</f>
        <v>0</v>
      </c>
      <c r="L874" s="413"/>
      <c r="M874" s="413"/>
      <c r="N874" s="517"/>
    </row>
    <row r="875" spans="1:14" ht="15" hidden="1" customHeight="1" x14ac:dyDescent="0.25">
      <c r="A875" s="417"/>
      <c r="B875" s="418"/>
      <c r="C875" s="88" t="s">
        <v>384</v>
      </c>
      <c r="D875" s="86">
        <v>2</v>
      </c>
      <c r="E875" s="438"/>
      <c r="F875" s="420"/>
      <c r="G875" s="420"/>
      <c r="H875" s="102"/>
      <c r="I875" s="102"/>
      <c r="J875" s="102"/>
      <c r="K875" s="119"/>
      <c r="L875" s="413"/>
      <c r="M875" s="413"/>
      <c r="N875" s="517"/>
    </row>
    <row r="876" spans="1:14" x14ac:dyDescent="0.25">
      <c r="A876" s="417"/>
      <c r="B876" s="418"/>
      <c r="C876" s="419" t="s">
        <v>6</v>
      </c>
      <c r="D876" s="419"/>
      <c r="E876" s="419"/>
      <c r="F876" s="419"/>
      <c r="G876" s="64"/>
      <c r="H876" s="64"/>
      <c r="I876" s="64"/>
      <c r="J876" s="64"/>
      <c r="K876" s="126">
        <f>IF(K874&gt;=D875,4,2+2/D875*K874)</f>
        <v>2</v>
      </c>
      <c r="L876" s="413"/>
      <c r="M876" s="413"/>
      <c r="N876" s="517"/>
    </row>
    <row r="877" spans="1:14" x14ac:dyDescent="0.25">
      <c r="N877" s="1"/>
    </row>
    <row r="878" spans="1:14" ht="15" customHeight="1" x14ac:dyDescent="0.25">
      <c r="A878" s="417">
        <f>A869+1</f>
        <v>61</v>
      </c>
      <c r="B878" s="444" t="s">
        <v>547</v>
      </c>
      <c r="C878" s="422" t="s">
        <v>548</v>
      </c>
      <c r="D878" s="422"/>
      <c r="E878" s="382" t="s">
        <v>1771</v>
      </c>
      <c r="F878" s="420" t="s">
        <v>1130</v>
      </c>
      <c r="G878" s="414" t="s">
        <v>1131</v>
      </c>
      <c r="H878" s="34" t="s">
        <v>582</v>
      </c>
      <c r="I878" s="34">
        <v>1</v>
      </c>
      <c r="J878" s="109" t="str">
        <f>IF((IF(OR((H878&amp;"."&amp;I878)=$R$8,(H878&amp;"."&amp;I878)=$S$8,(H878&amp;"."&amp;I878)=$T$8,(H878&amp;"."&amp;I878)=$U$8,(H878&amp;"."&amp;I878)=$V$8,(H878&amp;"."&amp;I878)=$W$8),1,0))=1,"EKSTREM",IF((IF(OR((H878&amp;"."&amp;I878)=$R$9,(H878&amp;"."&amp;I878)=$S$9,(H878&amp;"."&amp;I878)=$T$9,(H878&amp;"."&amp;I878)=$U$9,(H878&amp;"."&amp;I878)=$V$9,(H878&amp;"."&amp;I878)=$W$9,(H878&amp;"."&amp;I878)=$X$9),1,0))=1,"TINGGI",IF((IF(OR((H878&amp;"."&amp;I878)=$R$10,(H878&amp;"."&amp;I878)=$S$10,(H878&amp;"."&amp;I878)=$T$10,(H878&amp;"."&amp;I878)=$U$10,(H878&amp;"."&amp;I878)=$V$10,(H878&amp;"."&amp;I878)=$W$10),1,0))=1,"MODERAT",IF((IF(OR((H878&amp;"."&amp;I878)=$R$11,(H878&amp;"."&amp;I878)=$S$11,(H878&amp;"."&amp;I878)=$T$11,(H878&amp;"."&amp;I878)=$U$11,(H878&amp;"."&amp;I878)=$V$11,(H878&amp;"."&amp;I878)=$W$11),1,0))=1,"RENDAH","-"))))</f>
        <v>RENDAH</v>
      </c>
      <c r="K878" s="36">
        <v>0</v>
      </c>
      <c r="L878" s="413" t="s">
        <v>1132</v>
      </c>
      <c r="M878" s="413" t="s">
        <v>1133</v>
      </c>
      <c r="N878" s="517"/>
    </row>
    <row r="879" spans="1:14" ht="165" x14ac:dyDescent="0.25">
      <c r="A879" s="417"/>
      <c r="B879" s="444"/>
      <c r="C879" s="103">
        <v>4</v>
      </c>
      <c r="D879" s="82" t="s">
        <v>549</v>
      </c>
      <c r="E879" s="382"/>
      <c r="F879" s="420"/>
      <c r="G879" s="415"/>
      <c r="H879" s="401"/>
      <c r="I879" s="401"/>
      <c r="J879" s="401"/>
      <c r="K879" s="401"/>
      <c r="L879" s="413"/>
      <c r="M879" s="413"/>
      <c r="N879" s="517"/>
    </row>
    <row r="880" spans="1:14" ht="165" x14ac:dyDescent="0.25">
      <c r="A880" s="417"/>
      <c r="B880" s="444"/>
      <c r="C880" s="103">
        <v>3</v>
      </c>
      <c r="D880" s="82" t="s">
        <v>550</v>
      </c>
      <c r="E880" s="382"/>
      <c r="F880" s="420"/>
      <c r="G880" s="415"/>
      <c r="H880" s="402"/>
      <c r="I880" s="402"/>
      <c r="J880" s="402"/>
      <c r="K880" s="402"/>
      <c r="L880" s="413"/>
      <c r="M880" s="413"/>
      <c r="N880" s="517"/>
    </row>
    <row r="881" spans="1:14" ht="150" x14ac:dyDescent="0.25">
      <c r="A881" s="417"/>
      <c r="B881" s="444"/>
      <c r="C881" s="103">
        <v>2</v>
      </c>
      <c r="D881" s="82" t="s">
        <v>551</v>
      </c>
      <c r="E881" s="382"/>
      <c r="F881" s="420"/>
      <c r="G881" s="415"/>
      <c r="H881" s="402"/>
      <c r="I881" s="402"/>
      <c r="J881" s="402"/>
      <c r="K881" s="402"/>
      <c r="L881" s="413"/>
      <c r="M881" s="413"/>
      <c r="N881" s="517"/>
    </row>
    <row r="882" spans="1:14" ht="135" x14ac:dyDescent="0.25">
      <c r="A882" s="417"/>
      <c r="B882" s="444"/>
      <c r="C882" s="103">
        <v>1</v>
      </c>
      <c r="D882" s="82" t="s">
        <v>552</v>
      </c>
      <c r="E882" s="382"/>
      <c r="F882" s="420"/>
      <c r="G882" s="415"/>
      <c r="H882" s="402"/>
      <c r="I882" s="402"/>
      <c r="J882" s="402"/>
      <c r="K882" s="402"/>
      <c r="L882" s="413"/>
      <c r="M882" s="413"/>
      <c r="N882" s="517"/>
    </row>
    <row r="883" spans="1:14" x14ac:dyDescent="0.25">
      <c r="A883" s="417"/>
      <c r="B883" s="444"/>
      <c r="C883" s="103">
        <v>0</v>
      </c>
      <c r="D883" s="82" t="s">
        <v>553</v>
      </c>
      <c r="E883" s="382"/>
      <c r="F883" s="420"/>
      <c r="G883" s="416"/>
      <c r="H883" s="403"/>
      <c r="I883" s="403"/>
      <c r="J883" s="403"/>
      <c r="K883" s="403"/>
      <c r="L883" s="413"/>
      <c r="M883" s="413"/>
      <c r="N883" s="517"/>
    </row>
    <row r="884" spans="1:14" x14ac:dyDescent="0.25">
      <c r="A884" s="417"/>
      <c r="B884" s="444"/>
      <c r="C884" s="419" t="s">
        <v>6</v>
      </c>
      <c r="D884" s="419"/>
      <c r="E884" s="419"/>
      <c r="F884" s="419"/>
      <c r="G884" s="64"/>
      <c r="H884" s="64"/>
      <c r="I884" s="64"/>
      <c r="J884" s="64"/>
      <c r="K884" s="110">
        <f>IF(OR(ISBLANK(K878),K878&lt;0,K878&gt;4),0,K878)</f>
        <v>0</v>
      </c>
      <c r="L884" s="413"/>
      <c r="M884" s="413"/>
      <c r="N884" s="517"/>
    </row>
    <row r="885" spans="1:14" x14ac:dyDescent="0.25">
      <c r="A885" s="104"/>
      <c r="B885" s="104"/>
      <c r="C885" s="105"/>
      <c r="D885" s="106"/>
      <c r="N885" s="1"/>
    </row>
    <row r="886" spans="1:14" ht="15" customHeight="1" x14ac:dyDescent="0.25">
      <c r="A886" s="417">
        <f>A878+1</f>
        <v>62</v>
      </c>
      <c r="B886" s="444" t="s">
        <v>554</v>
      </c>
      <c r="C886" s="422" t="s">
        <v>555</v>
      </c>
      <c r="D886" s="422"/>
      <c r="E886" s="382" t="s">
        <v>1719</v>
      </c>
      <c r="F886" s="420" t="s">
        <v>1130</v>
      </c>
      <c r="G886" s="414" t="s">
        <v>1131</v>
      </c>
      <c r="H886" s="34" t="s">
        <v>582</v>
      </c>
      <c r="I886" s="34">
        <v>1</v>
      </c>
      <c r="J886" s="109" t="str">
        <f>IF((IF(OR((H886&amp;"."&amp;I886)=$R$8,(H886&amp;"."&amp;I886)=$S$8,(H886&amp;"."&amp;I886)=$T$8,(H886&amp;"."&amp;I886)=$U$8,(H886&amp;"."&amp;I886)=$V$8,(H886&amp;"."&amp;I886)=$W$8),1,0))=1,"EKSTREM",IF((IF(OR((H886&amp;"."&amp;I886)=$R$9,(H886&amp;"."&amp;I886)=$S$9,(H886&amp;"."&amp;I886)=$T$9,(H886&amp;"."&amp;I886)=$U$9,(H886&amp;"."&amp;I886)=$V$9,(H886&amp;"."&amp;I886)=$W$9,(H886&amp;"."&amp;I886)=$X$9),1,0))=1,"TINGGI",IF((IF(OR((H886&amp;"."&amp;I886)=$R$10,(H886&amp;"."&amp;I886)=$S$10,(H886&amp;"."&amp;I886)=$T$10,(H886&amp;"."&amp;I886)=$U$10,(H886&amp;"."&amp;I886)=$V$10,(H886&amp;"."&amp;I886)=$W$10),1,0))=1,"MODERAT",IF((IF(OR((H886&amp;"."&amp;I886)=$R$11,(H886&amp;"."&amp;I886)=$S$11,(H886&amp;"."&amp;I886)=$T$11,(H886&amp;"."&amp;I886)=$U$11,(H886&amp;"."&amp;I886)=$V$11,(H886&amp;"."&amp;I886)=$W$11),1,0))=1,"RENDAH","-"))))</f>
        <v>RENDAH</v>
      </c>
      <c r="K886" s="36">
        <v>0</v>
      </c>
      <c r="L886" s="413" t="s">
        <v>1132</v>
      </c>
      <c r="M886" s="413" t="s">
        <v>1133</v>
      </c>
      <c r="N886" s="517"/>
    </row>
    <row r="887" spans="1:14" ht="150" x14ac:dyDescent="0.25">
      <c r="A887" s="417"/>
      <c r="B887" s="444"/>
      <c r="C887" s="103">
        <v>4</v>
      </c>
      <c r="D887" s="82" t="s">
        <v>556</v>
      </c>
      <c r="E887" s="382"/>
      <c r="F887" s="420"/>
      <c r="G887" s="415"/>
      <c r="H887" s="401"/>
      <c r="I887" s="401"/>
      <c r="J887" s="401"/>
      <c r="K887" s="401"/>
      <c r="L887" s="413"/>
      <c r="M887" s="413"/>
      <c r="N887" s="517"/>
    </row>
    <row r="888" spans="1:14" ht="135" x14ac:dyDescent="0.25">
      <c r="A888" s="417"/>
      <c r="B888" s="444"/>
      <c r="C888" s="103">
        <v>3</v>
      </c>
      <c r="D888" s="82" t="s">
        <v>557</v>
      </c>
      <c r="E888" s="382"/>
      <c r="F888" s="420"/>
      <c r="G888" s="415"/>
      <c r="H888" s="402"/>
      <c r="I888" s="402"/>
      <c r="J888" s="402"/>
      <c r="K888" s="402"/>
      <c r="L888" s="413"/>
      <c r="M888" s="413"/>
      <c r="N888" s="517"/>
    </row>
    <row r="889" spans="1:14" ht="90" x14ac:dyDescent="0.25">
      <c r="A889" s="417"/>
      <c r="B889" s="444"/>
      <c r="C889" s="103">
        <v>2</v>
      </c>
      <c r="D889" s="82" t="s">
        <v>558</v>
      </c>
      <c r="E889" s="382"/>
      <c r="F889" s="420"/>
      <c r="G889" s="415"/>
      <c r="H889" s="402"/>
      <c r="I889" s="402"/>
      <c r="J889" s="402"/>
      <c r="K889" s="402"/>
      <c r="L889" s="413"/>
      <c r="M889" s="413"/>
      <c r="N889" s="517"/>
    </row>
    <row r="890" spans="1:14" ht="105" x14ac:dyDescent="0.25">
      <c r="A890" s="417"/>
      <c r="B890" s="444"/>
      <c r="C890" s="103">
        <v>1</v>
      </c>
      <c r="D890" s="82" t="s">
        <v>559</v>
      </c>
      <c r="E890" s="382"/>
      <c r="F890" s="420"/>
      <c r="G890" s="415"/>
      <c r="H890" s="402"/>
      <c r="I890" s="402"/>
      <c r="J890" s="402"/>
      <c r="K890" s="402"/>
      <c r="L890" s="413"/>
      <c r="M890" s="413"/>
      <c r="N890" s="517"/>
    </row>
    <row r="891" spans="1:14" x14ac:dyDescent="0.25">
      <c r="A891" s="417"/>
      <c r="B891" s="444"/>
      <c r="C891" s="103">
        <v>0</v>
      </c>
      <c r="D891" s="82" t="s">
        <v>560</v>
      </c>
      <c r="E891" s="382"/>
      <c r="F891" s="420"/>
      <c r="G891" s="416"/>
      <c r="H891" s="403"/>
      <c r="I891" s="403"/>
      <c r="J891" s="403"/>
      <c r="K891" s="403"/>
      <c r="L891" s="413"/>
      <c r="M891" s="413"/>
      <c r="N891" s="517"/>
    </row>
    <row r="892" spans="1:14" x14ac:dyDescent="0.25">
      <c r="A892" s="417"/>
      <c r="B892" s="444"/>
      <c r="C892" s="419" t="s">
        <v>6</v>
      </c>
      <c r="D892" s="419"/>
      <c r="E892" s="419"/>
      <c r="F892" s="419"/>
      <c r="G892" s="64"/>
      <c r="H892" s="64"/>
      <c r="I892" s="64"/>
      <c r="J892" s="64"/>
      <c r="K892" s="110">
        <f>IF(OR(ISBLANK(K886),K886&lt;0,K886&gt;4),0,K886)</f>
        <v>0</v>
      </c>
      <c r="L892" s="413"/>
      <c r="M892" s="413"/>
      <c r="N892" s="517"/>
    </row>
    <row r="893" spans="1:14" x14ac:dyDescent="0.25">
      <c r="A893" s="2"/>
      <c r="B893" s="2"/>
      <c r="C893" s="107"/>
      <c r="D893" s="108"/>
      <c r="N893" s="1"/>
    </row>
    <row r="894" spans="1:14" x14ac:dyDescent="0.25">
      <c r="A894" s="417">
        <f>A886+1</f>
        <v>63</v>
      </c>
      <c r="B894" s="444" t="s">
        <v>561</v>
      </c>
      <c r="C894" s="422" t="s">
        <v>562</v>
      </c>
      <c r="D894" s="422"/>
      <c r="E894" s="382" t="s">
        <v>1719</v>
      </c>
      <c r="F894" s="420" t="s">
        <v>1130</v>
      </c>
      <c r="G894" s="414" t="s">
        <v>1131</v>
      </c>
      <c r="H894" s="34" t="s">
        <v>582</v>
      </c>
      <c r="I894" s="34">
        <v>1</v>
      </c>
      <c r="J894" s="109" t="str">
        <f>IF((IF(OR((H894&amp;"."&amp;I894)=$R$8,(H894&amp;"."&amp;I894)=$S$8,(H894&amp;"."&amp;I894)=$T$8,(H894&amp;"."&amp;I894)=$U$8,(H894&amp;"."&amp;I894)=$V$8,(H894&amp;"."&amp;I894)=$W$8),1,0))=1,"EKSTREM",IF((IF(OR((H894&amp;"."&amp;I894)=$R$9,(H894&amp;"."&amp;I894)=$S$9,(H894&amp;"."&amp;I894)=$T$9,(H894&amp;"."&amp;I894)=$U$9,(H894&amp;"."&amp;I894)=$V$9,(H894&amp;"."&amp;I894)=$W$9,(H894&amp;"."&amp;I894)=$X$9),1,0))=1,"TINGGI",IF((IF(OR((H894&amp;"."&amp;I894)=$R$10,(H894&amp;"."&amp;I894)=$S$10,(H894&amp;"."&amp;I894)=$T$10,(H894&amp;"."&amp;I894)=$U$10,(H894&amp;"."&amp;I894)=$V$10,(H894&amp;"."&amp;I894)=$W$10),1,0))=1,"MODERAT",IF((IF(OR((H894&amp;"."&amp;I894)=$R$11,(H894&amp;"."&amp;I894)=$S$11,(H894&amp;"."&amp;I894)=$T$11,(H894&amp;"."&amp;I894)=$U$11,(H894&amp;"."&amp;I894)=$V$11,(H894&amp;"."&amp;I894)=$W$11),1,0))=1,"RENDAH","-"))))</f>
        <v>RENDAH</v>
      </c>
      <c r="K894" s="36">
        <v>0</v>
      </c>
      <c r="L894" s="413" t="s">
        <v>1132</v>
      </c>
      <c r="M894" s="413" t="s">
        <v>1133</v>
      </c>
      <c r="N894" s="517"/>
    </row>
    <row r="895" spans="1:14" ht="135" x14ac:dyDescent="0.25">
      <c r="A895" s="417"/>
      <c r="B895" s="444"/>
      <c r="C895" s="103">
        <v>4</v>
      </c>
      <c r="D895" s="82" t="s">
        <v>563</v>
      </c>
      <c r="E895" s="382"/>
      <c r="F895" s="420"/>
      <c r="G895" s="415"/>
      <c r="H895" s="401"/>
      <c r="I895" s="401"/>
      <c r="J895" s="401"/>
      <c r="K895" s="401"/>
      <c r="L895" s="413"/>
      <c r="M895" s="413"/>
      <c r="N895" s="517"/>
    </row>
    <row r="896" spans="1:14" ht="105" x14ac:dyDescent="0.25">
      <c r="A896" s="417"/>
      <c r="B896" s="444"/>
      <c r="C896" s="103">
        <v>3</v>
      </c>
      <c r="D896" s="82" t="s">
        <v>564</v>
      </c>
      <c r="E896" s="382"/>
      <c r="F896" s="420"/>
      <c r="G896" s="415"/>
      <c r="H896" s="402"/>
      <c r="I896" s="402"/>
      <c r="J896" s="402"/>
      <c r="K896" s="402"/>
      <c r="L896" s="413"/>
      <c r="M896" s="413"/>
      <c r="N896" s="517"/>
    </row>
    <row r="897" spans="1:14" ht="90" x14ac:dyDescent="0.25">
      <c r="A897" s="417"/>
      <c r="B897" s="444"/>
      <c r="C897" s="103">
        <v>2</v>
      </c>
      <c r="D897" s="82" t="s">
        <v>565</v>
      </c>
      <c r="E897" s="382"/>
      <c r="F897" s="420"/>
      <c r="G897" s="415"/>
      <c r="H897" s="402"/>
      <c r="I897" s="402"/>
      <c r="J897" s="402"/>
      <c r="K897" s="402"/>
      <c r="L897" s="413"/>
      <c r="M897" s="413"/>
      <c r="N897" s="517"/>
    </row>
    <row r="898" spans="1:14" ht="75" x14ac:dyDescent="0.25">
      <c r="A898" s="417"/>
      <c r="B898" s="444"/>
      <c r="C898" s="103">
        <v>1</v>
      </c>
      <c r="D898" s="82" t="s">
        <v>566</v>
      </c>
      <c r="E898" s="382"/>
      <c r="F898" s="420"/>
      <c r="G898" s="415"/>
      <c r="H898" s="402"/>
      <c r="I898" s="402"/>
      <c r="J898" s="402"/>
      <c r="K898" s="402"/>
      <c r="L898" s="413"/>
      <c r="M898" s="413"/>
      <c r="N898" s="517"/>
    </row>
    <row r="899" spans="1:14" x14ac:dyDescent="0.25">
      <c r="A899" s="417"/>
      <c r="B899" s="444"/>
      <c r="C899" s="103">
        <v>0</v>
      </c>
      <c r="D899" s="82" t="s">
        <v>567</v>
      </c>
      <c r="E899" s="382"/>
      <c r="F899" s="420"/>
      <c r="G899" s="416"/>
      <c r="H899" s="403"/>
      <c r="I899" s="403"/>
      <c r="J899" s="403"/>
      <c r="K899" s="403"/>
      <c r="L899" s="413"/>
      <c r="M899" s="413"/>
      <c r="N899" s="517"/>
    </row>
    <row r="900" spans="1:14" x14ac:dyDescent="0.25">
      <c r="A900" s="417"/>
      <c r="B900" s="444"/>
      <c r="C900" s="419" t="s">
        <v>6</v>
      </c>
      <c r="D900" s="419"/>
      <c r="E900" s="419"/>
      <c r="F900" s="419"/>
      <c r="G900" s="64"/>
      <c r="H900" s="64"/>
      <c r="I900" s="64"/>
      <c r="J900" s="64"/>
      <c r="K900" s="110">
        <f>IF(OR(ISBLANK(K894),K894&lt;0,K894&gt;4),0,K894)</f>
        <v>0</v>
      </c>
      <c r="L900" s="413"/>
      <c r="M900" s="413"/>
      <c r="N900" s="517"/>
    </row>
    <row r="901" spans="1:14" x14ac:dyDescent="0.25">
      <c r="A901" s="2"/>
      <c r="B901" s="2"/>
      <c r="C901" s="107"/>
      <c r="D901" s="108"/>
      <c r="N901" s="1"/>
    </row>
    <row r="902" spans="1:14" ht="15" customHeight="1" x14ac:dyDescent="0.25">
      <c r="A902" s="417">
        <f>A894+1</f>
        <v>64</v>
      </c>
      <c r="B902" s="444" t="s">
        <v>568</v>
      </c>
      <c r="C902" s="422" t="s">
        <v>569</v>
      </c>
      <c r="D902" s="422"/>
      <c r="E902" s="382" t="s">
        <v>1769</v>
      </c>
      <c r="F902" s="420" t="s">
        <v>1130</v>
      </c>
      <c r="G902" s="414" t="s">
        <v>1131</v>
      </c>
      <c r="H902" s="34" t="s">
        <v>582</v>
      </c>
      <c r="I902" s="34">
        <v>1</v>
      </c>
      <c r="J902" s="109" t="str">
        <f>IF((IF(OR((H902&amp;"."&amp;I902)=$R$8,(H902&amp;"."&amp;I902)=$S$8,(H902&amp;"."&amp;I902)=$T$8,(H902&amp;"."&amp;I902)=$U$8,(H902&amp;"."&amp;I902)=$V$8,(H902&amp;"."&amp;I902)=$W$8),1,0))=1,"EKSTREM",IF((IF(OR((H902&amp;"."&amp;I902)=$R$9,(H902&amp;"."&amp;I902)=$S$9,(H902&amp;"."&amp;I902)=$T$9,(H902&amp;"."&amp;I902)=$U$9,(H902&amp;"."&amp;I902)=$V$9,(H902&amp;"."&amp;I902)=$W$9,(H902&amp;"."&amp;I902)=$X$9),1,0))=1,"TINGGI",IF((IF(OR((H902&amp;"."&amp;I902)=$R$10,(H902&amp;"."&amp;I902)=$S$10,(H902&amp;"."&amp;I902)=$T$10,(H902&amp;"."&amp;I902)=$U$10,(H902&amp;"."&amp;I902)=$V$10,(H902&amp;"."&amp;I902)=$W$10),1,0))=1,"MODERAT",IF((IF(OR((H902&amp;"."&amp;I902)=$R$11,(H902&amp;"."&amp;I902)=$S$11,(H902&amp;"."&amp;I902)=$T$11,(H902&amp;"."&amp;I902)=$U$11,(H902&amp;"."&amp;I902)=$V$11,(H902&amp;"."&amp;I902)=$W$11),1,0))=1,"RENDAH","-"))))</f>
        <v>RENDAH</v>
      </c>
      <c r="K902" s="36">
        <v>0</v>
      </c>
      <c r="L902" s="413" t="s">
        <v>1132</v>
      </c>
      <c r="M902" s="413" t="s">
        <v>1133</v>
      </c>
      <c r="N902" s="517"/>
    </row>
    <row r="903" spans="1:14" ht="105" x14ac:dyDescent="0.25">
      <c r="A903" s="417"/>
      <c r="B903" s="444"/>
      <c r="C903" s="103">
        <v>4</v>
      </c>
      <c r="D903" s="82" t="s">
        <v>570</v>
      </c>
      <c r="E903" s="382"/>
      <c r="F903" s="420"/>
      <c r="G903" s="415"/>
      <c r="H903" s="401"/>
      <c r="I903" s="401"/>
      <c r="J903" s="401"/>
      <c r="K903" s="401"/>
      <c r="L903" s="413"/>
      <c r="M903" s="413"/>
      <c r="N903" s="517"/>
    </row>
    <row r="904" spans="1:14" ht="90" x14ac:dyDescent="0.25">
      <c r="A904" s="417"/>
      <c r="B904" s="444"/>
      <c r="C904" s="103">
        <v>3</v>
      </c>
      <c r="D904" s="82" t="s">
        <v>571</v>
      </c>
      <c r="E904" s="382"/>
      <c r="F904" s="420"/>
      <c r="G904" s="415"/>
      <c r="H904" s="402"/>
      <c r="I904" s="402"/>
      <c r="J904" s="402"/>
      <c r="K904" s="402"/>
      <c r="L904" s="413"/>
      <c r="M904" s="413"/>
      <c r="N904" s="517"/>
    </row>
    <row r="905" spans="1:14" ht="75" x14ac:dyDescent="0.25">
      <c r="A905" s="417"/>
      <c r="B905" s="444"/>
      <c r="C905" s="103">
        <v>2</v>
      </c>
      <c r="D905" s="82" t="s">
        <v>572</v>
      </c>
      <c r="E905" s="382"/>
      <c r="F905" s="420"/>
      <c r="G905" s="415"/>
      <c r="H905" s="402"/>
      <c r="I905" s="402"/>
      <c r="J905" s="402"/>
      <c r="K905" s="402"/>
      <c r="L905" s="413"/>
      <c r="M905" s="413"/>
      <c r="N905" s="517"/>
    </row>
    <row r="906" spans="1:14" ht="30" x14ac:dyDescent="0.25">
      <c r="A906" s="417"/>
      <c r="B906" s="444"/>
      <c r="C906" s="103">
        <v>1</v>
      </c>
      <c r="D906" s="82" t="s">
        <v>573</v>
      </c>
      <c r="E906" s="382"/>
      <c r="F906" s="420"/>
      <c r="G906" s="415"/>
      <c r="H906" s="402"/>
      <c r="I906" s="402"/>
      <c r="J906" s="402"/>
      <c r="K906" s="402"/>
      <c r="L906" s="413"/>
      <c r="M906" s="413"/>
      <c r="N906" s="517"/>
    </row>
    <row r="907" spans="1:14" ht="30" x14ac:dyDescent="0.25">
      <c r="A907" s="417"/>
      <c r="B907" s="444"/>
      <c r="C907" s="103">
        <v>0</v>
      </c>
      <c r="D907" s="82" t="s">
        <v>574</v>
      </c>
      <c r="E907" s="382"/>
      <c r="F907" s="420"/>
      <c r="G907" s="416"/>
      <c r="H907" s="403"/>
      <c r="I907" s="403"/>
      <c r="J907" s="403"/>
      <c r="K907" s="403"/>
      <c r="L907" s="413"/>
      <c r="M907" s="413"/>
      <c r="N907" s="517"/>
    </row>
    <row r="908" spans="1:14" x14ac:dyDescent="0.25">
      <c r="A908" s="417"/>
      <c r="B908" s="444"/>
      <c r="C908" s="419" t="s">
        <v>6</v>
      </c>
      <c r="D908" s="419"/>
      <c r="E908" s="419"/>
      <c r="F908" s="419"/>
      <c r="G908" s="64"/>
      <c r="H908" s="64"/>
      <c r="I908" s="64"/>
      <c r="J908" s="64"/>
      <c r="K908" s="110">
        <f>IF(OR(ISBLANK(K902),K902&lt;0,K902&gt;4),0,K902)</f>
        <v>0</v>
      </c>
      <c r="L908" s="413"/>
      <c r="M908" s="413"/>
      <c r="N908" s="517"/>
    </row>
  </sheetData>
  <sheetProtection algorithmName="SHA-512" hashValue="W1OYmh4y7OX1MVAt9T2QW26Vy0Rjrjj9d4gTDdMt6JHtcgQnz0CbzRieb3BFEzsjY6Vg7o8tE+19w5KP4Vy7sQ==" saltValue="xPSYVY/b4b1y3U54Aao0Qw==" spinCount="100000" sheet="1" objects="1" scenarios="1" formatCells="0" formatColumns="0" formatRows="0"/>
  <protectedRanges>
    <protectedRange sqref="K622:K630" name="Skor 1 sd 10"/>
    <protectedRange sqref="K666" name="Skor 1 sd 10_1"/>
    <protectedRange sqref="K660:K665" name="Skor 1 sd 10_1_1"/>
    <protectedRange sqref="K672:K678" name="Skor 1 sd 10_2"/>
    <protectedRange sqref="K682:K686" name="Skor 1 sd 10_3"/>
  </protectedRanges>
  <mergeCells count="1319">
    <mergeCell ref="N691:N697"/>
    <mergeCell ref="N699:N726"/>
    <mergeCell ref="N728:N753"/>
    <mergeCell ref="N755:N786"/>
    <mergeCell ref="N788:N834"/>
    <mergeCell ref="N836:N859"/>
    <mergeCell ref="N861:N863"/>
    <mergeCell ref="N865:N867"/>
    <mergeCell ref="N869:N876"/>
    <mergeCell ref="N878:N884"/>
    <mergeCell ref="N886:N892"/>
    <mergeCell ref="N894:N900"/>
    <mergeCell ref="N902:N908"/>
    <mergeCell ref="A1:N1"/>
    <mergeCell ref="A2:N2"/>
    <mergeCell ref="A4:N4"/>
    <mergeCell ref="N543:N547"/>
    <mergeCell ref="N549:N555"/>
    <mergeCell ref="N557:N567"/>
    <mergeCell ref="N569:N575"/>
    <mergeCell ref="N577:N583"/>
    <mergeCell ref="N585:N591"/>
    <mergeCell ref="N593:N595"/>
    <mergeCell ref="N597:N599"/>
    <mergeCell ref="N601:N607"/>
    <mergeCell ref="N609:N611"/>
    <mergeCell ref="N613:N619"/>
    <mergeCell ref="N621:N631"/>
    <mergeCell ref="N633:N644"/>
    <mergeCell ref="N646:N657"/>
    <mergeCell ref="N659:N669"/>
    <mergeCell ref="N671:N679"/>
    <mergeCell ref="N681:N689"/>
    <mergeCell ref="N354:N366"/>
    <mergeCell ref="N368:N374"/>
    <mergeCell ref="N376:N382"/>
    <mergeCell ref="N384:N390"/>
    <mergeCell ref="N392:N396"/>
    <mergeCell ref="N398:N402"/>
    <mergeCell ref="N404:N408"/>
    <mergeCell ref="N410:N417"/>
    <mergeCell ref="N419:N425"/>
    <mergeCell ref="N427:N433"/>
    <mergeCell ref="N435:N453"/>
    <mergeCell ref="N455:N461"/>
    <mergeCell ref="N463:N475"/>
    <mergeCell ref="N477:N507"/>
    <mergeCell ref="N509:N513"/>
    <mergeCell ref="N515:N521"/>
    <mergeCell ref="N523:N541"/>
    <mergeCell ref="N194:N202"/>
    <mergeCell ref="N204:N208"/>
    <mergeCell ref="N210:N214"/>
    <mergeCell ref="N216:N222"/>
    <mergeCell ref="N224:N231"/>
    <mergeCell ref="N233:N237"/>
    <mergeCell ref="N239:N241"/>
    <mergeCell ref="N243:N247"/>
    <mergeCell ref="N249:N253"/>
    <mergeCell ref="N255:N259"/>
    <mergeCell ref="N261:N277"/>
    <mergeCell ref="N279:N295"/>
    <mergeCell ref="N297:N320"/>
    <mergeCell ref="N322:N327"/>
    <mergeCell ref="N329:N333"/>
    <mergeCell ref="N335:N343"/>
    <mergeCell ref="N345:N352"/>
    <mergeCell ref="N6:N7"/>
    <mergeCell ref="N8:N14"/>
    <mergeCell ref="N16:N22"/>
    <mergeCell ref="N24:N30"/>
    <mergeCell ref="N32:N38"/>
    <mergeCell ref="N40:N46"/>
    <mergeCell ref="N48:N60"/>
    <mergeCell ref="N62:N74"/>
    <mergeCell ref="N76:N82"/>
    <mergeCell ref="N84:N109"/>
    <mergeCell ref="N111:N117"/>
    <mergeCell ref="N119:N125"/>
    <mergeCell ref="N127:N133"/>
    <mergeCell ref="N135:N141"/>
    <mergeCell ref="N143:N161"/>
    <mergeCell ref="N163:N178"/>
    <mergeCell ref="N180:N192"/>
    <mergeCell ref="K112:K116"/>
    <mergeCell ref="K120:K124"/>
    <mergeCell ref="K128:K132"/>
    <mergeCell ref="H870:H874"/>
    <mergeCell ref="I870:I874"/>
    <mergeCell ref="J870:J874"/>
    <mergeCell ref="H879:H883"/>
    <mergeCell ref="I879:I883"/>
    <mergeCell ref="J879:J883"/>
    <mergeCell ref="K879:K883"/>
    <mergeCell ref="H887:H891"/>
    <mergeCell ref="I887:I891"/>
    <mergeCell ref="J887:J891"/>
    <mergeCell ref="K887:K891"/>
    <mergeCell ref="K903:K907"/>
    <mergeCell ref="H895:H899"/>
    <mergeCell ref="I895:I899"/>
    <mergeCell ref="J895:J899"/>
    <mergeCell ref="K895:K899"/>
    <mergeCell ref="C786:J786"/>
    <mergeCell ref="H789:H833"/>
    <mergeCell ref="I789:I833"/>
    <mergeCell ref="J789:J833"/>
    <mergeCell ref="C833:D833"/>
    <mergeCell ref="E788:E833"/>
    <mergeCell ref="F788:F833"/>
    <mergeCell ref="G788:G833"/>
    <mergeCell ref="H837:H850"/>
    <mergeCell ref="I837:I850"/>
    <mergeCell ref="J837:J850"/>
    <mergeCell ref="E755:E785"/>
    <mergeCell ref="F597:F598"/>
    <mergeCell ref="M329:M333"/>
    <mergeCell ref="L243:L247"/>
    <mergeCell ref="M243:M247"/>
    <mergeCell ref="C277:F277"/>
    <mergeCell ref="C261:D261"/>
    <mergeCell ref="H49:H59"/>
    <mergeCell ref="F755:F785"/>
    <mergeCell ref="G755:G785"/>
    <mergeCell ref="I330:I332"/>
    <mergeCell ref="J330:J332"/>
    <mergeCell ref="H323:H325"/>
    <mergeCell ref="I323:I325"/>
    <mergeCell ref="I280:I286"/>
    <mergeCell ref="J280:J286"/>
    <mergeCell ref="I195:I201"/>
    <mergeCell ref="J195:J201"/>
    <mergeCell ref="G194:G201"/>
    <mergeCell ref="G233:G236"/>
    <mergeCell ref="G239:G240"/>
    <mergeCell ref="J614:J618"/>
    <mergeCell ref="G84:G108"/>
    <mergeCell ref="J120:J124"/>
    <mergeCell ref="G216:G221"/>
    <mergeCell ref="G111:G116"/>
    <mergeCell ref="J49:J59"/>
    <mergeCell ref="H346:H351"/>
    <mergeCell ref="I346:I351"/>
    <mergeCell ref="J346:J351"/>
    <mergeCell ref="G597:G598"/>
    <mergeCell ref="F368:F373"/>
    <mergeCell ref="H660:H666"/>
    <mergeCell ref="I660:I666"/>
    <mergeCell ref="I128:I132"/>
    <mergeCell ref="J128:J132"/>
    <mergeCell ref="H436:H452"/>
    <mergeCell ref="I436:I452"/>
    <mergeCell ref="J436:J452"/>
    <mergeCell ref="H280:H286"/>
    <mergeCell ref="C247:J247"/>
    <mergeCell ref="C329:D329"/>
    <mergeCell ref="E329:E332"/>
    <mergeCell ref="F329:F332"/>
    <mergeCell ref="C330:D330"/>
    <mergeCell ref="C331:D331"/>
    <mergeCell ref="C332:D332"/>
    <mergeCell ref="G329:G332"/>
    <mergeCell ref="J660:J666"/>
    <mergeCell ref="H672:H678"/>
    <mergeCell ref="I672:I678"/>
    <mergeCell ref="J672:J678"/>
    <mergeCell ref="C262:D262"/>
    <mergeCell ref="C263:D263"/>
    <mergeCell ref="C264:D264"/>
    <mergeCell ref="C246:D246"/>
    <mergeCell ref="F255:F258"/>
    <mergeCell ref="C597:D597"/>
    <mergeCell ref="E597:E598"/>
    <mergeCell ref="C259:F259"/>
    <mergeCell ref="J456:J460"/>
    <mergeCell ref="J181:J191"/>
    <mergeCell ref="C165:D165"/>
    <mergeCell ref="C186:D186"/>
    <mergeCell ref="E239:E240"/>
    <mergeCell ref="C195:D201"/>
    <mergeCell ref="M261:M277"/>
    <mergeCell ref="E243:E246"/>
    <mergeCell ref="C297:D297"/>
    <mergeCell ref="C309:D309"/>
    <mergeCell ref="C310:D310"/>
    <mergeCell ref="C311:D311"/>
    <mergeCell ref="E297:E319"/>
    <mergeCell ref="G243:G246"/>
    <mergeCell ref="A865:A867"/>
    <mergeCell ref="B865:B867"/>
    <mergeCell ref="C865:D865"/>
    <mergeCell ref="E865:E866"/>
    <mergeCell ref="F865:F866"/>
    <mergeCell ref="G865:G866"/>
    <mergeCell ref="A788:A834"/>
    <mergeCell ref="M865:M867"/>
    <mergeCell ref="C866:D866"/>
    <mergeCell ref="C867:F867"/>
    <mergeCell ref="F249:F252"/>
    <mergeCell ref="C250:D250"/>
    <mergeCell ref="C251:D251"/>
    <mergeCell ref="C252:D252"/>
    <mergeCell ref="C253:J253"/>
    <mergeCell ref="G249:G252"/>
    <mergeCell ref="L249:L253"/>
    <mergeCell ref="M249:M253"/>
    <mergeCell ref="H250:H252"/>
    <mergeCell ref="I250:I252"/>
    <mergeCell ref="J250:J252"/>
    <mergeCell ref="L477:L507"/>
    <mergeCell ref="L435:L453"/>
    <mergeCell ref="M435:M453"/>
    <mergeCell ref="C268:D268"/>
    <mergeCell ref="C306:D306"/>
    <mergeCell ref="C307:D307"/>
    <mergeCell ref="C308:D308"/>
    <mergeCell ref="L297:L320"/>
    <mergeCell ref="C279:D279"/>
    <mergeCell ref="C244:D244"/>
    <mergeCell ref="C245:D245"/>
    <mergeCell ref="C249:D249"/>
    <mergeCell ref="E249:E252"/>
    <mergeCell ref="L261:L277"/>
    <mergeCell ref="C298:D298"/>
    <mergeCell ref="C299:D299"/>
    <mergeCell ref="C300:D300"/>
    <mergeCell ref="C305:D305"/>
    <mergeCell ref="H298:H311"/>
    <mergeCell ref="I298:I311"/>
    <mergeCell ref="C266:D266"/>
    <mergeCell ref="F297:F319"/>
    <mergeCell ref="C301:D301"/>
    <mergeCell ref="C302:D302"/>
    <mergeCell ref="C303:D303"/>
    <mergeCell ref="C304:D304"/>
    <mergeCell ref="J244:J246"/>
    <mergeCell ref="E279:E294"/>
    <mergeCell ref="A6:A7"/>
    <mergeCell ref="B6:B7"/>
    <mergeCell ref="E6:E7"/>
    <mergeCell ref="F6:F7"/>
    <mergeCell ref="A681:A689"/>
    <mergeCell ref="B681:B689"/>
    <mergeCell ref="C678:D678"/>
    <mergeCell ref="F671:F678"/>
    <mergeCell ref="E671:E678"/>
    <mergeCell ref="A671:A679"/>
    <mergeCell ref="B671:B679"/>
    <mergeCell ref="E659:E666"/>
    <mergeCell ref="C613:D613"/>
    <mergeCell ref="C619:F619"/>
    <mergeCell ref="F613:F618"/>
    <mergeCell ref="C637:D637"/>
    <mergeCell ref="H181:H191"/>
    <mergeCell ref="F48:F59"/>
    <mergeCell ref="G255:G258"/>
    <mergeCell ref="G261:G276"/>
    <mergeCell ref="G279:G294"/>
    <mergeCell ref="G297:G319"/>
    <mergeCell ref="G322:G326"/>
    <mergeCell ref="G335:G342"/>
    <mergeCell ref="G345:G351"/>
    <mergeCell ref="A577:A583"/>
    <mergeCell ref="F477:F506"/>
    <mergeCell ref="H195:H201"/>
    <mergeCell ref="H330:H332"/>
    <mergeCell ref="H128:H132"/>
    <mergeCell ref="H682:H686"/>
    <mergeCell ref="A613:A619"/>
    <mergeCell ref="K6:K7"/>
    <mergeCell ref="L6:L7"/>
    <mergeCell ref="M6:M7"/>
    <mergeCell ref="C6:D7"/>
    <mergeCell ref="C733:D733"/>
    <mergeCell ref="C734:D734"/>
    <mergeCell ref="C735:D735"/>
    <mergeCell ref="C736:D736"/>
    <mergeCell ref="C737:D737"/>
    <mergeCell ref="C689:F689"/>
    <mergeCell ref="L681:L689"/>
    <mergeCell ref="F681:F686"/>
    <mergeCell ref="E681:E686"/>
    <mergeCell ref="M671:M679"/>
    <mergeCell ref="C679:F679"/>
    <mergeCell ref="C672:D672"/>
    <mergeCell ref="C644:F644"/>
    <mergeCell ref="F633:F640"/>
    <mergeCell ref="G477:G506"/>
    <mergeCell ref="E173:E175"/>
    <mergeCell ref="L691:L697"/>
    <mergeCell ref="M691:M697"/>
    <mergeCell ref="C697:F697"/>
    <mergeCell ref="M681:M689"/>
    <mergeCell ref="C681:D681"/>
    <mergeCell ref="C682:D682"/>
    <mergeCell ref="K456:K460"/>
    <mergeCell ref="H464:H474"/>
    <mergeCell ref="I464:I474"/>
    <mergeCell ref="G6:J6"/>
    <mergeCell ref="I181:I191"/>
    <mergeCell ref="M368:M374"/>
    <mergeCell ref="G48:G59"/>
    <mergeCell ref="C673:D673"/>
    <mergeCell ref="C674:D674"/>
    <mergeCell ref="L728:L753"/>
    <mergeCell ref="M728:M753"/>
    <mergeCell ref="C726:F726"/>
    <mergeCell ref="C725:F725"/>
    <mergeCell ref="F699:F724"/>
    <mergeCell ref="E699:E724"/>
    <mergeCell ref="L699:L726"/>
    <mergeCell ref="M699:M726"/>
    <mergeCell ref="A249:A253"/>
    <mergeCell ref="B249:B253"/>
    <mergeCell ref="L671:L679"/>
    <mergeCell ref="K181:K185"/>
    <mergeCell ref="A691:A697"/>
    <mergeCell ref="B691:B697"/>
    <mergeCell ref="C685:D685"/>
    <mergeCell ref="C686:D686"/>
    <mergeCell ref="C599:F599"/>
    <mergeCell ref="M354:M366"/>
    <mergeCell ref="H393:H395"/>
    <mergeCell ref="I393:I395"/>
    <mergeCell ref="J393:J395"/>
    <mergeCell ref="F435:F452"/>
    <mergeCell ref="B601:B607"/>
    <mergeCell ref="A601:A607"/>
    <mergeCell ref="M419:M425"/>
    <mergeCell ref="C265:D265"/>
    <mergeCell ref="G392:G395"/>
    <mergeCell ref="L255:L259"/>
    <mergeCell ref="C267:D267"/>
    <mergeCell ref="M597:M599"/>
    <mergeCell ref="A597:A599"/>
    <mergeCell ref="B597:B599"/>
    <mergeCell ref="C601:D601"/>
    <mergeCell ref="G601:G606"/>
    <mergeCell ref="C702:D702"/>
    <mergeCell ref="C703:D703"/>
    <mergeCell ref="C691:D691"/>
    <mergeCell ref="E691:E696"/>
    <mergeCell ref="F691:F696"/>
    <mergeCell ref="C675:D675"/>
    <mergeCell ref="C676:D676"/>
    <mergeCell ref="C677:D677"/>
    <mergeCell ref="F659:F666"/>
    <mergeCell ref="E609:E610"/>
    <mergeCell ref="F609:F610"/>
    <mergeCell ref="C611:F611"/>
    <mergeCell ref="A609:A611"/>
    <mergeCell ref="I602:I606"/>
    <mergeCell ref="I682:I686"/>
    <mergeCell ref="J682:J686"/>
    <mergeCell ref="K602:K606"/>
    <mergeCell ref="K614:K618"/>
    <mergeCell ref="L601:L607"/>
    <mergeCell ref="M601:M607"/>
    <mergeCell ref="C664:D664"/>
    <mergeCell ref="C666:D666"/>
    <mergeCell ref="C665:D665"/>
    <mergeCell ref="C647:D647"/>
    <mergeCell ref="C648:D648"/>
    <mergeCell ref="C649:D649"/>
    <mergeCell ref="C650:D650"/>
    <mergeCell ref="M585:M591"/>
    <mergeCell ref="C591:F591"/>
    <mergeCell ref="E585:E590"/>
    <mergeCell ref="C569:D569"/>
    <mergeCell ref="C575:F575"/>
    <mergeCell ref="F569:F574"/>
    <mergeCell ref="L569:L575"/>
    <mergeCell ref="M569:M575"/>
    <mergeCell ref="E569:E574"/>
    <mergeCell ref="C577:D577"/>
    <mergeCell ref="F577:F582"/>
    <mergeCell ref="L577:L583"/>
    <mergeCell ref="M577:M583"/>
    <mergeCell ref="C583:F583"/>
    <mergeCell ref="E577:E582"/>
    <mergeCell ref="L549:L555"/>
    <mergeCell ref="M549:M555"/>
    <mergeCell ref="J570:J574"/>
    <mergeCell ref="G569:G574"/>
    <mergeCell ref="K570:K574"/>
    <mergeCell ref="M557:M567"/>
    <mergeCell ref="G549:G554"/>
    <mergeCell ref="H558:H566"/>
    <mergeCell ref="I558:I566"/>
    <mergeCell ref="L557:L567"/>
    <mergeCell ref="K550:K554"/>
    <mergeCell ref="K561:K565"/>
    <mergeCell ref="L585:L591"/>
    <mergeCell ref="A477:A507"/>
    <mergeCell ref="A509:A513"/>
    <mergeCell ref="F427:F432"/>
    <mergeCell ref="F523:F540"/>
    <mergeCell ref="G523:G540"/>
    <mergeCell ref="J558:J566"/>
    <mergeCell ref="C559:E559"/>
    <mergeCell ref="C566:E566"/>
    <mergeCell ref="C545:D545"/>
    <mergeCell ref="C546:D546"/>
    <mergeCell ref="H456:H460"/>
    <mergeCell ref="I456:I460"/>
    <mergeCell ref="C507:F507"/>
    <mergeCell ref="C511:D511"/>
    <mergeCell ref="C549:D549"/>
    <mergeCell ref="F549:F554"/>
    <mergeCell ref="C555:F555"/>
    <mergeCell ref="C483:D483"/>
    <mergeCell ref="B477:B507"/>
    <mergeCell ref="I478:I506"/>
    <mergeCell ref="I550:I554"/>
    <mergeCell ref="F543:F546"/>
    <mergeCell ref="B239:B241"/>
    <mergeCell ref="L368:L374"/>
    <mergeCell ref="A398:A402"/>
    <mergeCell ref="B398:B402"/>
    <mergeCell ref="F398:F401"/>
    <mergeCell ref="L392:L396"/>
    <mergeCell ref="L419:L425"/>
    <mergeCell ref="C441:D441"/>
    <mergeCell ref="E441:E446"/>
    <mergeCell ref="C463:D463"/>
    <mergeCell ref="E463:E468"/>
    <mergeCell ref="C447:D447"/>
    <mergeCell ref="C239:D239"/>
    <mergeCell ref="C240:D240"/>
    <mergeCell ref="L239:L241"/>
    <mergeCell ref="C354:D354"/>
    <mergeCell ref="E354:E359"/>
    <mergeCell ref="A329:A333"/>
    <mergeCell ref="B329:B333"/>
    <mergeCell ref="C333:J333"/>
    <mergeCell ref="L329:L333"/>
    <mergeCell ref="B279:B295"/>
    <mergeCell ref="B384:B390"/>
    <mergeCell ref="C400:D400"/>
    <mergeCell ref="C401:D401"/>
    <mergeCell ref="E261:E276"/>
    <mergeCell ref="E255:E258"/>
    <mergeCell ref="L455:L461"/>
    <mergeCell ref="B404:B408"/>
    <mergeCell ref="C410:D410"/>
    <mergeCell ref="E410:E416"/>
    <mergeCell ref="A419:A425"/>
    <mergeCell ref="I112:I116"/>
    <mergeCell ref="J112:J116"/>
    <mergeCell ref="H120:H124"/>
    <mergeCell ref="K195:K201"/>
    <mergeCell ref="L119:L125"/>
    <mergeCell ref="C192:F192"/>
    <mergeCell ref="C133:E133"/>
    <mergeCell ref="L127:L133"/>
    <mergeCell ref="C194:D194"/>
    <mergeCell ref="E194:E201"/>
    <mergeCell ref="C202:F202"/>
    <mergeCell ref="F194:F201"/>
    <mergeCell ref="L194:L202"/>
    <mergeCell ref="L135:L141"/>
    <mergeCell ref="M135:M141"/>
    <mergeCell ref="M119:M125"/>
    <mergeCell ref="C135:D135"/>
    <mergeCell ref="C141:E141"/>
    <mergeCell ref="E135:E140"/>
    <mergeCell ref="C163:D163"/>
    <mergeCell ref="C172:E172"/>
    <mergeCell ref="C164:D164"/>
    <mergeCell ref="F180:F191"/>
    <mergeCell ref="G135:G140"/>
    <mergeCell ref="H136:H140"/>
    <mergeCell ref="I136:I140"/>
    <mergeCell ref="J136:J140"/>
    <mergeCell ref="K156:K160"/>
    <mergeCell ref="K136:K140"/>
    <mergeCell ref="G180:G191"/>
    <mergeCell ref="L180:L192"/>
    <mergeCell ref="M180:M192"/>
    <mergeCell ref="E62:E67"/>
    <mergeCell ref="F84:F108"/>
    <mergeCell ref="A76:A82"/>
    <mergeCell ref="A135:A141"/>
    <mergeCell ref="M84:M109"/>
    <mergeCell ref="C98:D98"/>
    <mergeCell ref="C107:D107"/>
    <mergeCell ref="C108:D108"/>
    <mergeCell ref="E84:E108"/>
    <mergeCell ref="C89:D89"/>
    <mergeCell ref="C94:D94"/>
    <mergeCell ref="C95:D95"/>
    <mergeCell ref="C96:D96"/>
    <mergeCell ref="C97:D97"/>
    <mergeCell ref="C84:D84"/>
    <mergeCell ref="C85:D85"/>
    <mergeCell ref="C86:D86"/>
    <mergeCell ref="C87:D87"/>
    <mergeCell ref="C88:D88"/>
    <mergeCell ref="C127:D127"/>
    <mergeCell ref="E127:E132"/>
    <mergeCell ref="M111:M117"/>
    <mergeCell ref="F119:F124"/>
    <mergeCell ref="F127:F132"/>
    <mergeCell ref="F111:F116"/>
    <mergeCell ref="M127:M133"/>
    <mergeCell ref="B127:B133"/>
    <mergeCell ref="A127:A133"/>
    <mergeCell ref="H85:H108"/>
    <mergeCell ref="I85:I108"/>
    <mergeCell ref="J85:J108"/>
    <mergeCell ref="H112:H116"/>
    <mergeCell ref="I9:I13"/>
    <mergeCell ref="J9:J13"/>
    <mergeCell ref="K9:K13"/>
    <mergeCell ref="M24:M30"/>
    <mergeCell ref="L32:L38"/>
    <mergeCell ref="M32:M38"/>
    <mergeCell ref="M40:M46"/>
    <mergeCell ref="L40:L46"/>
    <mergeCell ref="A119:A125"/>
    <mergeCell ref="B119:B125"/>
    <mergeCell ref="A111:A117"/>
    <mergeCell ref="B111:B117"/>
    <mergeCell ref="C119:D119"/>
    <mergeCell ref="C125:E125"/>
    <mergeCell ref="E119:E124"/>
    <mergeCell ref="C76:D76"/>
    <mergeCell ref="B84:B109"/>
    <mergeCell ref="L84:L109"/>
    <mergeCell ref="C111:D111"/>
    <mergeCell ref="C117:E117"/>
    <mergeCell ref="E111:E116"/>
    <mergeCell ref="L111:L117"/>
    <mergeCell ref="C82:E82"/>
    <mergeCell ref="L76:L82"/>
    <mergeCell ref="A84:A109"/>
    <mergeCell ref="L48:L60"/>
    <mergeCell ref="M48:M60"/>
    <mergeCell ref="L62:L74"/>
    <mergeCell ref="M62:M74"/>
    <mergeCell ref="H63:H73"/>
    <mergeCell ref="I63:I73"/>
    <mergeCell ref="J63:J73"/>
    <mergeCell ref="J25:J29"/>
    <mergeCell ref="G127:G132"/>
    <mergeCell ref="G119:G124"/>
    <mergeCell ref="B76:B82"/>
    <mergeCell ref="C8:D8"/>
    <mergeCell ref="E8:E13"/>
    <mergeCell ref="B8:B14"/>
    <mergeCell ref="A8:A14"/>
    <mergeCell ref="L8:L14"/>
    <mergeCell ref="F8:F13"/>
    <mergeCell ref="C14:F14"/>
    <mergeCell ref="A62:A74"/>
    <mergeCell ref="L24:L30"/>
    <mergeCell ref="C24:D24"/>
    <mergeCell ref="C32:D32"/>
    <mergeCell ref="C30:E30"/>
    <mergeCell ref="C38:E38"/>
    <mergeCell ref="C40:D40"/>
    <mergeCell ref="E40:E45"/>
    <mergeCell ref="E32:E37"/>
    <mergeCell ref="E24:E29"/>
    <mergeCell ref="G8:G13"/>
    <mergeCell ref="A48:A60"/>
    <mergeCell ref="C68:D68"/>
    <mergeCell ref="E68:E73"/>
    <mergeCell ref="F76:F81"/>
    <mergeCell ref="E76:E81"/>
    <mergeCell ref="G76:G81"/>
    <mergeCell ref="K25:K29"/>
    <mergeCell ref="K17:K21"/>
    <mergeCell ref="I49:I59"/>
    <mergeCell ref="H9:H13"/>
    <mergeCell ref="L163:L178"/>
    <mergeCell ref="M163:M178"/>
    <mergeCell ref="B135:B141"/>
    <mergeCell ref="M8:M14"/>
    <mergeCell ref="A24:A30"/>
    <mergeCell ref="B24:B30"/>
    <mergeCell ref="B32:B38"/>
    <mergeCell ref="A32:A38"/>
    <mergeCell ref="A40:A46"/>
    <mergeCell ref="B40:B46"/>
    <mergeCell ref="C54:D54"/>
    <mergeCell ref="C60:E60"/>
    <mergeCell ref="D66:D67"/>
    <mergeCell ref="C62:D62"/>
    <mergeCell ref="E54:E59"/>
    <mergeCell ref="C46:E46"/>
    <mergeCell ref="F135:F140"/>
    <mergeCell ref="F24:F29"/>
    <mergeCell ref="F32:F37"/>
    <mergeCell ref="F40:F45"/>
    <mergeCell ref="M76:M82"/>
    <mergeCell ref="D115:D116"/>
    <mergeCell ref="C48:D48"/>
    <mergeCell ref="E48:E53"/>
    <mergeCell ref="G62:G73"/>
    <mergeCell ref="F62:F73"/>
    <mergeCell ref="H17:H21"/>
    <mergeCell ref="I17:I21"/>
    <mergeCell ref="J17:J21"/>
    <mergeCell ref="H25:H29"/>
    <mergeCell ref="I25:I29"/>
    <mergeCell ref="J144:J160"/>
    <mergeCell ref="C208:F208"/>
    <mergeCell ref="F204:F207"/>
    <mergeCell ref="L204:L208"/>
    <mergeCell ref="E186:E191"/>
    <mergeCell ref="I164:I177"/>
    <mergeCell ref="J164:J177"/>
    <mergeCell ref="M194:M202"/>
    <mergeCell ref="B194:B202"/>
    <mergeCell ref="E163:E171"/>
    <mergeCell ref="G143:G160"/>
    <mergeCell ref="F163:F177"/>
    <mergeCell ref="G163:G177"/>
    <mergeCell ref="A163:A178"/>
    <mergeCell ref="C178:E178"/>
    <mergeCell ref="C173:D173"/>
    <mergeCell ref="C174:D174"/>
    <mergeCell ref="C175:D175"/>
    <mergeCell ref="C177:E177"/>
    <mergeCell ref="C166:D166"/>
    <mergeCell ref="C167:D167"/>
    <mergeCell ref="C168:D168"/>
    <mergeCell ref="C169:D169"/>
    <mergeCell ref="C170:D170"/>
    <mergeCell ref="C171:D171"/>
    <mergeCell ref="B163:B178"/>
    <mergeCell ref="H164:H177"/>
    <mergeCell ref="C161:F161"/>
    <mergeCell ref="A143:A161"/>
    <mergeCell ref="B143:B161"/>
    <mergeCell ref="L143:L161"/>
    <mergeCell ref="M143:M161"/>
    <mergeCell ref="A194:A202"/>
    <mergeCell ref="A180:A192"/>
    <mergeCell ref="C180:D180"/>
    <mergeCell ref="E180:E185"/>
    <mergeCell ref="B180:B192"/>
    <mergeCell ref="G204:G207"/>
    <mergeCell ref="C222:F222"/>
    <mergeCell ref="H205:H207"/>
    <mergeCell ref="I205:I207"/>
    <mergeCell ref="J205:J207"/>
    <mergeCell ref="K187:K191"/>
    <mergeCell ref="A210:A214"/>
    <mergeCell ref="B210:B214"/>
    <mergeCell ref="M224:M231"/>
    <mergeCell ref="A224:A231"/>
    <mergeCell ref="B224:B231"/>
    <mergeCell ref="C233:D233"/>
    <mergeCell ref="C234:D234"/>
    <mergeCell ref="M204:M208"/>
    <mergeCell ref="A204:A208"/>
    <mergeCell ref="B204:B208"/>
    <mergeCell ref="C216:D216"/>
    <mergeCell ref="C217:D217"/>
    <mergeCell ref="A216:A222"/>
    <mergeCell ref="B216:B222"/>
    <mergeCell ref="C204:D204"/>
    <mergeCell ref="E204:E207"/>
    <mergeCell ref="C205:D205"/>
    <mergeCell ref="C206:D206"/>
    <mergeCell ref="C207:D207"/>
    <mergeCell ref="C218:D218"/>
    <mergeCell ref="C219:D219"/>
    <mergeCell ref="C220:D220"/>
    <mergeCell ref="C235:D235"/>
    <mergeCell ref="C236:D236"/>
    <mergeCell ref="F233:F236"/>
    <mergeCell ref="B233:B237"/>
    <mergeCell ref="A233:A237"/>
    <mergeCell ref="C224:D224"/>
    <mergeCell ref="C225:D225"/>
    <mergeCell ref="C228:D228"/>
    <mergeCell ref="C231:F231"/>
    <mergeCell ref="L224:L231"/>
    <mergeCell ref="E224:E230"/>
    <mergeCell ref="F224:F230"/>
    <mergeCell ref="C229:D229"/>
    <mergeCell ref="C230:D230"/>
    <mergeCell ref="L233:L237"/>
    <mergeCell ref="M233:M237"/>
    <mergeCell ref="E233:E236"/>
    <mergeCell ref="C226:D226"/>
    <mergeCell ref="C227:D227"/>
    <mergeCell ref="G224:G230"/>
    <mergeCell ref="C237:F237"/>
    <mergeCell ref="C241:F241"/>
    <mergeCell ref="C255:D255"/>
    <mergeCell ref="C256:D256"/>
    <mergeCell ref="A255:A259"/>
    <mergeCell ref="B255:B259"/>
    <mergeCell ref="C352:F352"/>
    <mergeCell ref="L345:L352"/>
    <mergeCell ref="M345:M352"/>
    <mergeCell ref="A345:A352"/>
    <mergeCell ref="B345:B352"/>
    <mergeCell ref="F345:F351"/>
    <mergeCell ref="C257:D257"/>
    <mergeCell ref="C258:D258"/>
    <mergeCell ref="M392:M396"/>
    <mergeCell ref="M255:M259"/>
    <mergeCell ref="C360:D360"/>
    <mergeCell ref="E360:E365"/>
    <mergeCell ref="B335:B343"/>
    <mergeCell ref="A335:A343"/>
    <mergeCell ref="C345:D345"/>
    <mergeCell ref="E345:E351"/>
    <mergeCell ref="F243:F246"/>
    <mergeCell ref="M297:M320"/>
    <mergeCell ref="C320:F320"/>
    <mergeCell ref="B261:B277"/>
    <mergeCell ref="A261:A277"/>
    <mergeCell ref="A279:A295"/>
    <mergeCell ref="A376:A382"/>
    <mergeCell ref="F376:F381"/>
    <mergeCell ref="C366:F366"/>
    <mergeCell ref="F261:F276"/>
    <mergeCell ref="A239:A241"/>
    <mergeCell ref="M410:M417"/>
    <mergeCell ref="A410:A417"/>
    <mergeCell ref="B410:B417"/>
    <mergeCell ref="C396:F396"/>
    <mergeCell ref="L398:L402"/>
    <mergeCell ref="M398:M402"/>
    <mergeCell ref="C404:D404"/>
    <mergeCell ref="C406:D406"/>
    <mergeCell ref="E404:E407"/>
    <mergeCell ref="B376:B382"/>
    <mergeCell ref="C425:F425"/>
    <mergeCell ref="C382:F382"/>
    <mergeCell ref="C405:D405"/>
    <mergeCell ref="L376:L382"/>
    <mergeCell ref="M376:M382"/>
    <mergeCell ref="C390:F390"/>
    <mergeCell ref="F384:F389"/>
    <mergeCell ref="E384:E389"/>
    <mergeCell ref="A384:A390"/>
    <mergeCell ref="G410:G416"/>
    <mergeCell ref="G419:G424"/>
    <mergeCell ref="L404:L408"/>
    <mergeCell ref="M404:M408"/>
    <mergeCell ref="C398:D398"/>
    <mergeCell ref="C399:D399"/>
    <mergeCell ref="M384:M390"/>
    <mergeCell ref="A404:A408"/>
    <mergeCell ref="E392:E395"/>
    <mergeCell ref="E376:E381"/>
    <mergeCell ref="C384:D384"/>
    <mergeCell ref="A392:A396"/>
    <mergeCell ref="B392:B396"/>
    <mergeCell ref="L354:L366"/>
    <mergeCell ref="G435:G452"/>
    <mergeCell ref="K436:K440"/>
    <mergeCell ref="C435:D435"/>
    <mergeCell ref="E435:E440"/>
    <mergeCell ref="E447:E452"/>
    <mergeCell ref="C427:D427"/>
    <mergeCell ref="F419:F424"/>
    <mergeCell ref="F404:F407"/>
    <mergeCell ref="A435:A453"/>
    <mergeCell ref="B435:B453"/>
    <mergeCell ref="E368:E373"/>
    <mergeCell ref="A368:A374"/>
    <mergeCell ref="B368:B374"/>
    <mergeCell ref="C376:D376"/>
    <mergeCell ref="L410:L417"/>
    <mergeCell ref="C392:D392"/>
    <mergeCell ref="C402:F402"/>
    <mergeCell ref="C407:D407"/>
    <mergeCell ref="C374:F374"/>
    <mergeCell ref="C419:D419"/>
    <mergeCell ref="C408:F408"/>
    <mergeCell ref="B419:B425"/>
    <mergeCell ref="L384:L390"/>
    <mergeCell ref="C417:F417"/>
    <mergeCell ref="F410:F416"/>
    <mergeCell ref="A354:A366"/>
    <mergeCell ref="E419:E424"/>
    <mergeCell ref="K442:K446"/>
    <mergeCell ref="K448:K452"/>
    <mergeCell ref="I355:I365"/>
    <mergeCell ref="J355:J365"/>
    <mergeCell ref="F354:F365"/>
    <mergeCell ref="G354:G365"/>
    <mergeCell ref="G509:G512"/>
    <mergeCell ref="G515:G520"/>
    <mergeCell ref="F463:F474"/>
    <mergeCell ref="A543:A547"/>
    <mergeCell ref="B543:B547"/>
    <mergeCell ref="C529:D529"/>
    <mergeCell ref="E529:E534"/>
    <mergeCell ref="C535:D535"/>
    <mergeCell ref="E535:E540"/>
    <mergeCell ref="C541:F541"/>
    <mergeCell ref="C543:D543"/>
    <mergeCell ref="C544:D544"/>
    <mergeCell ref="C547:F547"/>
    <mergeCell ref="A523:A541"/>
    <mergeCell ref="C489:D489"/>
    <mergeCell ref="B463:B475"/>
    <mergeCell ref="C501:D501"/>
    <mergeCell ref="E501:E506"/>
    <mergeCell ref="C469:D469"/>
    <mergeCell ref="E469:E474"/>
    <mergeCell ref="C475:F475"/>
    <mergeCell ref="C509:D509"/>
    <mergeCell ref="E489:E494"/>
    <mergeCell ref="G455:G460"/>
    <mergeCell ref="B427:B433"/>
    <mergeCell ref="E427:E432"/>
    <mergeCell ref="G427:G432"/>
    <mergeCell ref="A427:A433"/>
    <mergeCell ref="C433:F433"/>
    <mergeCell ref="B509:B513"/>
    <mergeCell ref="C760:D760"/>
    <mergeCell ref="C761:D761"/>
    <mergeCell ref="C762:D762"/>
    <mergeCell ref="C763:D763"/>
    <mergeCell ref="C764:D764"/>
    <mergeCell ref="C765:C767"/>
    <mergeCell ref="C768:C770"/>
    <mergeCell ref="A633:A644"/>
    <mergeCell ref="B633:B644"/>
    <mergeCell ref="C631:F631"/>
    <mergeCell ref="C651:D651"/>
    <mergeCell ref="C652:D652"/>
    <mergeCell ref="C653:D653"/>
    <mergeCell ref="A646:A657"/>
    <mergeCell ref="C513:F513"/>
    <mergeCell ref="B549:B555"/>
    <mergeCell ref="A549:A555"/>
    <mergeCell ref="E549:E554"/>
    <mergeCell ref="C523:D523"/>
    <mergeCell ref="E523:E528"/>
    <mergeCell ref="A659:A669"/>
    <mergeCell ref="B659:B669"/>
    <mergeCell ref="A728:A753"/>
    <mergeCell ref="C515:D515"/>
    <mergeCell ref="A699:A726"/>
    <mergeCell ref="C646:D646"/>
    <mergeCell ref="E646:E653"/>
    <mergeCell ref="C557:D557"/>
    <mergeCell ref="C585:D585"/>
    <mergeCell ref="F585:F590"/>
    <mergeCell ref="B523:B541"/>
    <mergeCell ref="B699:B726"/>
    <mergeCell ref="C699:D699"/>
    <mergeCell ref="C660:D660"/>
    <mergeCell ref="C661:D661"/>
    <mergeCell ref="C662:D662"/>
    <mergeCell ref="C663:D663"/>
    <mergeCell ref="A515:A521"/>
    <mergeCell ref="F601:F606"/>
    <mergeCell ref="E601:E606"/>
    <mergeCell ref="A557:A567"/>
    <mergeCell ref="C558:D558"/>
    <mergeCell ref="C560:D560"/>
    <mergeCell ref="C567:F567"/>
    <mergeCell ref="E560:E565"/>
    <mergeCell ref="A585:A591"/>
    <mergeCell ref="B585:B591"/>
    <mergeCell ref="B569:B575"/>
    <mergeCell ref="A569:A575"/>
    <mergeCell ref="B577:B583"/>
    <mergeCell ref="E613:E618"/>
    <mergeCell ref="C607:F607"/>
    <mergeCell ref="F593:F594"/>
    <mergeCell ref="C609:D609"/>
    <mergeCell ref="C610:D610"/>
    <mergeCell ref="C659:D659"/>
    <mergeCell ref="E543:E544"/>
    <mergeCell ref="E545:E546"/>
    <mergeCell ref="L597:L599"/>
    <mergeCell ref="A463:A475"/>
    <mergeCell ref="A455:A461"/>
    <mergeCell ref="B455:B461"/>
    <mergeCell ref="C453:F453"/>
    <mergeCell ref="C455:D455"/>
    <mergeCell ref="L659:L669"/>
    <mergeCell ref="M659:M669"/>
    <mergeCell ref="C669:F669"/>
    <mergeCell ref="L523:L541"/>
    <mergeCell ref="M633:M644"/>
    <mergeCell ref="E633:E640"/>
    <mergeCell ref="L621:L631"/>
    <mergeCell ref="M621:M631"/>
    <mergeCell ref="L593:L595"/>
    <mergeCell ref="M593:M595"/>
    <mergeCell ref="C595:F595"/>
    <mergeCell ref="A593:A595"/>
    <mergeCell ref="B593:B595"/>
    <mergeCell ref="C594:D594"/>
    <mergeCell ref="J602:J606"/>
    <mergeCell ref="L609:L611"/>
    <mergeCell ref="M609:M611"/>
    <mergeCell ref="B609:B611"/>
    <mergeCell ref="L613:L619"/>
    <mergeCell ref="B613:B619"/>
    <mergeCell ref="A621:A631"/>
    <mergeCell ref="B621:B631"/>
    <mergeCell ref="C636:D636"/>
    <mergeCell ref="C621:D621"/>
    <mergeCell ref="J550:J554"/>
    <mergeCell ref="E593:E594"/>
    <mergeCell ref="A836:A859"/>
    <mergeCell ref="E836:E850"/>
    <mergeCell ref="C818:C822"/>
    <mergeCell ref="C823:C827"/>
    <mergeCell ref="C828:C832"/>
    <mergeCell ref="C834:F834"/>
    <mergeCell ref="C797:D797"/>
    <mergeCell ref="C798:C802"/>
    <mergeCell ref="C803:C807"/>
    <mergeCell ref="C808:C812"/>
    <mergeCell ref="C813:C817"/>
    <mergeCell ref="C626:D626"/>
    <mergeCell ref="C627:D627"/>
    <mergeCell ref="C628:D628"/>
    <mergeCell ref="F621:F628"/>
    <mergeCell ref="C705:D705"/>
    <mergeCell ref="C706:D706"/>
    <mergeCell ref="C707:D707"/>
    <mergeCell ref="C708:D708"/>
    <mergeCell ref="C633:D633"/>
    <mergeCell ref="C622:D622"/>
    <mergeCell ref="C623:D623"/>
    <mergeCell ref="C624:D624"/>
    <mergeCell ref="C625:D625"/>
    <mergeCell ref="A755:A786"/>
    <mergeCell ref="C789:D789"/>
    <mergeCell ref="C790:D790"/>
    <mergeCell ref="C793:D793"/>
    <mergeCell ref="C794:D794"/>
    <mergeCell ref="C795:D795"/>
    <mergeCell ref="C796:D796"/>
    <mergeCell ref="C751:D751"/>
    <mergeCell ref="L836:L859"/>
    <mergeCell ref="A869:A876"/>
    <mergeCell ref="M869:M876"/>
    <mergeCell ref="A16:A22"/>
    <mergeCell ref="B16:B22"/>
    <mergeCell ref="C16:D16"/>
    <mergeCell ref="E16:E21"/>
    <mergeCell ref="F16:F21"/>
    <mergeCell ref="L16:L22"/>
    <mergeCell ref="M16:M22"/>
    <mergeCell ref="C22:E22"/>
    <mergeCell ref="C74:F74"/>
    <mergeCell ref="C109:F109"/>
    <mergeCell ref="C143:D143"/>
    <mergeCell ref="C869:D869"/>
    <mergeCell ref="C870:D870"/>
    <mergeCell ref="C871:D871"/>
    <mergeCell ref="A243:A247"/>
    <mergeCell ref="B243:B247"/>
    <mergeCell ref="C243:D243"/>
    <mergeCell ref="E335:E342"/>
    <mergeCell ref="B297:B320"/>
    <mergeCell ref="A297:A320"/>
    <mergeCell ref="C346:D346"/>
    <mergeCell ref="G609:G610"/>
    <mergeCell ref="C634:D634"/>
    <mergeCell ref="C322:D322"/>
    <mergeCell ref="C323:D323"/>
    <mergeCell ref="C324:D324"/>
    <mergeCell ref="L633:L644"/>
    <mergeCell ref="M788:M834"/>
    <mergeCell ref="B755:B786"/>
    <mergeCell ref="C792:D792"/>
    <mergeCell ref="A886:A892"/>
    <mergeCell ref="B886:B892"/>
    <mergeCell ref="C886:D886"/>
    <mergeCell ref="A322:A327"/>
    <mergeCell ref="C325:D325"/>
    <mergeCell ref="L279:L295"/>
    <mergeCell ref="M279:M295"/>
    <mergeCell ref="C280:D280"/>
    <mergeCell ref="C281:D281"/>
    <mergeCell ref="C282:D282"/>
    <mergeCell ref="C283:D283"/>
    <mergeCell ref="C284:D284"/>
    <mergeCell ref="C285:D285"/>
    <mergeCell ref="C286:D286"/>
    <mergeCell ref="C295:F295"/>
    <mergeCell ref="C411:D411"/>
    <mergeCell ref="L646:L657"/>
    <mergeCell ref="M646:M657"/>
    <mergeCell ref="C657:F657"/>
    <mergeCell ref="L322:L327"/>
    <mergeCell ref="M322:M327"/>
    <mergeCell ref="M335:M343"/>
    <mergeCell ref="L335:L343"/>
    <mergeCell ref="C598:D598"/>
    <mergeCell ref="M509:M513"/>
    <mergeCell ref="L427:L433"/>
    <mergeCell ref="J692:J696"/>
    <mergeCell ref="C700:D700"/>
    <mergeCell ref="C701:D701"/>
    <mergeCell ref="C732:D732"/>
    <mergeCell ref="C757:D757"/>
    <mergeCell ref="A894:A900"/>
    <mergeCell ref="B894:B900"/>
    <mergeCell ref="C894:D894"/>
    <mergeCell ref="A902:A908"/>
    <mergeCell ref="B902:B908"/>
    <mergeCell ref="C902:D902"/>
    <mergeCell ref="F239:F240"/>
    <mergeCell ref="C339:D339"/>
    <mergeCell ref="C341:D341"/>
    <mergeCell ref="C327:F327"/>
    <mergeCell ref="C343:F343"/>
    <mergeCell ref="E322:E326"/>
    <mergeCell ref="F322:F326"/>
    <mergeCell ref="E878:E883"/>
    <mergeCell ref="F878:F883"/>
    <mergeCell ref="E886:E891"/>
    <mergeCell ref="F886:F891"/>
    <mergeCell ref="B788:B834"/>
    <mergeCell ref="B728:B753"/>
    <mergeCell ref="E728:E751"/>
    <mergeCell ref="C729:D729"/>
    <mergeCell ref="C730:D730"/>
    <mergeCell ref="B354:B366"/>
    <mergeCell ref="B322:B327"/>
    <mergeCell ref="A878:A884"/>
    <mergeCell ref="B878:B884"/>
    <mergeCell ref="C878:D878"/>
    <mergeCell ref="B646:B657"/>
    <mergeCell ref="C461:F461"/>
    <mergeCell ref="C336:D336"/>
    <mergeCell ref="C337:D337"/>
    <mergeCell ref="C340:D340"/>
    <mergeCell ref="C758:D758"/>
    <mergeCell ref="H729:H751"/>
    <mergeCell ref="I647:I653"/>
    <mergeCell ref="J647:J653"/>
    <mergeCell ref="E621:E628"/>
    <mergeCell ref="F646:F653"/>
    <mergeCell ref="J464:J474"/>
    <mergeCell ref="G463:G474"/>
    <mergeCell ref="K464:K468"/>
    <mergeCell ref="C741:C743"/>
    <mergeCell ref="C744:C746"/>
    <mergeCell ref="M455:M461"/>
    <mergeCell ref="M427:M433"/>
    <mergeCell ref="L543:L547"/>
    <mergeCell ref="M543:M547"/>
    <mergeCell ref="M613:M619"/>
    <mergeCell ref="K692:K696"/>
    <mergeCell ref="M755:M786"/>
    <mergeCell ref="H614:H618"/>
    <mergeCell ref="I614:I618"/>
    <mergeCell ref="H622:H628"/>
    <mergeCell ref="I622:I628"/>
    <mergeCell ref="C738:C740"/>
    <mergeCell ref="C635:D635"/>
    <mergeCell ref="L515:L521"/>
    <mergeCell ref="M515:M521"/>
    <mergeCell ref="F515:F520"/>
    <mergeCell ref="C521:F521"/>
    <mergeCell ref="E515:E520"/>
    <mergeCell ref="K470:K474"/>
    <mergeCell ref="K478:K482"/>
    <mergeCell ref="L463:L475"/>
    <mergeCell ref="M463:M475"/>
    <mergeCell ref="M523:M541"/>
    <mergeCell ref="L509:L513"/>
    <mergeCell ref="J524:J540"/>
    <mergeCell ref="K484:K488"/>
    <mergeCell ref="K490:K494"/>
    <mergeCell ref="K496:K500"/>
    <mergeCell ref="E483:E488"/>
    <mergeCell ref="K502:K506"/>
    <mergeCell ref="H510:H512"/>
    <mergeCell ref="I510:I512"/>
    <mergeCell ref="E495:E500"/>
    <mergeCell ref="C512:D512"/>
    <mergeCell ref="E509:E512"/>
    <mergeCell ref="F509:F512"/>
    <mergeCell ref="H478:H506"/>
    <mergeCell ref="J478:J506"/>
    <mergeCell ref="M477:M507"/>
    <mergeCell ref="C495:D495"/>
    <mergeCell ref="K524:K528"/>
    <mergeCell ref="K530:K534"/>
    <mergeCell ref="K536:K540"/>
    <mergeCell ref="C477:D477"/>
    <mergeCell ref="E477:E482"/>
    <mergeCell ref="C510:D510"/>
    <mergeCell ref="M894:M900"/>
    <mergeCell ref="L902:L908"/>
    <mergeCell ref="M902:M908"/>
    <mergeCell ref="C872:D872"/>
    <mergeCell ref="C873:D873"/>
    <mergeCell ref="C874:D874"/>
    <mergeCell ref="L869:L876"/>
    <mergeCell ref="E894:E899"/>
    <mergeCell ref="F894:F899"/>
    <mergeCell ref="E902:E907"/>
    <mergeCell ref="F902:F907"/>
    <mergeCell ref="C884:F884"/>
    <mergeCell ref="C892:F892"/>
    <mergeCell ref="J903:J907"/>
    <mergeCell ref="C908:F908"/>
    <mergeCell ref="C728:D728"/>
    <mergeCell ref="F728:F751"/>
    <mergeCell ref="F869:F875"/>
    <mergeCell ref="C876:F876"/>
    <mergeCell ref="E869:E875"/>
    <mergeCell ref="L878:L884"/>
    <mergeCell ref="M878:M884"/>
    <mergeCell ref="L886:L892"/>
    <mergeCell ref="M886:M892"/>
    <mergeCell ref="M836:M859"/>
    <mergeCell ref="F836:F858"/>
    <mergeCell ref="L894:L900"/>
    <mergeCell ref="C791:D791"/>
    <mergeCell ref="C755:D755"/>
    <mergeCell ref="C756:D756"/>
    <mergeCell ref="C771:C773"/>
    <mergeCell ref="G886:G891"/>
    <mergeCell ref="G894:G899"/>
    <mergeCell ref="L865:L867"/>
    <mergeCell ref="H756:H785"/>
    <mergeCell ref="I756:I785"/>
    <mergeCell ref="J729:J751"/>
    <mergeCell ref="J622:J628"/>
    <mergeCell ref="H634:H640"/>
    <mergeCell ref="I634:I640"/>
    <mergeCell ref="J634:J640"/>
    <mergeCell ref="H647:H653"/>
    <mergeCell ref="C683:D683"/>
    <mergeCell ref="C684:D684"/>
    <mergeCell ref="C671:D671"/>
    <mergeCell ref="J700:J724"/>
    <mergeCell ref="C704:D704"/>
    <mergeCell ref="I729:I751"/>
    <mergeCell ref="C859:F859"/>
    <mergeCell ref="L755:L786"/>
    <mergeCell ref="G699:G724"/>
    <mergeCell ref="C836:D836"/>
    <mergeCell ref="H700:H724"/>
    <mergeCell ref="I700:I724"/>
    <mergeCell ref="C709:C711"/>
    <mergeCell ref="C712:C714"/>
    <mergeCell ref="C715:C717"/>
    <mergeCell ref="C724:D724"/>
    <mergeCell ref="G878:G883"/>
    <mergeCell ref="J756:J785"/>
    <mergeCell ref="C731:D731"/>
    <mergeCell ref="C759:D759"/>
    <mergeCell ref="L788:L834"/>
    <mergeCell ref="C788:D788"/>
    <mergeCell ref="F210:F213"/>
    <mergeCell ref="C211:D211"/>
    <mergeCell ref="C212:D212"/>
    <mergeCell ref="C213:D213"/>
    <mergeCell ref="C214:F214"/>
    <mergeCell ref="C221:D221"/>
    <mergeCell ref="H244:H246"/>
    <mergeCell ref="I244:I246"/>
    <mergeCell ref="G902:G907"/>
    <mergeCell ref="H903:H907"/>
    <mergeCell ref="I903:I907"/>
    <mergeCell ref="D493:D494"/>
    <mergeCell ref="D499:D500"/>
    <mergeCell ref="C638:D638"/>
    <mergeCell ref="C639:D639"/>
    <mergeCell ref="C640:D640"/>
    <mergeCell ref="F557:F566"/>
    <mergeCell ref="G557:G566"/>
    <mergeCell ref="H570:H574"/>
    <mergeCell ref="I570:I574"/>
    <mergeCell ref="G621:G628"/>
    <mergeCell ref="G633:G640"/>
    <mergeCell ref="H524:H540"/>
    <mergeCell ref="I524:I540"/>
    <mergeCell ref="H550:H554"/>
    <mergeCell ref="G593:G594"/>
    <mergeCell ref="G613:G618"/>
    <mergeCell ref="H602:H606"/>
    <mergeCell ref="G398:G401"/>
    <mergeCell ref="G404:G407"/>
    <mergeCell ref="G728:G751"/>
    <mergeCell ref="G543:G546"/>
    <mergeCell ref="J323:J325"/>
    <mergeCell ref="C900:F900"/>
    <mergeCell ref="B869:B876"/>
    <mergeCell ref="B836:B859"/>
    <mergeCell ref="C774:D774"/>
    <mergeCell ref="C775:D775"/>
    <mergeCell ref="C776:D776"/>
    <mergeCell ref="F279:F294"/>
    <mergeCell ref="B557:B567"/>
    <mergeCell ref="B515:B521"/>
    <mergeCell ref="E455:E460"/>
    <mergeCell ref="F455:F460"/>
    <mergeCell ref="F392:F395"/>
    <mergeCell ref="G836:G858"/>
    <mergeCell ref="G869:G875"/>
    <mergeCell ref="C393:D393"/>
    <mergeCell ref="C394:D394"/>
    <mergeCell ref="C395:D395"/>
    <mergeCell ref="C368:D368"/>
    <mergeCell ref="C338:D338"/>
    <mergeCell ref="C752:F752"/>
    <mergeCell ref="C753:F753"/>
    <mergeCell ref="C335:D335"/>
    <mergeCell ref="I336:I341"/>
    <mergeCell ref="I692:I696"/>
    <mergeCell ref="C593:D593"/>
    <mergeCell ref="G646:G653"/>
    <mergeCell ref="G659:G666"/>
    <mergeCell ref="G671:G678"/>
    <mergeCell ref="G681:G686"/>
    <mergeCell ref="G691:G696"/>
    <mergeCell ref="E398:E401"/>
    <mergeCell ref="G16:G21"/>
    <mergeCell ref="G24:G29"/>
    <mergeCell ref="G32:G37"/>
    <mergeCell ref="G40:G45"/>
    <mergeCell ref="I120:I124"/>
    <mergeCell ref="M210:M214"/>
    <mergeCell ref="H217:H221"/>
    <mergeCell ref="I217:I221"/>
    <mergeCell ref="J217:J221"/>
    <mergeCell ref="G210:G213"/>
    <mergeCell ref="H211:H213"/>
    <mergeCell ref="I211:I213"/>
    <mergeCell ref="J211:J213"/>
    <mergeCell ref="H256:H258"/>
    <mergeCell ref="I256:I258"/>
    <mergeCell ref="J256:J258"/>
    <mergeCell ref="L210:L214"/>
    <mergeCell ref="H33:H37"/>
    <mergeCell ref="I33:I37"/>
    <mergeCell ref="J33:J37"/>
    <mergeCell ref="K33:K37"/>
    <mergeCell ref="H41:H45"/>
    <mergeCell ref="I41:I45"/>
    <mergeCell ref="J41:J45"/>
    <mergeCell ref="K41:K45"/>
    <mergeCell ref="H77:H81"/>
    <mergeCell ref="I77:I81"/>
    <mergeCell ref="J77:J81"/>
    <mergeCell ref="K77:K81"/>
    <mergeCell ref="H144:H160"/>
    <mergeCell ref="I144:I160"/>
    <mergeCell ref="M239:M241"/>
    <mergeCell ref="L216:L222"/>
    <mergeCell ref="M216:M222"/>
    <mergeCell ref="F216:F221"/>
    <mergeCell ref="A861:A863"/>
    <mergeCell ref="B861:B863"/>
    <mergeCell ref="C861:D861"/>
    <mergeCell ref="E861:E862"/>
    <mergeCell ref="F861:F862"/>
    <mergeCell ref="G861:G862"/>
    <mergeCell ref="L861:L863"/>
    <mergeCell ref="M861:M863"/>
    <mergeCell ref="C862:D862"/>
    <mergeCell ref="C863:F863"/>
    <mergeCell ref="H225:H230"/>
    <mergeCell ref="I225:I230"/>
    <mergeCell ref="J225:J230"/>
    <mergeCell ref="H234:H236"/>
    <mergeCell ref="I234:I236"/>
    <mergeCell ref="J234:J236"/>
    <mergeCell ref="I399:I401"/>
    <mergeCell ref="J399:J401"/>
    <mergeCell ref="H405:H407"/>
    <mergeCell ref="I405:I407"/>
    <mergeCell ref="J405:J407"/>
    <mergeCell ref="H411:H416"/>
    <mergeCell ref="I411:I416"/>
    <mergeCell ref="J411:J416"/>
    <mergeCell ref="H262:H268"/>
    <mergeCell ref="I262:I268"/>
    <mergeCell ref="J262:J268"/>
    <mergeCell ref="H692:H696"/>
    <mergeCell ref="F335:F342"/>
    <mergeCell ref="C149:D149"/>
    <mergeCell ref="C155:D155"/>
    <mergeCell ref="K412:K416"/>
    <mergeCell ref="H420:H424"/>
    <mergeCell ref="I420:I424"/>
    <mergeCell ref="J420:J424"/>
    <mergeCell ref="K420:K424"/>
    <mergeCell ref="H355:H365"/>
    <mergeCell ref="H428:H432"/>
    <mergeCell ref="I428:I432"/>
    <mergeCell ref="J428:J432"/>
    <mergeCell ref="K428:K432"/>
    <mergeCell ref="B48:B60"/>
    <mergeCell ref="B62:B74"/>
    <mergeCell ref="C176:D176"/>
    <mergeCell ref="J510:J512"/>
    <mergeCell ref="H516:H520"/>
    <mergeCell ref="I516:I520"/>
    <mergeCell ref="J516:J520"/>
    <mergeCell ref="K516:K520"/>
    <mergeCell ref="K347:K351"/>
    <mergeCell ref="K355:K359"/>
    <mergeCell ref="K361:K365"/>
    <mergeCell ref="H399:H401"/>
    <mergeCell ref="E216:E221"/>
    <mergeCell ref="E143:E160"/>
    <mergeCell ref="F143:F160"/>
    <mergeCell ref="J298:J311"/>
    <mergeCell ref="H336:H341"/>
    <mergeCell ref="J336:J341"/>
    <mergeCell ref="C210:D210"/>
    <mergeCell ref="E210:E213"/>
  </mergeCells>
  <conditionalFormatting sqref="K535 K529 K354 K360 K368 K376 K384 K16 K419 K427 K435 K441 K447 K455 K463 K469 K477 K501 K515 K523 K549 K560 K569 K577 K585 K601 K613 K691 K345 K186 K180 K8 K24 K32 K40 K48 K62 K76 K111 K119 K127 K135 K410">
    <cfRule type="expression" dxfId="115" priority="97">
      <formula>OR(ISBLANK(K8),K8&lt;0,K8&gt;4)</formula>
    </cfRule>
  </conditionalFormatting>
  <conditionalFormatting sqref="K878">
    <cfRule type="expression" dxfId="114" priority="12">
      <formula>OR(ISBLANK(K878),K878&lt;0,K878&gt;4)</formula>
    </cfRule>
  </conditionalFormatting>
  <conditionalFormatting sqref="K886">
    <cfRule type="expression" dxfId="113" priority="11">
      <formula>OR(ISBLANK(K886),K886&lt;0,K886&gt;4)</formula>
    </cfRule>
  </conditionalFormatting>
  <conditionalFormatting sqref="K894">
    <cfRule type="expression" dxfId="112" priority="10">
      <formula>OR(ISBLANK(K894),K894&lt;0,K894&gt;4)</formula>
    </cfRule>
  </conditionalFormatting>
  <conditionalFormatting sqref="K902">
    <cfRule type="expression" dxfId="111" priority="9">
      <formula>OR(ISBLANK(K902),K902&lt;0,K902&gt;4)</formula>
    </cfRule>
  </conditionalFormatting>
  <conditionalFormatting sqref="K483">
    <cfRule type="expression" dxfId="110" priority="8">
      <formula>OR(ISBLANK(K483),K483&lt;0,K483&gt;4)</formula>
    </cfRule>
  </conditionalFormatting>
  <conditionalFormatting sqref="K489">
    <cfRule type="expression" dxfId="109" priority="7">
      <formula>OR(ISBLANK(K489),K489&lt;0,K489&gt;4)</formula>
    </cfRule>
  </conditionalFormatting>
  <conditionalFormatting sqref="K495">
    <cfRule type="expression" dxfId="108" priority="6">
      <formula>OR(ISBLANK(K495),K495&lt;0,K495&gt;4)</formula>
    </cfRule>
  </conditionalFormatting>
  <conditionalFormatting sqref="K54">
    <cfRule type="expression" dxfId="107" priority="5">
      <formula>OR(ISBLANK(K54),K54&lt;0,K54&gt;4)</formula>
    </cfRule>
  </conditionalFormatting>
  <conditionalFormatting sqref="K68">
    <cfRule type="expression" dxfId="106" priority="4">
      <formula>OR(ISBLANK(K68),K68&lt;0,K68&gt;4)</formula>
    </cfRule>
  </conditionalFormatting>
  <conditionalFormatting sqref="K143">
    <cfRule type="expression" dxfId="105" priority="3">
      <formula>OR(ISBLANK(K143),K143&lt;0,K143&gt;4)</formula>
    </cfRule>
  </conditionalFormatting>
  <conditionalFormatting sqref="K149">
    <cfRule type="expression" dxfId="104" priority="2">
      <formula>OR(ISBLANK(K149),K149&lt;0,K149&gt;4)</formula>
    </cfRule>
  </conditionalFormatting>
  <conditionalFormatting sqref="K155">
    <cfRule type="expression" dxfId="103" priority="1">
      <formula>OR(ISBLANK(K155),K155&lt;0,K155&gt;4)</formula>
    </cfRule>
  </conditionalFormatting>
  <dataValidations count="2">
    <dataValidation type="list" allowBlank="1" showInputMessage="1" showErrorMessage="1" promptTitle="Penjelasan" prompt="A = Sangat Kecil_x000a_B = Kecil_x000a_C = Sedang_x000a_D = Besar_x000a_E = Sangat Besar" sqref="H8 H16 H24 H32 H40 H48 H62 H76 H84 H111 H119 H127 H135 H143 H163 H180 H194 H204 H216 H224 H233 H239 H243 H255 H261 H279 H297 H322 H335 H345 H354 H392 H398 H404 H410 H419 H427 H435 H455 H463 H477 H509 H515 H523 H543 H549 H557 H569 H593 H601 H609 H613 H621 H633 H646 H659 H671 H681 H691 H699 H728 H755 H788 H836 H869 H878 H886 H894 H902 H210 H249 H329 H865 H597 H861" xr:uid="{00000000-0002-0000-0100-000000000000}">
      <formula1>"A,B,C,D,E"</formula1>
    </dataValidation>
    <dataValidation type="list" allowBlank="1" showInputMessage="1" showErrorMessage="1" promptTitle="Penjelasan" prompt="1 = Tidak Signifikan_x000a_2 = Minor_x000a_3 = Medium_x000a_4 = Signifikan_x000a_5 = Malapetaka" sqref="I8 I16 I24 I32 I40 I48 I62 I76 I84 I111 I119 I127 I135 I143 I163 I180 I194 I204 I216 I224 I233 I239 I243 I255 I261 I279 I297 I322 I335 I345 I354 I392 I398 I404 I410 I419 I427 I435 I455 I463 I477 I509 I515 I523 I543 I549 I557 I569 I593 I601 I609 I613 I621 I633 I646 I659 I671 I681 I691 I699 I728 I755 I788 I836 I869 I878 I886 I894 I902 I210 I249 I329 I865 I597 I861" xr:uid="{00000000-0002-0000-0100-000001000000}">
      <formula1>"1,2,3,4,5"</formula1>
    </dataValidation>
  </dataValidations>
  <pageMargins left="0.25" right="0.25" top="0.75" bottom="0.75" header="0.3" footer="0.3"/>
  <pageSetup paperSize="8" scale="6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F88207-18BB-4D68-BCBF-4DED186E6466}">
  <dimension ref="A1:H115"/>
  <sheetViews>
    <sheetView workbookViewId="0">
      <selection activeCell="F8" sqref="F8"/>
    </sheetView>
  </sheetViews>
  <sheetFormatPr defaultRowHeight="15" x14ac:dyDescent="0.25"/>
  <cols>
    <col min="1" max="1" width="6" style="353" customWidth="1"/>
    <col min="2" max="2" width="34.28515625" style="354" customWidth="1"/>
    <col min="3" max="3" width="74.7109375" style="354" customWidth="1"/>
    <col min="4" max="4" width="14.140625" style="355" bestFit="1" customWidth="1"/>
    <col min="5" max="5" width="22.42578125" style="356" customWidth="1"/>
    <col min="6" max="6" width="41.85546875" style="356" customWidth="1"/>
    <col min="7" max="7" width="40.5703125" bestFit="1" customWidth="1"/>
    <col min="8" max="8" width="41.140625" customWidth="1"/>
  </cols>
  <sheetData>
    <row r="1" spans="1:8" s="336" customFormat="1" ht="28.5" x14ac:dyDescent="0.45">
      <c r="A1" s="335"/>
      <c r="B1" s="521" t="s">
        <v>1134</v>
      </c>
      <c r="C1" s="521"/>
      <c r="D1" s="521"/>
      <c r="E1" s="521"/>
      <c r="F1" s="521"/>
      <c r="G1" s="521"/>
      <c r="H1" s="521"/>
    </row>
    <row r="3" spans="1:8" s="340" customFormat="1" ht="83.25" customHeight="1" thickBot="1" x14ac:dyDescent="0.3">
      <c r="A3" s="337" t="s">
        <v>1116</v>
      </c>
      <c r="B3" s="338" t="s">
        <v>1135</v>
      </c>
      <c r="C3" s="338" t="s">
        <v>1136</v>
      </c>
      <c r="D3" s="339" t="s">
        <v>1137</v>
      </c>
      <c r="E3" s="338" t="s">
        <v>1138</v>
      </c>
      <c r="F3" s="338" t="s">
        <v>1139</v>
      </c>
      <c r="G3" s="338" t="s">
        <v>1140</v>
      </c>
      <c r="H3" s="338" t="s">
        <v>1141</v>
      </c>
    </row>
    <row r="4" spans="1:8" ht="30" x14ac:dyDescent="0.25">
      <c r="A4" s="341">
        <v>1</v>
      </c>
      <c r="B4" s="342" t="s">
        <v>1142</v>
      </c>
      <c r="C4" s="342" t="s">
        <v>1143</v>
      </c>
      <c r="D4" s="343" t="s">
        <v>1144</v>
      </c>
      <c r="E4" s="344" t="s">
        <v>1145</v>
      </c>
      <c r="F4" s="345"/>
      <c r="G4" s="346"/>
      <c r="H4" s="346"/>
    </row>
    <row r="5" spans="1:8" ht="30" x14ac:dyDescent="0.25">
      <c r="A5" s="343">
        <v>2</v>
      </c>
      <c r="B5" s="342" t="s">
        <v>1142</v>
      </c>
      <c r="C5" s="342" t="s">
        <v>1146</v>
      </c>
      <c r="D5" s="343" t="s">
        <v>1147</v>
      </c>
      <c r="E5" s="347" t="s">
        <v>1145</v>
      </c>
      <c r="F5" s="345"/>
      <c r="G5" s="348"/>
      <c r="H5" s="348"/>
    </row>
    <row r="6" spans="1:8" ht="60" x14ac:dyDescent="0.25">
      <c r="A6" s="343">
        <v>3</v>
      </c>
      <c r="B6" s="342" t="s">
        <v>1148</v>
      </c>
      <c r="C6" s="342" t="s">
        <v>1149</v>
      </c>
      <c r="D6" s="343" t="s">
        <v>1150</v>
      </c>
      <c r="E6" s="347" t="s">
        <v>1151</v>
      </c>
      <c r="F6" s="349"/>
      <c r="G6" s="348"/>
      <c r="H6" s="348"/>
    </row>
    <row r="7" spans="1:8" ht="75" x14ac:dyDescent="0.25">
      <c r="A7" s="343">
        <v>4</v>
      </c>
      <c r="B7" s="342" t="s">
        <v>1148</v>
      </c>
      <c r="C7" s="342" t="s">
        <v>1152</v>
      </c>
      <c r="D7" s="343" t="s">
        <v>1153</v>
      </c>
      <c r="E7" s="347" t="s">
        <v>1154</v>
      </c>
      <c r="F7" s="349"/>
      <c r="G7" s="348"/>
      <c r="H7" s="348"/>
    </row>
    <row r="8" spans="1:8" ht="30" x14ac:dyDescent="0.25">
      <c r="A8" s="343">
        <v>5</v>
      </c>
      <c r="B8" s="342" t="s">
        <v>1148</v>
      </c>
      <c r="C8" s="342" t="s">
        <v>1155</v>
      </c>
      <c r="D8" s="343" t="s">
        <v>1156</v>
      </c>
      <c r="E8" s="347" t="s">
        <v>1154</v>
      </c>
      <c r="F8" s="349"/>
      <c r="G8" s="348"/>
      <c r="H8" s="348"/>
    </row>
    <row r="9" spans="1:8" ht="30" x14ac:dyDescent="0.25">
      <c r="A9" s="343">
        <v>6</v>
      </c>
      <c r="B9" s="342" t="s">
        <v>1148</v>
      </c>
      <c r="C9" s="342" t="s">
        <v>1157</v>
      </c>
      <c r="D9" s="343" t="s">
        <v>1158</v>
      </c>
      <c r="E9" s="347" t="s">
        <v>1154</v>
      </c>
      <c r="F9" s="349"/>
      <c r="G9" s="348"/>
      <c r="H9" s="348"/>
    </row>
    <row r="10" spans="1:8" ht="30" x14ac:dyDescent="0.25">
      <c r="A10" s="343">
        <v>7</v>
      </c>
      <c r="B10" s="342" t="s">
        <v>1159</v>
      </c>
      <c r="C10" s="342" t="s">
        <v>1160</v>
      </c>
      <c r="D10" s="343" t="s">
        <v>1161</v>
      </c>
      <c r="E10" s="347" t="s">
        <v>1154</v>
      </c>
      <c r="F10" s="347"/>
      <c r="G10" s="348"/>
      <c r="H10" s="348"/>
    </row>
    <row r="11" spans="1:8" ht="30" x14ac:dyDescent="0.25">
      <c r="A11" s="343">
        <v>8</v>
      </c>
      <c r="B11" s="342" t="s">
        <v>1159</v>
      </c>
      <c r="C11" s="342" t="s">
        <v>1162</v>
      </c>
      <c r="D11" s="343" t="s">
        <v>1163</v>
      </c>
      <c r="E11" s="347" t="s">
        <v>1154</v>
      </c>
      <c r="F11" s="347"/>
      <c r="G11" s="348"/>
      <c r="H11" s="348"/>
    </row>
    <row r="12" spans="1:8" ht="30" x14ac:dyDescent="0.25">
      <c r="A12" s="343">
        <v>9</v>
      </c>
      <c r="B12" s="342" t="s">
        <v>1159</v>
      </c>
      <c r="C12" s="342" t="s">
        <v>1164</v>
      </c>
      <c r="D12" s="343" t="s">
        <v>1165</v>
      </c>
      <c r="E12" s="347" t="s">
        <v>1154</v>
      </c>
      <c r="F12" s="347"/>
      <c r="G12" s="348"/>
      <c r="H12" s="348"/>
    </row>
    <row r="13" spans="1:8" ht="30" x14ac:dyDescent="0.25">
      <c r="A13" s="343">
        <v>10</v>
      </c>
      <c r="B13" s="342" t="s">
        <v>1159</v>
      </c>
      <c r="C13" s="342" t="s">
        <v>1166</v>
      </c>
      <c r="D13" s="343" t="s">
        <v>1167</v>
      </c>
      <c r="E13" s="347" t="s">
        <v>1154</v>
      </c>
      <c r="F13" s="347"/>
      <c r="G13" s="348"/>
      <c r="H13" s="348"/>
    </row>
    <row r="14" spans="1:8" ht="60" x14ac:dyDescent="0.25">
      <c r="A14" s="343">
        <v>11</v>
      </c>
      <c r="B14" s="342" t="s">
        <v>1159</v>
      </c>
      <c r="C14" s="342" t="s">
        <v>1168</v>
      </c>
      <c r="D14" s="343" t="s">
        <v>1169</v>
      </c>
      <c r="E14" s="347" t="s">
        <v>1154</v>
      </c>
      <c r="F14" s="347"/>
      <c r="G14" s="348"/>
      <c r="H14" s="348"/>
    </row>
    <row r="15" spans="1:8" x14ac:dyDescent="0.25">
      <c r="A15" s="343">
        <v>12</v>
      </c>
      <c r="B15" s="342" t="s">
        <v>1159</v>
      </c>
      <c r="C15" s="342" t="s">
        <v>1170</v>
      </c>
      <c r="D15" s="343" t="s">
        <v>1171</v>
      </c>
      <c r="E15" s="347" t="s">
        <v>1172</v>
      </c>
      <c r="F15" s="349"/>
      <c r="G15" s="348"/>
      <c r="H15" s="348"/>
    </row>
    <row r="16" spans="1:8" ht="30" x14ac:dyDescent="0.25">
      <c r="A16" s="343">
        <v>13</v>
      </c>
      <c r="B16" s="342" t="s">
        <v>1159</v>
      </c>
      <c r="C16" s="342" t="s">
        <v>1173</v>
      </c>
      <c r="D16" s="343" t="s">
        <v>1174</v>
      </c>
      <c r="E16" s="347" t="s">
        <v>1145</v>
      </c>
      <c r="F16" s="349"/>
      <c r="G16" s="348"/>
      <c r="H16" s="348"/>
    </row>
    <row r="17" spans="1:8" ht="30" x14ac:dyDescent="0.25">
      <c r="A17" s="343">
        <v>14</v>
      </c>
      <c r="B17" s="342" t="s">
        <v>1175</v>
      </c>
      <c r="C17" s="342" t="s">
        <v>1176</v>
      </c>
      <c r="D17" s="343" t="s">
        <v>1177</v>
      </c>
      <c r="E17" s="347" t="s">
        <v>1154</v>
      </c>
      <c r="F17" s="347"/>
      <c r="G17" s="348"/>
      <c r="H17" s="348"/>
    </row>
    <row r="18" spans="1:8" ht="30" x14ac:dyDescent="0.25">
      <c r="A18" s="343">
        <v>15</v>
      </c>
      <c r="B18" s="342" t="s">
        <v>1175</v>
      </c>
      <c r="C18" s="350" t="s">
        <v>1178</v>
      </c>
      <c r="D18" s="351" t="s">
        <v>1179</v>
      </c>
      <c r="E18" s="352" t="s">
        <v>1154</v>
      </c>
      <c r="F18" s="347"/>
      <c r="G18" s="348"/>
      <c r="H18" s="348"/>
    </row>
    <row r="19" spans="1:8" ht="30" x14ac:dyDescent="0.25">
      <c r="A19" s="343">
        <v>16</v>
      </c>
      <c r="B19" s="342" t="s">
        <v>1175</v>
      </c>
      <c r="C19" s="350" t="s">
        <v>1180</v>
      </c>
      <c r="D19" s="351" t="s">
        <v>1181</v>
      </c>
      <c r="E19" s="352" t="s">
        <v>1172</v>
      </c>
      <c r="F19" s="347"/>
      <c r="G19" s="348"/>
      <c r="H19" s="348"/>
    </row>
    <row r="20" spans="1:8" x14ac:dyDescent="0.25">
      <c r="A20" s="343">
        <v>17</v>
      </c>
      <c r="B20" s="342" t="s">
        <v>1175</v>
      </c>
      <c r="C20" s="350" t="s">
        <v>1182</v>
      </c>
      <c r="D20" s="351" t="s">
        <v>1183</v>
      </c>
      <c r="E20" s="351" t="s">
        <v>1184</v>
      </c>
      <c r="F20" s="347"/>
      <c r="G20" s="348"/>
      <c r="H20" s="348"/>
    </row>
    <row r="21" spans="1:8" ht="30" x14ac:dyDescent="0.25">
      <c r="A21" s="343">
        <v>18</v>
      </c>
      <c r="B21" s="342" t="s">
        <v>1175</v>
      </c>
      <c r="C21" s="350" t="s">
        <v>1185</v>
      </c>
      <c r="D21" s="351" t="s">
        <v>1186</v>
      </c>
      <c r="E21" s="351" t="s">
        <v>1145</v>
      </c>
      <c r="F21" s="347"/>
      <c r="G21" s="348"/>
      <c r="H21" s="348"/>
    </row>
    <row r="22" spans="1:8" ht="30" x14ac:dyDescent="0.25">
      <c r="A22" s="343">
        <v>19</v>
      </c>
      <c r="B22" s="342" t="s">
        <v>1175</v>
      </c>
      <c r="C22" s="350" t="s">
        <v>1187</v>
      </c>
      <c r="D22" s="351" t="s">
        <v>1188</v>
      </c>
      <c r="E22" s="351" t="s">
        <v>1189</v>
      </c>
      <c r="F22" s="347"/>
      <c r="G22" s="348"/>
      <c r="H22" s="348"/>
    </row>
    <row r="23" spans="1:8" ht="30" x14ac:dyDescent="0.25">
      <c r="A23" s="343">
        <v>20</v>
      </c>
      <c r="B23" s="342" t="s">
        <v>1175</v>
      </c>
      <c r="C23" s="350" t="s">
        <v>1190</v>
      </c>
      <c r="D23" s="351" t="s">
        <v>1191</v>
      </c>
      <c r="E23" s="351" t="s">
        <v>1189</v>
      </c>
      <c r="F23" s="347"/>
      <c r="G23" s="348"/>
      <c r="H23" s="348"/>
    </row>
    <row r="24" spans="1:8" ht="30" x14ac:dyDescent="0.25">
      <c r="A24" s="343">
        <v>21</v>
      </c>
      <c r="B24" s="342" t="s">
        <v>1192</v>
      </c>
      <c r="C24" s="350" t="s">
        <v>1193</v>
      </c>
      <c r="D24" s="351" t="s">
        <v>1194</v>
      </c>
      <c r="E24" s="352" t="s">
        <v>1195</v>
      </c>
      <c r="F24" s="347"/>
      <c r="G24" s="348"/>
      <c r="H24" s="348"/>
    </row>
    <row r="25" spans="1:8" ht="105" x14ac:dyDescent="0.25">
      <c r="A25" s="343">
        <v>22</v>
      </c>
      <c r="B25" s="342" t="s">
        <v>1192</v>
      </c>
      <c r="C25" s="350" t="s">
        <v>1196</v>
      </c>
      <c r="D25" s="351" t="s">
        <v>1197</v>
      </c>
      <c r="E25" s="352" t="s">
        <v>1198</v>
      </c>
      <c r="F25" s="347"/>
      <c r="G25" s="348"/>
      <c r="H25" s="348"/>
    </row>
    <row r="26" spans="1:8" ht="75" x14ac:dyDescent="0.25">
      <c r="A26" s="343">
        <v>23</v>
      </c>
      <c r="B26" s="342" t="s">
        <v>1192</v>
      </c>
      <c r="C26" s="350" t="s">
        <v>1199</v>
      </c>
      <c r="D26" s="351" t="s">
        <v>1200</v>
      </c>
      <c r="E26" s="352" t="s">
        <v>1198</v>
      </c>
      <c r="F26" s="347"/>
      <c r="G26" s="348"/>
      <c r="H26" s="348"/>
    </row>
    <row r="27" spans="1:8" ht="45" x14ac:dyDescent="0.25">
      <c r="A27" s="343">
        <v>24</v>
      </c>
      <c r="B27" s="342" t="s">
        <v>1192</v>
      </c>
      <c r="C27" s="350" t="s">
        <v>1201</v>
      </c>
      <c r="D27" s="351" t="s">
        <v>1202</v>
      </c>
      <c r="E27" s="351" t="s">
        <v>1203</v>
      </c>
      <c r="F27" s="347"/>
      <c r="G27" s="348"/>
      <c r="H27" s="348"/>
    </row>
    <row r="28" spans="1:8" ht="45" x14ac:dyDescent="0.25">
      <c r="A28" s="343">
        <v>25</v>
      </c>
      <c r="B28" s="342" t="s">
        <v>1192</v>
      </c>
      <c r="C28" s="350" t="s">
        <v>1204</v>
      </c>
      <c r="D28" s="351" t="s">
        <v>1205</v>
      </c>
      <c r="E28" s="351" t="s">
        <v>1203</v>
      </c>
      <c r="F28" s="347"/>
      <c r="G28" s="348"/>
      <c r="H28" s="348"/>
    </row>
    <row r="29" spans="1:8" ht="30" x14ac:dyDescent="0.25">
      <c r="A29" s="343">
        <v>26</v>
      </c>
      <c r="B29" s="342" t="s">
        <v>1192</v>
      </c>
      <c r="C29" s="350" t="s">
        <v>1206</v>
      </c>
      <c r="D29" s="351" t="s">
        <v>1207</v>
      </c>
      <c r="E29" s="351" t="s">
        <v>1208</v>
      </c>
      <c r="F29" s="347"/>
      <c r="G29" s="348"/>
      <c r="H29" s="348"/>
    </row>
    <row r="30" spans="1:8" ht="30" x14ac:dyDescent="0.25">
      <c r="A30" s="343">
        <v>27</v>
      </c>
      <c r="B30" s="342" t="s">
        <v>1192</v>
      </c>
      <c r="C30" s="350" t="s">
        <v>1209</v>
      </c>
      <c r="D30" s="351" t="s">
        <v>1210</v>
      </c>
      <c r="E30" s="352" t="s">
        <v>1145</v>
      </c>
      <c r="F30" s="347"/>
      <c r="G30" s="348"/>
      <c r="H30" s="348"/>
    </row>
    <row r="31" spans="1:8" x14ac:dyDescent="0.25">
      <c r="A31" s="343">
        <v>28</v>
      </c>
      <c r="B31" s="342" t="s">
        <v>1211</v>
      </c>
      <c r="C31" s="350" t="s">
        <v>1212</v>
      </c>
      <c r="D31" s="351" t="s">
        <v>1213</v>
      </c>
      <c r="E31" s="352" t="s">
        <v>1145</v>
      </c>
      <c r="F31" s="347"/>
      <c r="G31" s="348"/>
      <c r="H31" s="348"/>
    </row>
    <row r="32" spans="1:8" ht="45" x14ac:dyDescent="0.25">
      <c r="A32" s="343">
        <v>29</v>
      </c>
      <c r="B32" s="342" t="s">
        <v>1214</v>
      </c>
      <c r="C32" s="342" t="s">
        <v>1215</v>
      </c>
      <c r="D32" s="343" t="s">
        <v>1216</v>
      </c>
      <c r="E32" s="347" t="s">
        <v>1217</v>
      </c>
      <c r="F32" s="347"/>
      <c r="G32" s="348"/>
      <c r="H32" s="348"/>
    </row>
    <row r="33" spans="1:8" ht="30" x14ac:dyDescent="0.25">
      <c r="A33" s="343">
        <v>30</v>
      </c>
      <c r="B33" s="342" t="s">
        <v>1214</v>
      </c>
      <c r="C33" s="342" t="s">
        <v>1218</v>
      </c>
      <c r="D33" s="343" t="s">
        <v>1219</v>
      </c>
      <c r="E33" s="347" t="s">
        <v>1220</v>
      </c>
      <c r="F33" s="347"/>
      <c r="G33" s="348"/>
      <c r="H33" s="348"/>
    </row>
    <row r="34" spans="1:8" ht="30" x14ac:dyDescent="0.25">
      <c r="A34" s="343">
        <v>31</v>
      </c>
      <c r="B34" s="342" t="s">
        <v>1214</v>
      </c>
      <c r="C34" s="350" t="s">
        <v>1221</v>
      </c>
      <c r="D34" s="351" t="s">
        <v>1222</v>
      </c>
      <c r="E34" s="352" t="s">
        <v>1220</v>
      </c>
      <c r="F34" s="347"/>
      <c r="G34" s="348"/>
      <c r="H34" s="348"/>
    </row>
    <row r="35" spans="1:8" x14ac:dyDescent="0.25">
      <c r="A35" s="343">
        <v>32</v>
      </c>
      <c r="B35" s="342" t="s">
        <v>1214</v>
      </c>
      <c r="C35" s="350" t="s">
        <v>1223</v>
      </c>
      <c r="D35" s="351" t="s">
        <v>1224</v>
      </c>
      <c r="E35" s="352" t="s">
        <v>1172</v>
      </c>
      <c r="F35" s="347"/>
      <c r="G35" s="348"/>
      <c r="H35" s="348"/>
    </row>
    <row r="36" spans="1:8" ht="45" x14ac:dyDescent="0.25">
      <c r="A36" s="343">
        <v>33</v>
      </c>
      <c r="B36" s="342" t="s">
        <v>1214</v>
      </c>
      <c r="C36" s="350" t="s">
        <v>1225</v>
      </c>
      <c r="D36" s="351" t="s">
        <v>1226</v>
      </c>
      <c r="E36" s="352" t="s">
        <v>1227</v>
      </c>
      <c r="F36" s="347"/>
      <c r="G36" s="348"/>
      <c r="H36" s="348"/>
    </row>
    <row r="37" spans="1:8" ht="45" x14ac:dyDescent="0.25">
      <c r="A37" s="343">
        <v>34</v>
      </c>
      <c r="B37" s="342" t="s">
        <v>1214</v>
      </c>
      <c r="C37" s="350" t="s">
        <v>1225</v>
      </c>
      <c r="D37" s="351" t="s">
        <v>1228</v>
      </c>
      <c r="E37" s="352" t="s">
        <v>1227</v>
      </c>
      <c r="F37" s="347"/>
      <c r="G37" s="348"/>
      <c r="H37" s="348"/>
    </row>
    <row r="38" spans="1:8" ht="60" x14ac:dyDescent="0.25">
      <c r="A38" s="343">
        <v>35</v>
      </c>
      <c r="B38" s="342" t="s">
        <v>1229</v>
      </c>
      <c r="C38" s="342" t="s">
        <v>1230</v>
      </c>
      <c r="D38" s="343" t="s">
        <v>1231</v>
      </c>
      <c r="E38" s="343" t="s">
        <v>1220</v>
      </c>
      <c r="F38" s="347"/>
      <c r="G38" s="348"/>
      <c r="H38" s="348"/>
    </row>
    <row r="39" spans="1:8" ht="45" x14ac:dyDescent="0.25">
      <c r="A39" s="343">
        <v>36</v>
      </c>
      <c r="B39" s="342" t="s">
        <v>1229</v>
      </c>
      <c r="C39" s="342" t="s">
        <v>1232</v>
      </c>
      <c r="D39" s="343" t="s">
        <v>1233</v>
      </c>
      <c r="E39" s="343" t="s">
        <v>1220</v>
      </c>
      <c r="F39" s="347"/>
      <c r="G39" s="348"/>
      <c r="H39" s="348"/>
    </row>
    <row r="40" spans="1:8" ht="75" x14ac:dyDescent="0.25">
      <c r="A40" s="343">
        <v>37</v>
      </c>
      <c r="B40" s="342" t="s">
        <v>1229</v>
      </c>
      <c r="C40" s="342" t="s">
        <v>1234</v>
      </c>
      <c r="D40" s="343" t="s">
        <v>1235</v>
      </c>
      <c r="E40" s="343" t="s">
        <v>1220</v>
      </c>
      <c r="F40" s="347"/>
      <c r="G40" s="348"/>
      <c r="H40" s="348"/>
    </row>
    <row r="41" spans="1:8" ht="30" x14ac:dyDescent="0.25">
      <c r="A41" s="343">
        <v>38</v>
      </c>
      <c r="B41" s="342" t="s">
        <v>1229</v>
      </c>
      <c r="C41" s="342" t="s">
        <v>1236</v>
      </c>
      <c r="D41" s="343" t="s">
        <v>1237</v>
      </c>
      <c r="E41" s="343" t="s">
        <v>1172</v>
      </c>
      <c r="F41" s="347"/>
      <c r="G41" s="348"/>
      <c r="H41" s="348"/>
    </row>
    <row r="42" spans="1:8" ht="30" x14ac:dyDescent="0.25">
      <c r="A42" s="343">
        <v>39</v>
      </c>
      <c r="B42" s="342" t="s">
        <v>1229</v>
      </c>
      <c r="C42" s="342" t="s">
        <v>1238</v>
      </c>
      <c r="D42" s="343" t="s">
        <v>1239</v>
      </c>
      <c r="E42" s="343" t="s">
        <v>1240</v>
      </c>
      <c r="F42" s="347"/>
      <c r="G42" s="348"/>
      <c r="H42" s="348"/>
    </row>
    <row r="43" spans="1:8" ht="45" x14ac:dyDescent="0.25">
      <c r="A43" s="343">
        <v>40</v>
      </c>
      <c r="B43" s="342" t="s">
        <v>1241</v>
      </c>
      <c r="C43" s="342" t="s">
        <v>1242</v>
      </c>
      <c r="D43" s="343" t="s">
        <v>1243</v>
      </c>
      <c r="E43" s="343" t="s">
        <v>1220</v>
      </c>
      <c r="F43" s="347"/>
      <c r="G43" s="348"/>
      <c r="H43" s="348"/>
    </row>
    <row r="44" spans="1:8" ht="30" x14ac:dyDescent="0.25">
      <c r="A44" s="343">
        <v>41</v>
      </c>
      <c r="B44" s="342" t="s">
        <v>1244</v>
      </c>
      <c r="C44" s="342" t="s">
        <v>1245</v>
      </c>
      <c r="D44" s="343" t="s">
        <v>1246</v>
      </c>
      <c r="E44" s="343" t="s">
        <v>1220</v>
      </c>
      <c r="F44" s="347"/>
      <c r="G44" s="348"/>
      <c r="H44" s="348"/>
    </row>
    <row r="45" spans="1:8" ht="30" x14ac:dyDescent="0.25">
      <c r="A45" s="343">
        <v>42</v>
      </c>
      <c r="B45" s="342" t="s">
        <v>1244</v>
      </c>
      <c r="C45" s="342" t="s">
        <v>1247</v>
      </c>
      <c r="D45" s="343" t="s">
        <v>1248</v>
      </c>
      <c r="E45" s="343" t="s">
        <v>1172</v>
      </c>
      <c r="F45" s="347"/>
      <c r="G45" s="348"/>
      <c r="H45" s="348"/>
    </row>
    <row r="46" spans="1:8" ht="96.75" customHeight="1" x14ac:dyDescent="0.25">
      <c r="A46" s="343">
        <v>43</v>
      </c>
      <c r="B46" s="342" t="s">
        <v>1249</v>
      </c>
      <c r="C46" s="342" t="s">
        <v>1250</v>
      </c>
      <c r="D46" s="343" t="s">
        <v>1251</v>
      </c>
      <c r="E46" s="343" t="s">
        <v>1220</v>
      </c>
      <c r="F46" s="347"/>
      <c r="G46" s="348"/>
      <c r="H46" s="348"/>
    </row>
    <row r="47" spans="1:8" ht="60" x14ac:dyDescent="0.25">
      <c r="A47" s="343">
        <v>44</v>
      </c>
      <c r="B47" s="342" t="s">
        <v>1252</v>
      </c>
      <c r="C47" s="342" t="s">
        <v>1253</v>
      </c>
      <c r="D47" s="343" t="s">
        <v>1254</v>
      </c>
      <c r="E47" s="343" t="s">
        <v>1220</v>
      </c>
      <c r="F47" s="347"/>
      <c r="G47" s="348"/>
      <c r="H47" s="348"/>
    </row>
    <row r="48" spans="1:8" ht="78" customHeight="1" x14ac:dyDescent="0.25">
      <c r="A48" s="343">
        <v>45</v>
      </c>
      <c r="B48" s="342" t="s">
        <v>1255</v>
      </c>
      <c r="C48" s="342" t="s">
        <v>1256</v>
      </c>
      <c r="D48" s="343" t="s">
        <v>1257</v>
      </c>
      <c r="E48" s="343" t="s">
        <v>1220</v>
      </c>
      <c r="F48" s="347"/>
      <c r="G48" s="348"/>
      <c r="H48" s="348"/>
    </row>
    <row r="49" spans="1:8" ht="30" x14ac:dyDescent="0.25">
      <c r="A49" s="343">
        <v>46</v>
      </c>
      <c r="B49" s="342" t="s">
        <v>1255</v>
      </c>
      <c r="C49" s="342" t="s">
        <v>1258</v>
      </c>
      <c r="D49" s="343" t="s">
        <v>1259</v>
      </c>
      <c r="E49" s="343" t="s">
        <v>1172</v>
      </c>
      <c r="F49" s="347"/>
      <c r="G49" s="348"/>
      <c r="H49" s="348"/>
    </row>
    <row r="50" spans="1:8" x14ac:dyDescent="0.25">
      <c r="A50" s="343">
        <v>47</v>
      </c>
      <c r="B50" s="342" t="s">
        <v>1260</v>
      </c>
      <c r="C50" s="342" t="s">
        <v>1261</v>
      </c>
      <c r="D50" s="343" t="s">
        <v>1262</v>
      </c>
      <c r="E50" s="343" t="s">
        <v>1217</v>
      </c>
      <c r="F50" s="347"/>
      <c r="G50" s="348"/>
      <c r="H50" s="348"/>
    </row>
    <row r="51" spans="1:8" ht="78" customHeight="1" x14ac:dyDescent="0.25">
      <c r="A51" s="343">
        <v>48</v>
      </c>
      <c r="B51" s="342" t="s">
        <v>1260</v>
      </c>
      <c r="C51" s="342" t="s">
        <v>1263</v>
      </c>
      <c r="D51" s="343" t="s">
        <v>1264</v>
      </c>
      <c r="E51" s="343" t="s">
        <v>1217</v>
      </c>
      <c r="F51" s="347"/>
      <c r="G51" s="348"/>
      <c r="H51" s="348"/>
    </row>
    <row r="52" spans="1:8" ht="34.5" customHeight="1" x14ac:dyDescent="0.25">
      <c r="A52" s="343">
        <v>49</v>
      </c>
      <c r="B52" s="342" t="s">
        <v>1260</v>
      </c>
      <c r="C52" s="342" t="s">
        <v>1265</v>
      </c>
      <c r="D52" s="343" t="s">
        <v>1266</v>
      </c>
      <c r="E52" s="343" t="s">
        <v>1217</v>
      </c>
      <c r="F52" s="347"/>
      <c r="G52" s="348"/>
      <c r="H52" s="348"/>
    </row>
    <row r="53" spans="1:8" ht="30" x14ac:dyDescent="0.25">
      <c r="A53" s="343">
        <v>50</v>
      </c>
      <c r="B53" s="342" t="s">
        <v>1260</v>
      </c>
      <c r="C53" s="342" t="s">
        <v>1267</v>
      </c>
      <c r="D53" s="343" t="s">
        <v>1268</v>
      </c>
      <c r="E53" s="343" t="s">
        <v>1217</v>
      </c>
      <c r="F53" s="347"/>
      <c r="G53" s="348"/>
      <c r="H53" s="348"/>
    </row>
    <row r="54" spans="1:8" ht="30" x14ac:dyDescent="0.25">
      <c r="A54" s="343">
        <v>51</v>
      </c>
      <c r="B54" s="342" t="s">
        <v>1260</v>
      </c>
      <c r="C54" s="342" t="s">
        <v>1269</v>
      </c>
      <c r="D54" s="343" t="s">
        <v>1270</v>
      </c>
      <c r="E54" s="343" t="s">
        <v>1217</v>
      </c>
      <c r="F54" s="347"/>
      <c r="G54" s="348"/>
      <c r="H54" s="348"/>
    </row>
    <row r="55" spans="1:8" ht="30" x14ac:dyDescent="0.25">
      <c r="A55" s="343">
        <v>52</v>
      </c>
      <c r="B55" s="342" t="s">
        <v>1260</v>
      </c>
      <c r="C55" s="342" t="s">
        <v>1271</v>
      </c>
      <c r="D55" s="343" t="s">
        <v>1272</v>
      </c>
      <c r="E55" s="343" t="s">
        <v>1217</v>
      </c>
      <c r="F55" s="347"/>
      <c r="G55" s="348"/>
      <c r="H55" s="348"/>
    </row>
    <row r="56" spans="1:8" ht="45" x14ac:dyDescent="0.25">
      <c r="A56" s="343">
        <v>53</v>
      </c>
      <c r="B56" s="342" t="s">
        <v>1260</v>
      </c>
      <c r="C56" s="342" t="s">
        <v>1273</v>
      </c>
      <c r="D56" s="343" t="s">
        <v>1274</v>
      </c>
      <c r="E56" s="343" t="s">
        <v>1217</v>
      </c>
      <c r="F56" s="347"/>
      <c r="G56" s="348"/>
      <c r="H56" s="348"/>
    </row>
    <row r="57" spans="1:8" ht="30" x14ac:dyDescent="0.25">
      <c r="A57" s="343">
        <v>54</v>
      </c>
      <c r="B57" s="342" t="s">
        <v>1260</v>
      </c>
      <c r="C57" s="342" t="s">
        <v>1275</v>
      </c>
      <c r="D57" s="343" t="s">
        <v>1276</v>
      </c>
      <c r="E57" s="343" t="s">
        <v>1217</v>
      </c>
      <c r="F57" s="347"/>
      <c r="G57" s="348"/>
      <c r="H57" s="348"/>
    </row>
    <row r="58" spans="1:8" ht="50.25" customHeight="1" x14ac:dyDescent="0.25">
      <c r="A58" s="343">
        <v>55</v>
      </c>
      <c r="B58" s="342" t="s">
        <v>1260</v>
      </c>
      <c r="C58" s="342" t="s">
        <v>1277</v>
      </c>
      <c r="D58" s="343" t="s">
        <v>1278</v>
      </c>
      <c r="E58" s="343" t="s">
        <v>1154</v>
      </c>
      <c r="F58" s="347"/>
      <c r="G58" s="348"/>
      <c r="H58" s="348"/>
    </row>
    <row r="59" spans="1:8" ht="30" x14ac:dyDescent="0.25">
      <c r="A59" s="343">
        <v>56</v>
      </c>
      <c r="B59" s="342" t="s">
        <v>1260</v>
      </c>
      <c r="C59" s="342" t="s">
        <v>1279</v>
      </c>
      <c r="D59" s="343" t="s">
        <v>1280</v>
      </c>
      <c r="E59" s="343" t="s">
        <v>1172</v>
      </c>
      <c r="F59" s="347"/>
      <c r="G59" s="348"/>
      <c r="H59" s="348"/>
    </row>
    <row r="60" spans="1:8" ht="34.5" customHeight="1" x14ac:dyDescent="0.25">
      <c r="A60" s="343">
        <v>57</v>
      </c>
      <c r="B60" s="342" t="s">
        <v>1260</v>
      </c>
      <c r="C60" s="342" t="s">
        <v>1281</v>
      </c>
      <c r="D60" s="343" t="s">
        <v>1282</v>
      </c>
      <c r="E60" s="343" t="s">
        <v>1172</v>
      </c>
      <c r="F60" s="347"/>
      <c r="G60" s="348"/>
      <c r="H60" s="348"/>
    </row>
    <row r="61" spans="1:8" ht="30" x14ac:dyDescent="0.25">
      <c r="A61" s="343">
        <v>58</v>
      </c>
      <c r="B61" s="342" t="s">
        <v>1283</v>
      </c>
      <c r="C61" s="342" t="s">
        <v>1284</v>
      </c>
      <c r="D61" s="343" t="s">
        <v>1285</v>
      </c>
      <c r="E61" s="343" t="s">
        <v>1220</v>
      </c>
      <c r="F61" s="347"/>
      <c r="G61" s="348"/>
      <c r="H61" s="348"/>
    </row>
    <row r="62" spans="1:8" ht="30" x14ac:dyDescent="0.25">
      <c r="A62" s="343">
        <v>59</v>
      </c>
      <c r="B62" s="342" t="s">
        <v>1283</v>
      </c>
      <c r="C62" s="342" t="s">
        <v>1286</v>
      </c>
      <c r="D62" s="343" t="s">
        <v>1287</v>
      </c>
      <c r="E62" s="343" t="s">
        <v>1189</v>
      </c>
      <c r="F62" s="347"/>
      <c r="G62" s="348"/>
      <c r="H62" s="348"/>
    </row>
    <row r="63" spans="1:8" ht="45" x14ac:dyDescent="0.25">
      <c r="A63" s="343">
        <v>60</v>
      </c>
      <c r="B63" s="342" t="s">
        <v>1288</v>
      </c>
      <c r="C63" s="342" t="s">
        <v>1289</v>
      </c>
      <c r="D63" s="343" t="s">
        <v>1290</v>
      </c>
      <c r="E63" s="347" t="s">
        <v>1220</v>
      </c>
      <c r="F63" s="347"/>
      <c r="G63" s="348"/>
      <c r="H63" s="348"/>
    </row>
    <row r="64" spans="1:8" ht="45" x14ac:dyDescent="0.25">
      <c r="A64" s="343">
        <v>61</v>
      </c>
      <c r="B64" s="342" t="s">
        <v>1288</v>
      </c>
      <c r="C64" s="342" t="s">
        <v>1291</v>
      </c>
      <c r="D64" s="343" t="s">
        <v>1292</v>
      </c>
      <c r="E64" s="347" t="s">
        <v>1220</v>
      </c>
      <c r="F64" s="347"/>
      <c r="G64" s="348"/>
      <c r="H64" s="348"/>
    </row>
    <row r="65" spans="1:8" ht="75" x14ac:dyDescent="0.25">
      <c r="A65" s="343">
        <v>62</v>
      </c>
      <c r="B65" s="342" t="s">
        <v>1288</v>
      </c>
      <c r="C65" s="342" t="s">
        <v>1293</v>
      </c>
      <c r="D65" s="343" t="s">
        <v>1294</v>
      </c>
      <c r="E65" s="347" t="s">
        <v>1220</v>
      </c>
      <c r="F65" s="347"/>
      <c r="G65" s="348"/>
      <c r="H65" s="348"/>
    </row>
    <row r="66" spans="1:8" ht="30" x14ac:dyDescent="0.25">
      <c r="A66" s="343">
        <v>63</v>
      </c>
      <c r="B66" s="342" t="s">
        <v>1288</v>
      </c>
      <c r="C66" s="342" t="s">
        <v>1295</v>
      </c>
      <c r="D66" s="343" t="s">
        <v>1296</v>
      </c>
      <c r="E66" s="347" t="s">
        <v>1172</v>
      </c>
      <c r="F66" s="347"/>
      <c r="G66" s="348"/>
      <c r="H66" s="348"/>
    </row>
    <row r="67" spans="1:8" ht="45" x14ac:dyDescent="0.25">
      <c r="A67" s="343">
        <v>64</v>
      </c>
      <c r="B67" s="342" t="s">
        <v>1288</v>
      </c>
      <c r="C67" s="342" t="s">
        <v>1297</v>
      </c>
      <c r="D67" s="343" t="s">
        <v>1298</v>
      </c>
      <c r="E67" s="347" t="s">
        <v>1172</v>
      </c>
      <c r="F67" s="347"/>
      <c r="G67" s="348"/>
      <c r="H67" s="348"/>
    </row>
    <row r="68" spans="1:8" ht="60" x14ac:dyDescent="0.25">
      <c r="A68" s="343">
        <v>65</v>
      </c>
      <c r="B68" s="342" t="s">
        <v>1299</v>
      </c>
      <c r="C68" s="342" t="s">
        <v>1300</v>
      </c>
      <c r="D68" s="343" t="s">
        <v>1301</v>
      </c>
      <c r="E68" s="347" t="s">
        <v>1220</v>
      </c>
      <c r="F68" s="347"/>
      <c r="G68" s="348"/>
      <c r="H68" s="348"/>
    </row>
    <row r="69" spans="1:8" ht="30" x14ac:dyDescent="0.25">
      <c r="A69" s="343">
        <v>66</v>
      </c>
      <c r="B69" s="342" t="s">
        <v>1299</v>
      </c>
      <c r="C69" s="342" t="s">
        <v>1302</v>
      </c>
      <c r="D69" s="343" t="s">
        <v>1303</v>
      </c>
      <c r="E69" s="343" t="s">
        <v>1145</v>
      </c>
      <c r="F69" s="347"/>
      <c r="G69" s="348"/>
      <c r="H69" s="348"/>
    </row>
    <row r="70" spans="1:8" ht="45" x14ac:dyDescent="0.25">
      <c r="A70" s="343">
        <v>67</v>
      </c>
      <c r="B70" s="342" t="s">
        <v>1304</v>
      </c>
      <c r="C70" s="342" t="s">
        <v>1305</v>
      </c>
      <c r="D70" s="343" t="s">
        <v>1306</v>
      </c>
      <c r="E70" s="347" t="s">
        <v>1220</v>
      </c>
      <c r="F70" s="347"/>
      <c r="G70" s="348"/>
      <c r="H70" s="348"/>
    </row>
    <row r="71" spans="1:8" ht="30" x14ac:dyDescent="0.25">
      <c r="A71" s="343">
        <v>68</v>
      </c>
      <c r="B71" s="342" t="s">
        <v>1304</v>
      </c>
      <c r="C71" s="342" t="s">
        <v>1307</v>
      </c>
      <c r="D71" s="343" t="s">
        <v>1308</v>
      </c>
      <c r="E71" s="347" t="s">
        <v>1217</v>
      </c>
      <c r="F71" s="347"/>
      <c r="G71" s="348"/>
      <c r="H71" s="348"/>
    </row>
    <row r="72" spans="1:8" ht="30" x14ac:dyDescent="0.25">
      <c r="A72" s="343">
        <v>69</v>
      </c>
      <c r="B72" s="342" t="s">
        <v>1304</v>
      </c>
      <c r="C72" s="342" t="s">
        <v>1309</v>
      </c>
      <c r="D72" s="343" t="s">
        <v>1310</v>
      </c>
      <c r="E72" s="347" t="s">
        <v>1172</v>
      </c>
      <c r="F72" s="347"/>
      <c r="G72" s="348"/>
      <c r="H72" s="348"/>
    </row>
    <row r="73" spans="1:8" ht="45" x14ac:dyDescent="0.25">
      <c r="A73" s="343">
        <v>70</v>
      </c>
      <c r="B73" s="342" t="s">
        <v>1304</v>
      </c>
      <c r="C73" s="342" t="s">
        <v>1311</v>
      </c>
      <c r="D73" s="343" t="s">
        <v>1312</v>
      </c>
      <c r="E73" s="347" t="s">
        <v>1172</v>
      </c>
      <c r="F73" s="347"/>
      <c r="G73" s="348"/>
      <c r="H73" s="348"/>
    </row>
    <row r="74" spans="1:8" ht="120" x14ac:dyDescent="0.25">
      <c r="A74" s="343">
        <v>71</v>
      </c>
      <c r="B74" s="342" t="s">
        <v>1313</v>
      </c>
      <c r="C74" s="342" t="s">
        <v>1314</v>
      </c>
      <c r="D74" s="343" t="s">
        <v>1315</v>
      </c>
      <c r="E74" s="347" t="s">
        <v>1220</v>
      </c>
      <c r="F74" s="347"/>
      <c r="G74" s="348"/>
      <c r="H74" s="348"/>
    </row>
    <row r="75" spans="1:8" ht="75" x14ac:dyDescent="0.25">
      <c r="A75" s="343">
        <v>72</v>
      </c>
      <c r="B75" s="342" t="s">
        <v>1316</v>
      </c>
      <c r="C75" s="342" t="s">
        <v>1317</v>
      </c>
      <c r="D75" s="343" t="s">
        <v>1318</v>
      </c>
      <c r="E75" s="347" t="s">
        <v>1220</v>
      </c>
      <c r="F75" s="347"/>
      <c r="G75" s="348"/>
      <c r="H75" s="348"/>
    </row>
    <row r="76" spans="1:8" ht="78" customHeight="1" x14ac:dyDescent="0.25">
      <c r="A76" s="343">
        <v>73</v>
      </c>
      <c r="B76" s="342" t="s">
        <v>1319</v>
      </c>
      <c r="C76" s="342" t="s">
        <v>1320</v>
      </c>
      <c r="D76" s="343" t="s">
        <v>1321</v>
      </c>
      <c r="E76" s="347" t="s">
        <v>1220</v>
      </c>
      <c r="F76" s="347"/>
      <c r="G76" s="348"/>
      <c r="H76" s="348"/>
    </row>
    <row r="77" spans="1:8" ht="30" x14ac:dyDescent="0.25">
      <c r="A77" s="343">
        <v>74</v>
      </c>
      <c r="B77" s="342" t="s">
        <v>1319</v>
      </c>
      <c r="C77" s="342" t="s">
        <v>1322</v>
      </c>
      <c r="D77" s="343" t="s">
        <v>1323</v>
      </c>
      <c r="E77" s="347" t="s">
        <v>1172</v>
      </c>
      <c r="F77" s="347"/>
      <c r="G77" s="348"/>
      <c r="H77" s="348"/>
    </row>
    <row r="78" spans="1:8" ht="30" x14ac:dyDescent="0.25">
      <c r="A78" s="343">
        <v>75</v>
      </c>
      <c r="B78" s="342" t="s">
        <v>1324</v>
      </c>
      <c r="C78" s="342" t="s">
        <v>1325</v>
      </c>
      <c r="D78" s="343" t="s">
        <v>1326</v>
      </c>
      <c r="E78" s="347" t="s">
        <v>1217</v>
      </c>
      <c r="F78" s="347"/>
      <c r="G78" s="348"/>
      <c r="H78" s="348"/>
    </row>
    <row r="79" spans="1:8" ht="108.75" customHeight="1" x14ac:dyDescent="0.25">
      <c r="A79" s="343">
        <v>76</v>
      </c>
      <c r="B79" s="342" t="s">
        <v>1324</v>
      </c>
      <c r="C79" s="342" t="s">
        <v>1327</v>
      </c>
      <c r="D79" s="343" t="s">
        <v>1328</v>
      </c>
      <c r="E79" s="347" t="s">
        <v>1217</v>
      </c>
      <c r="F79" s="347"/>
      <c r="G79" s="348"/>
      <c r="H79" s="348"/>
    </row>
    <row r="80" spans="1:8" ht="30" x14ac:dyDescent="0.25">
      <c r="A80" s="343">
        <v>77</v>
      </c>
      <c r="B80" s="342" t="s">
        <v>1324</v>
      </c>
      <c r="C80" s="342" t="s">
        <v>1329</v>
      </c>
      <c r="D80" s="343" t="s">
        <v>1330</v>
      </c>
      <c r="E80" s="347" t="s">
        <v>1217</v>
      </c>
      <c r="F80" s="347"/>
      <c r="G80" s="348"/>
      <c r="H80" s="348"/>
    </row>
    <row r="81" spans="1:8" ht="30" x14ac:dyDescent="0.25">
      <c r="A81" s="343">
        <v>78</v>
      </c>
      <c r="B81" s="342" t="s">
        <v>1324</v>
      </c>
      <c r="C81" s="342" t="s">
        <v>1331</v>
      </c>
      <c r="D81" s="343" t="s">
        <v>1332</v>
      </c>
      <c r="E81" s="347" t="s">
        <v>1217</v>
      </c>
      <c r="F81" s="347"/>
      <c r="G81" s="348"/>
      <c r="H81" s="348"/>
    </row>
    <row r="82" spans="1:8" ht="30" x14ac:dyDescent="0.25">
      <c r="A82" s="343">
        <v>79</v>
      </c>
      <c r="B82" s="342" t="s">
        <v>1324</v>
      </c>
      <c r="C82" s="342" t="s">
        <v>1333</v>
      </c>
      <c r="D82" s="343" t="s">
        <v>1334</v>
      </c>
      <c r="E82" s="347" t="s">
        <v>1217</v>
      </c>
      <c r="F82" s="347"/>
      <c r="G82" s="348"/>
      <c r="H82" s="348"/>
    </row>
    <row r="83" spans="1:8" ht="45" x14ac:dyDescent="0.25">
      <c r="A83" s="343">
        <v>80</v>
      </c>
      <c r="B83" s="342" t="s">
        <v>1324</v>
      </c>
      <c r="C83" s="342" t="s">
        <v>1335</v>
      </c>
      <c r="D83" s="343" t="s">
        <v>1336</v>
      </c>
      <c r="E83" s="347" t="s">
        <v>1217</v>
      </c>
      <c r="F83" s="347"/>
      <c r="G83" s="348"/>
      <c r="H83" s="348"/>
    </row>
    <row r="84" spans="1:8" ht="60" x14ac:dyDescent="0.25">
      <c r="A84" s="343">
        <v>81</v>
      </c>
      <c r="B84" s="342" t="s">
        <v>1324</v>
      </c>
      <c r="C84" s="342" t="s">
        <v>1337</v>
      </c>
      <c r="D84" s="343" t="s">
        <v>1338</v>
      </c>
      <c r="E84" s="347" t="s">
        <v>1217</v>
      </c>
      <c r="F84" s="347"/>
      <c r="G84" s="348"/>
      <c r="H84" s="348"/>
    </row>
    <row r="85" spans="1:8" ht="30" x14ac:dyDescent="0.25">
      <c r="A85" s="343">
        <v>82</v>
      </c>
      <c r="B85" s="342" t="s">
        <v>1324</v>
      </c>
      <c r="C85" s="342" t="s">
        <v>1339</v>
      </c>
      <c r="D85" s="343" t="s">
        <v>1340</v>
      </c>
      <c r="E85" s="347" t="s">
        <v>1217</v>
      </c>
      <c r="F85" s="347"/>
      <c r="G85" s="348"/>
      <c r="H85" s="348"/>
    </row>
    <row r="86" spans="1:8" ht="45" x14ac:dyDescent="0.25">
      <c r="A86" s="343">
        <v>83</v>
      </c>
      <c r="B86" s="342" t="s">
        <v>1324</v>
      </c>
      <c r="C86" s="342" t="s">
        <v>1341</v>
      </c>
      <c r="D86" s="343" t="s">
        <v>1342</v>
      </c>
      <c r="E86" s="347" t="s">
        <v>1154</v>
      </c>
      <c r="F86" s="347"/>
      <c r="G86" s="348"/>
      <c r="H86" s="348"/>
    </row>
    <row r="87" spans="1:8" ht="30" x14ac:dyDescent="0.25">
      <c r="A87" s="343">
        <v>84</v>
      </c>
      <c r="B87" s="342" t="s">
        <v>1324</v>
      </c>
      <c r="C87" s="342" t="s">
        <v>1343</v>
      </c>
      <c r="D87" s="343" t="s">
        <v>1344</v>
      </c>
      <c r="E87" s="347" t="s">
        <v>1172</v>
      </c>
      <c r="F87" s="347"/>
      <c r="G87" s="348"/>
      <c r="H87" s="348"/>
    </row>
    <row r="88" spans="1:8" ht="30" x14ac:dyDescent="0.25">
      <c r="A88" s="343">
        <v>85</v>
      </c>
      <c r="B88" s="342" t="s">
        <v>1324</v>
      </c>
      <c r="C88" s="350" t="s">
        <v>1345</v>
      </c>
      <c r="D88" s="351" t="s">
        <v>1346</v>
      </c>
      <c r="E88" s="352" t="s">
        <v>1172</v>
      </c>
      <c r="F88" s="347"/>
      <c r="G88" s="348"/>
      <c r="H88" s="348"/>
    </row>
    <row r="89" spans="1:8" ht="30" x14ac:dyDescent="0.25">
      <c r="A89" s="343">
        <v>86</v>
      </c>
      <c r="B89" s="342" t="s">
        <v>1347</v>
      </c>
      <c r="C89" s="350" t="s">
        <v>1348</v>
      </c>
      <c r="D89" s="351" t="s">
        <v>1349</v>
      </c>
      <c r="E89" s="352" t="s">
        <v>1220</v>
      </c>
      <c r="F89" s="347"/>
      <c r="G89" s="348"/>
      <c r="H89" s="348"/>
    </row>
    <row r="90" spans="1:8" ht="30" x14ac:dyDescent="0.25">
      <c r="A90" s="343">
        <v>87</v>
      </c>
      <c r="B90" s="342" t="s">
        <v>1347</v>
      </c>
      <c r="C90" s="350" t="s">
        <v>1350</v>
      </c>
      <c r="D90" s="351" t="s">
        <v>1351</v>
      </c>
      <c r="E90" s="351" t="s">
        <v>1189</v>
      </c>
      <c r="F90" s="347"/>
      <c r="G90" s="348"/>
      <c r="H90" s="348"/>
    </row>
    <row r="91" spans="1:8" ht="60" x14ac:dyDescent="0.25">
      <c r="A91" s="343">
        <v>88</v>
      </c>
      <c r="B91" s="342" t="s">
        <v>1352</v>
      </c>
      <c r="C91" s="350" t="s">
        <v>1353</v>
      </c>
      <c r="D91" s="351" t="s">
        <v>1354</v>
      </c>
      <c r="E91" s="352" t="s">
        <v>1154</v>
      </c>
      <c r="F91" s="347"/>
      <c r="G91" s="348"/>
      <c r="H91" s="348"/>
    </row>
    <row r="92" spans="1:8" ht="60" x14ac:dyDescent="0.25">
      <c r="A92" s="343">
        <v>89</v>
      </c>
      <c r="B92" s="342" t="s">
        <v>1355</v>
      </c>
      <c r="C92" s="350" t="s">
        <v>1356</v>
      </c>
      <c r="D92" s="351" t="s">
        <v>1357</v>
      </c>
      <c r="E92" s="352" t="s">
        <v>1154</v>
      </c>
      <c r="F92" s="347"/>
      <c r="G92" s="348"/>
      <c r="H92" s="348"/>
    </row>
    <row r="93" spans="1:8" ht="30" x14ac:dyDescent="0.25">
      <c r="A93" s="343">
        <v>90</v>
      </c>
      <c r="B93" s="342" t="s">
        <v>1355</v>
      </c>
      <c r="C93" s="350" t="s">
        <v>1358</v>
      </c>
      <c r="D93" s="351" t="s">
        <v>1359</v>
      </c>
      <c r="E93" s="352" t="s">
        <v>1154</v>
      </c>
      <c r="F93" s="347"/>
      <c r="G93" s="348"/>
      <c r="H93" s="348"/>
    </row>
    <row r="94" spans="1:8" ht="45" x14ac:dyDescent="0.25">
      <c r="A94" s="343">
        <v>91</v>
      </c>
      <c r="B94" s="342" t="s">
        <v>1355</v>
      </c>
      <c r="C94" s="350" t="s">
        <v>1360</v>
      </c>
      <c r="D94" s="351" t="s">
        <v>1361</v>
      </c>
      <c r="E94" s="352" t="s">
        <v>1154</v>
      </c>
      <c r="F94" s="347"/>
      <c r="G94" s="348"/>
      <c r="H94" s="348"/>
    </row>
    <row r="95" spans="1:8" ht="60" x14ac:dyDescent="0.25">
      <c r="A95" s="343">
        <v>92</v>
      </c>
      <c r="B95" s="342" t="s">
        <v>1355</v>
      </c>
      <c r="C95" s="350" t="s">
        <v>1362</v>
      </c>
      <c r="D95" s="351" t="s">
        <v>1363</v>
      </c>
      <c r="E95" s="352" t="s">
        <v>1154</v>
      </c>
      <c r="F95" s="347"/>
      <c r="G95" s="348"/>
      <c r="H95" s="348"/>
    </row>
    <row r="96" spans="1:8" ht="45" x14ac:dyDescent="0.25">
      <c r="A96" s="343">
        <v>93</v>
      </c>
      <c r="B96" s="342" t="s">
        <v>1355</v>
      </c>
      <c r="C96" s="350" t="s">
        <v>1364</v>
      </c>
      <c r="D96" s="351" t="s">
        <v>1365</v>
      </c>
      <c r="E96" s="352" t="s">
        <v>1154</v>
      </c>
      <c r="F96" s="347"/>
      <c r="G96" s="348"/>
      <c r="H96" s="348"/>
    </row>
    <row r="97" spans="1:8" ht="75" x14ac:dyDescent="0.25">
      <c r="A97" s="343">
        <v>94</v>
      </c>
      <c r="B97" s="342" t="s">
        <v>1355</v>
      </c>
      <c r="C97" s="350" t="s">
        <v>1366</v>
      </c>
      <c r="D97" s="351" t="s">
        <v>1367</v>
      </c>
      <c r="E97" s="352" t="s">
        <v>1154</v>
      </c>
      <c r="F97" s="347"/>
      <c r="G97" s="348"/>
      <c r="H97" s="348"/>
    </row>
    <row r="98" spans="1:8" ht="75" x14ac:dyDescent="0.25">
      <c r="A98" s="343">
        <v>95</v>
      </c>
      <c r="B98" s="342" t="s">
        <v>1355</v>
      </c>
      <c r="C98" s="350" t="s">
        <v>1368</v>
      </c>
      <c r="D98" s="351" t="s">
        <v>1369</v>
      </c>
      <c r="E98" s="352" t="s">
        <v>1154</v>
      </c>
      <c r="F98" s="347"/>
      <c r="G98" s="348"/>
      <c r="H98" s="348"/>
    </row>
    <row r="99" spans="1:8" ht="75" x14ac:dyDescent="0.25">
      <c r="A99" s="343">
        <v>96</v>
      </c>
      <c r="B99" s="342" t="s">
        <v>1355</v>
      </c>
      <c r="C99" s="350" t="s">
        <v>1370</v>
      </c>
      <c r="D99" s="351" t="s">
        <v>1371</v>
      </c>
      <c r="E99" s="352" t="s">
        <v>1154</v>
      </c>
      <c r="F99" s="347"/>
      <c r="G99" s="348"/>
      <c r="H99" s="348"/>
    </row>
    <row r="100" spans="1:8" x14ac:dyDescent="0.25">
      <c r="A100" s="343">
        <v>97</v>
      </c>
      <c r="B100" s="342" t="s">
        <v>1355</v>
      </c>
      <c r="C100" s="350" t="s">
        <v>1372</v>
      </c>
      <c r="D100" s="351" t="s">
        <v>1373</v>
      </c>
      <c r="E100" s="352" t="s">
        <v>1154</v>
      </c>
      <c r="F100" s="347"/>
      <c r="G100" s="348"/>
      <c r="H100" s="348"/>
    </row>
    <row r="101" spans="1:8" ht="30" x14ac:dyDescent="0.25">
      <c r="A101" s="343">
        <v>98</v>
      </c>
      <c r="B101" s="342" t="s">
        <v>1355</v>
      </c>
      <c r="C101" s="350" t="s">
        <v>1374</v>
      </c>
      <c r="D101" s="351" t="s">
        <v>1375</v>
      </c>
      <c r="E101" s="352" t="s">
        <v>1154</v>
      </c>
      <c r="F101" s="347"/>
      <c r="G101" s="348"/>
      <c r="H101" s="348"/>
    </row>
    <row r="102" spans="1:8" ht="30" x14ac:dyDescent="0.25">
      <c r="A102" s="343">
        <v>99</v>
      </c>
      <c r="B102" s="342" t="s">
        <v>1355</v>
      </c>
      <c r="C102" s="342" t="s">
        <v>1376</v>
      </c>
      <c r="D102" s="343" t="s">
        <v>1377</v>
      </c>
      <c r="E102" s="352" t="s">
        <v>1154</v>
      </c>
      <c r="F102" s="347"/>
      <c r="G102" s="348"/>
      <c r="H102" s="348"/>
    </row>
    <row r="103" spans="1:8" ht="30" x14ac:dyDescent="0.25">
      <c r="A103" s="343">
        <v>100</v>
      </c>
      <c r="B103" s="342" t="s">
        <v>1355</v>
      </c>
      <c r="C103" s="342" t="s">
        <v>1378</v>
      </c>
      <c r="D103" s="343" t="s">
        <v>1379</v>
      </c>
      <c r="E103" s="352" t="s">
        <v>1172</v>
      </c>
      <c r="F103" s="347"/>
      <c r="G103" s="348"/>
      <c r="H103" s="348"/>
    </row>
    <row r="104" spans="1:8" ht="30" x14ac:dyDescent="0.25">
      <c r="A104" s="343">
        <v>101</v>
      </c>
      <c r="B104" s="342" t="s">
        <v>1355</v>
      </c>
      <c r="C104" s="350" t="s">
        <v>1380</v>
      </c>
      <c r="D104" s="351" t="s">
        <v>1381</v>
      </c>
      <c r="E104" s="352" t="s">
        <v>1172</v>
      </c>
      <c r="F104" s="347"/>
      <c r="G104" s="348"/>
      <c r="H104" s="348"/>
    </row>
    <row r="105" spans="1:8" ht="30" x14ac:dyDescent="0.25">
      <c r="A105" s="343">
        <v>102</v>
      </c>
      <c r="B105" s="342" t="s">
        <v>1355</v>
      </c>
      <c r="C105" s="350" t="s">
        <v>1382</v>
      </c>
      <c r="D105" s="351" t="s">
        <v>1383</v>
      </c>
      <c r="E105" s="351" t="s">
        <v>1145</v>
      </c>
      <c r="F105" s="347"/>
      <c r="G105" s="348"/>
      <c r="H105" s="348"/>
    </row>
    <row r="106" spans="1:8" x14ac:dyDescent="0.25">
      <c r="A106" s="343">
        <v>103</v>
      </c>
      <c r="B106" s="342" t="s">
        <v>1355</v>
      </c>
      <c r="C106" s="350" t="s">
        <v>1384</v>
      </c>
      <c r="D106" s="351" t="s">
        <v>1385</v>
      </c>
      <c r="E106" s="351" t="s">
        <v>1240</v>
      </c>
      <c r="F106" s="347"/>
      <c r="G106" s="348"/>
      <c r="H106" s="348"/>
    </row>
    <row r="107" spans="1:8" ht="30" x14ac:dyDescent="0.25">
      <c r="A107" s="343">
        <v>104</v>
      </c>
      <c r="B107" s="342" t="s">
        <v>1386</v>
      </c>
      <c r="C107" s="350" t="s">
        <v>1387</v>
      </c>
      <c r="D107" s="351" t="s">
        <v>1388</v>
      </c>
      <c r="E107" s="352" t="s">
        <v>1154</v>
      </c>
      <c r="F107" s="347"/>
      <c r="G107" s="348"/>
      <c r="H107" s="348"/>
    </row>
    <row r="108" spans="1:8" x14ac:dyDescent="0.25">
      <c r="A108" s="343">
        <v>105</v>
      </c>
      <c r="B108" s="342" t="s">
        <v>1386</v>
      </c>
      <c r="C108" s="342" t="s">
        <v>1389</v>
      </c>
      <c r="D108" s="343" t="s">
        <v>1390</v>
      </c>
      <c r="E108" s="347" t="s">
        <v>1172</v>
      </c>
      <c r="F108" s="347"/>
      <c r="G108" s="348"/>
      <c r="H108" s="348"/>
    </row>
    <row r="109" spans="1:8" ht="30" x14ac:dyDescent="0.25">
      <c r="A109" s="343">
        <v>106</v>
      </c>
      <c r="B109" s="342" t="s">
        <v>1386</v>
      </c>
      <c r="C109" s="342" t="s">
        <v>1391</v>
      </c>
      <c r="D109" s="343" t="s">
        <v>1392</v>
      </c>
      <c r="E109" s="343" t="s">
        <v>1203</v>
      </c>
      <c r="F109" s="347"/>
      <c r="G109" s="348"/>
      <c r="H109" s="348"/>
    </row>
    <row r="110" spans="1:8" ht="30" x14ac:dyDescent="0.25">
      <c r="A110" s="343">
        <v>107</v>
      </c>
      <c r="B110" s="342" t="s">
        <v>1386</v>
      </c>
      <c r="C110" s="342" t="s">
        <v>1393</v>
      </c>
      <c r="D110" s="343" t="s">
        <v>1394</v>
      </c>
      <c r="E110" s="343" t="s">
        <v>1145</v>
      </c>
      <c r="F110" s="347"/>
      <c r="G110" s="348"/>
      <c r="H110" s="348"/>
    </row>
    <row r="111" spans="1:8" x14ac:dyDescent="0.25">
      <c r="A111" s="343">
        <v>108</v>
      </c>
      <c r="B111" s="342" t="s">
        <v>1395</v>
      </c>
      <c r="C111" s="342" t="s">
        <v>1396</v>
      </c>
      <c r="D111" s="343" t="s">
        <v>1397</v>
      </c>
      <c r="E111" s="347" t="s">
        <v>1172</v>
      </c>
      <c r="F111" s="347"/>
      <c r="G111" s="348"/>
      <c r="H111" s="348"/>
    </row>
    <row r="112" spans="1:8" ht="30" x14ac:dyDescent="0.25">
      <c r="A112" s="343">
        <v>109</v>
      </c>
      <c r="B112" s="342" t="s">
        <v>1395</v>
      </c>
      <c r="C112" s="342" t="s">
        <v>1398</v>
      </c>
      <c r="D112" s="343" t="s">
        <v>1399</v>
      </c>
      <c r="E112" s="343" t="s">
        <v>1145</v>
      </c>
      <c r="F112" s="347"/>
      <c r="G112" s="348"/>
      <c r="H112" s="348"/>
    </row>
    <row r="113" spans="1:8" ht="45" x14ac:dyDescent="0.25">
      <c r="A113" s="343">
        <v>110</v>
      </c>
      <c r="B113" s="342" t="s">
        <v>1400</v>
      </c>
      <c r="C113" s="342" t="s">
        <v>1401</v>
      </c>
      <c r="D113" s="343" t="s">
        <v>1402</v>
      </c>
      <c r="E113" s="347" t="s">
        <v>1154</v>
      </c>
      <c r="F113" s="347"/>
      <c r="G113" s="348"/>
      <c r="H113" s="348"/>
    </row>
    <row r="114" spans="1:8" ht="30" x14ac:dyDescent="0.25">
      <c r="A114" s="343">
        <v>111</v>
      </c>
      <c r="B114" s="342" t="s">
        <v>1400</v>
      </c>
      <c r="C114" s="342" t="s">
        <v>1403</v>
      </c>
      <c r="D114" s="343" t="s">
        <v>1404</v>
      </c>
      <c r="E114" s="347" t="s">
        <v>1154</v>
      </c>
      <c r="F114" s="347"/>
      <c r="G114" s="348"/>
      <c r="H114" s="348"/>
    </row>
    <row r="115" spans="1:8" ht="60" x14ac:dyDescent="0.25">
      <c r="A115" s="343">
        <v>112</v>
      </c>
      <c r="B115" s="342" t="s">
        <v>1400</v>
      </c>
      <c r="C115" s="342" t="s">
        <v>1405</v>
      </c>
      <c r="D115" s="343" t="s">
        <v>1406</v>
      </c>
      <c r="E115" s="347" t="s">
        <v>1154</v>
      </c>
      <c r="F115" s="347"/>
      <c r="G115" s="348"/>
      <c r="H115" s="348"/>
    </row>
  </sheetData>
  <mergeCells count="1">
    <mergeCell ref="B1:H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55482E-1E77-47A0-A7AD-4E5F7ACE9CD2}">
  <dimension ref="A1:H50"/>
  <sheetViews>
    <sheetView workbookViewId="0">
      <selection activeCell="F3" sqref="F3"/>
    </sheetView>
  </sheetViews>
  <sheetFormatPr defaultRowHeight="15" x14ac:dyDescent="0.25"/>
  <cols>
    <col min="1" max="1" width="5.42578125" style="355" customWidth="1"/>
    <col min="2" max="2" width="34.28515625" style="354" customWidth="1"/>
    <col min="3" max="3" width="74.7109375" style="354" customWidth="1"/>
    <col min="4" max="4" width="14.140625" style="355" bestFit="1" customWidth="1"/>
    <col min="5" max="5" width="22.42578125" style="356" customWidth="1"/>
    <col min="6" max="6" width="36.85546875" customWidth="1"/>
    <col min="7" max="8" width="37.28515625" customWidth="1"/>
  </cols>
  <sheetData>
    <row r="1" spans="1:8" s="336" customFormat="1" ht="28.5" x14ac:dyDescent="0.45">
      <c r="A1" s="521" t="s">
        <v>1407</v>
      </c>
      <c r="B1" s="521"/>
      <c r="C1" s="521"/>
      <c r="D1" s="521"/>
      <c r="E1" s="521"/>
      <c r="F1" s="521"/>
      <c r="G1" s="521"/>
      <c r="H1" s="521"/>
    </row>
    <row r="3" spans="1:8" s="340" customFormat="1" ht="108.75" customHeight="1" thickBot="1" x14ac:dyDescent="0.3">
      <c r="A3" s="338" t="s">
        <v>1408</v>
      </c>
      <c r="B3" s="338" t="s">
        <v>1135</v>
      </c>
      <c r="C3" s="338" t="s">
        <v>1136</v>
      </c>
      <c r="D3" s="339" t="s">
        <v>1137</v>
      </c>
      <c r="E3" s="338" t="s">
        <v>1138</v>
      </c>
      <c r="F3" s="338" t="s">
        <v>1670</v>
      </c>
      <c r="G3" s="338" t="s">
        <v>1140</v>
      </c>
      <c r="H3" s="338" t="s">
        <v>1141</v>
      </c>
    </row>
    <row r="4" spans="1:8" ht="30" x14ac:dyDescent="0.25">
      <c r="A4" s="341">
        <v>1</v>
      </c>
      <c r="B4" s="357" t="s">
        <v>1192</v>
      </c>
      <c r="C4" s="357" t="s">
        <v>1409</v>
      </c>
      <c r="D4" s="341" t="s">
        <v>1410</v>
      </c>
      <c r="E4" s="344" t="s">
        <v>1172</v>
      </c>
      <c r="F4" s="346"/>
      <c r="G4" s="346"/>
      <c r="H4" s="346"/>
    </row>
    <row r="5" spans="1:8" ht="30" x14ac:dyDescent="0.25">
      <c r="A5" s="343">
        <v>2</v>
      </c>
      <c r="B5" s="342" t="s">
        <v>1192</v>
      </c>
      <c r="C5" s="342" t="s">
        <v>1411</v>
      </c>
      <c r="D5" s="343" t="s">
        <v>1412</v>
      </c>
      <c r="E5" s="347" t="s">
        <v>1145</v>
      </c>
      <c r="F5" s="348"/>
      <c r="G5" s="348"/>
      <c r="H5" s="348"/>
    </row>
    <row r="6" spans="1:8" ht="30" x14ac:dyDescent="0.25">
      <c r="A6" s="341">
        <v>3</v>
      </c>
      <c r="B6" s="342" t="s">
        <v>1211</v>
      </c>
      <c r="C6" s="342" t="s">
        <v>1413</v>
      </c>
      <c r="D6" s="343" t="s">
        <v>1414</v>
      </c>
      <c r="E6" s="347" t="s">
        <v>1217</v>
      </c>
      <c r="F6" s="348"/>
      <c r="G6" s="348"/>
      <c r="H6" s="348"/>
    </row>
    <row r="7" spans="1:8" ht="30" x14ac:dyDescent="0.25">
      <c r="A7" s="343">
        <v>4</v>
      </c>
      <c r="B7" s="342" t="s">
        <v>1211</v>
      </c>
      <c r="C7" s="342" t="s">
        <v>1415</v>
      </c>
      <c r="D7" s="343" t="s">
        <v>1416</v>
      </c>
      <c r="E7" s="347" t="s">
        <v>1217</v>
      </c>
      <c r="F7" s="348"/>
      <c r="G7" s="348"/>
      <c r="H7" s="348"/>
    </row>
    <row r="8" spans="1:8" ht="45" x14ac:dyDescent="0.25">
      <c r="A8" s="341">
        <v>5</v>
      </c>
      <c r="B8" s="342" t="s">
        <v>1211</v>
      </c>
      <c r="C8" s="342" t="s">
        <v>1417</v>
      </c>
      <c r="D8" s="343" t="s">
        <v>1418</v>
      </c>
      <c r="E8" s="347" t="s">
        <v>1217</v>
      </c>
      <c r="F8" s="348"/>
      <c r="G8" s="348"/>
      <c r="H8" s="348"/>
    </row>
    <row r="9" spans="1:8" ht="30" x14ac:dyDescent="0.25">
      <c r="A9" s="343">
        <v>6</v>
      </c>
      <c r="B9" s="342" t="s">
        <v>1211</v>
      </c>
      <c r="C9" s="342" t="s">
        <v>1419</v>
      </c>
      <c r="D9" s="343" t="s">
        <v>1420</v>
      </c>
      <c r="E9" s="347" t="s">
        <v>1217</v>
      </c>
      <c r="F9" s="348"/>
      <c r="G9" s="348"/>
      <c r="H9" s="348"/>
    </row>
    <row r="10" spans="1:8" ht="30" x14ac:dyDescent="0.25">
      <c r="A10" s="341">
        <v>7</v>
      </c>
      <c r="B10" s="342" t="s">
        <v>1211</v>
      </c>
      <c r="C10" s="342" t="s">
        <v>1421</v>
      </c>
      <c r="D10" s="343" t="s">
        <v>1422</v>
      </c>
      <c r="E10" s="347" t="s">
        <v>1217</v>
      </c>
      <c r="F10" s="348"/>
      <c r="G10" s="348"/>
      <c r="H10" s="348"/>
    </row>
    <row r="11" spans="1:8" ht="30" x14ac:dyDescent="0.25">
      <c r="A11" s="343">
        <v>8</v>
      </c>
      <c r="B11" s="342" t="s">
        <v>1211</v>
      </c>
      <c r="C11" s="342" t="s">
        <v>1423</v>
      </c>
      <c r="D11" s="343" t="s">
        <v>1424</v>
      </c>
      <c r="E11" s="347" t="s">
        <v>1217</v>
      </c>
      <c r="F11" s="348"/>
      <c r="G11" s="348"/>
      <c r="H11" s="348"/>
    </row>
    <row r="12" spans="1:8" ht="45" x14ac:dyDescent="0.25">
      <c r="A12" s="341">
        <v>9</v>
      </c>
      <c r="B12" s="342" t="s">
        <v>1211</v>
      </c>
      <c r="C12" s="342" t="s">
        <v>1425</v>
      </c>
      <c r="D12" s="343" t="s">
        <v>1426</v>
      </c>
      <c r="E12" s="347" t="s">
        <v>1172</v>
      </c>
      <c r="F12" s="348"/>
      <c r="G12" s="348"/>
      <c r="H12" s="348"/>
    </row>
    <row r="13" spans="1:8" ht="45" x14ac:dyDescent="0.25">
      <c r="A13" s="343">
        <v>10</v>
      </c>
      <c r="B13" s="342" t="s">
        <v>1211</v>
      </c>
      <c r="C13" s="342" t="s">
        <v>1427</v>
      </c>
      <c r="D13" s="343" t="s">
        <v>1428</v>
      </c>
      <c r="E13" s="347" t="s">
        <v>1172</v>
      </c>
      <c r="F13" s="348"/>
      <c r="G13" s="348"/>
      <c r="H13" s="348"/>
    </row>
    <row r="14" spans="1:8" ht="30" x14ac:dyDescent="0.25">
      <c r="A14" s="341">
        <v>11</v>
      </c>
      <c r="B14" s="342" t="s">
        <v>1214</v>
      </c>
      <c r="C14" s="342" t="s">
        <v>1429</v>
      </c>
      <c r="D14" s="343" t="s">
        <v>1430</v>
      </c>
      <c r="E14" s="343" t="s">
        <v>1189</v>
      </c>
      <c r="F14" s="348"/>
      <c r="G14" s="348"/>
      <c r="H14" s="348"/>
    </row>
    <row r="15" spans="1:8" ht="30" x14ac:dyDescent="0.25">
      <c r="A15" s="343">
        <v>12</v>
      </c>
      <c r="B15" s="342" t="s">
        <v>1249</v>
      </c>
      <c r="C15" s="342" t="s">
        <v>1431</v>
      </c>
      <c r="D15" s="343" t="s">
        <v>1432</v>
      </c>
      <c r="E15" s="343" t="s">
        <v>1172</v>
      </c>
      <c r="F15" s="348"/>
      <c r="G15" s="348"/>
      <c r="H15" s="348"/>
    </row>
    <row r="16" spans="1:8" ht="30" x14ac:dyDescent="0.25">
      <c r="A16" s="341">
        <v>13</v>
      </c>
      <c r="B16" s="342" t="s">
        <v>1249</v>
      </c>
      <c r="C16" s="342" t="s">
        <v>1433</v>
      </c>
      <c r="D16" s="343" t="s">
        <v>1434</v>
      </c>
      <c r="E16" s="343" t="s">
        <v>1172</v>
      </c>
      <c r="F16" s="348"/>
      <c r="G16" s="348"/>
      <c r="H16" s="348"/>
    </row>
    <row r="17" spans="1:8" x14ac:dyDescent="0.25">
      <c r="A17" s="343">
        <v>14</v>
      </c>
      <c r="B17" s="342" t="s">
        <v>1249</v>
      </c>
      <c r="C17" s="342" t="s">
        <v>1435</v>
      </c>
      <c r="D17" s="343" t="s">
        <v>1436</v>
      </c>
      <c r="E17" s="343" t="s">
        <v>1189</v>
      </c>
      <c r="F17" s="348"/>
      <c r="G17" s="348"/>
      <c r="H17" s="348"/>
    </row>
    <row r="18" spans="1:8" ht="32.25" customHeight="1" x14ac:dyDescent="0.25">
      <c r="A18" s="341">
        <v>15</v>
      </c>
      <c r="B18" s="342" t="s">
        <v>1255</v>
      </c>
      <c r="C18" s="342" t="s">
        <v>1437</v>
      </c>
      <c r="D18" s="343" t="s">
        <v>1438</v>
      </c>
      <c r="E18" s="343" t="s">
        <v>1154</v>
      </c>
      <c r="F18" s="348"/>
      <c r="G18" s="348"/>
      <c r="H18" s="348"/>
    </row>
    <row r="19" spans="1:8" ht="30" x14ac:dyDescent="0.25">
      <c r="A19" s="343">
        <v>16</v>
      </c>
      <c r="B19" s="342" t="s">
        <v>1255</v>
      </c>
      <c r="C19" s="342" t="s">
        <v>1437</v>
      </c>
      <c r="D19" s="343" t="s">
        <v>1438</v>
      </c>
      <c r="E19" s="343" t="s">
        <v>1217</v>
      </c>
      <c r="F19" s="348"/>
      <c r="G19" s="348"/>
      <c r="H19" s="348"/>
    </row>
    <row r="20" spans="1:8" x14ac:dyDescent="0.25">
      <c r="A20" s="341">
        <v>17</v>
      </c>
      <c r="B20" s="342" t="s">
        <v>1260</v>
      </c>
      <c r="C20" s="342" t="s">
        <v>1261</v>
      </c>
      <c r="D20" s="343" t="s">
        <v>1262</v>
      </c>
      <c r="E20" s="343" t="s">
        <v>1217</v>
      </c>
      <c r="F20" s="348"/>
      <c r="G20" s="348"/>
      <c r="H20" s="348"/>
    </row>
    <row r="21" spans="1:8" ht="75.75" customHeight="1" x14ac:dyDescent="0.25">
      <c r="A21" s="343">
        <v>18</v>
      </c>
      <c r="B21" s="342" t="s">
        <v>1260</v>
      </c>
      <c r="C21" s="342" t="s">
        <v>1263</v>
      </c>
      <c r="D21" s="343" t="s">
        <v>1264</v>
      </c>
      <c r="E21" s="343" t="s">
        <v>1217</v>
      </c>
      <c r="F21" s="348"/>
      <c r="G21" s="348"/>
      <c r="H21" s="348"/>
    </row>
    <row r="22" spans="1:8" ht="33.75" customHeight="1" x14ac:dyDescent="0.25">
      <c r="A22" s="341">
        <v>19</v>
      </c>
      <c r="B22" s="342" t="s">
        <v>1260</v>
      </c>
      <c r="C22" s="342" t="s">
        <v>1265</v>
      </c>
      <c r="D22" s="343" t="s">
        <v>1266</v>
      </c>
      <c r="E22" s="343" t="s">
        <v>1217</v>
      </c>
      <c r="F22" s="348"/>
      <c r="G22" s="348"/>
      <c r="H22" s="348"/>
    </row>
    <row r="23" spans="1:8" ht="30" x14ac:dyDescent="0.25">
      <c r="A23" s="343">
        <v>20</v>
      </c>
      <c r="B23" s="342" t="s">
        <v>1260</v>
      </c>
      <c r="C23" s="342" t="s">
        <v>1267</v>
      </c>
      <c r="D23" s="343" t="s">
        <v>1268</v>
      </c>
      <c r="E23" s="343" t="s">
        <v>1217</v>
      </c>
      <c r="F23" s="348"/>
      <c r="G23" s="348"/>
      <c r="H23" s="348"/>
    </row>
    <row r="24" spans="1:8" ht="30" x14ac:dyDescent="0.25">
      <c r="A24" s="341">
        <v>21</v>
      </c>
      <c r="B24" s="342" t="s">
        <v>1260</v>
      </c>
      <c r="C24" s="342" t="s">
        <v>1269</v>
      </c>
      <c r="D24" s="343" t="s">
        <v>1270</v>
      </c>
      <c r="E24" s="343" t="s">
        <v>1217</v>
      </c>
      <c r="F24" s="348"/>
      <c r="G24" s="348"/>
      <c r="H24" s="348"/>
    </row>
    <row r="25" spans="1:8" ht="30" x14ac:dyDescent="0.25">
      <c r="A25" s="343">
        <v>22</v>
      </c>
      <c r="B25" s="342" t="s">
        <v>1260</v>
      </c>
      <c r="C25" s="342" t="s">
        <v>1271</v>
      </c>
      <c r="D25" s="343" t="s">
        <v>1272</v>
      </c>
      <c r="E25" s="343" t="s">
        <v>1217</v>
      </c>
      <c r="F25" s="348"/>
      <c r="G25" s="348"/>
      <c r="H25" s="348"/>
    </row>
    <row r="26" spans="1:8" ht="45" x14ac:dyDescent="0.25">
      <c r="A26" s="341">
        <v>23</v>
      </c>
      <c r="B26" s="342" t="s">
        <v>1260</v>
      </c>
      <c r="C26" s="342" t="s">
        <v>1273</v>
      </c>
      <c r="D26" s="343" t="s">
        <v>1274</v>
      </c>
      <c r="E26" s="343" t="s">
        <v>1217</v>
      </c>
      <c r="F26" s="348"/>
      <c r="G26" s="348"/>
      <c r="H26" s="348"/>
    </row>
    <row r="27" spans="1:8" ht="30" x14ac:dyDescent="0.25">
      <c r="A27" s="343">
        <v>24</v>
      </c>
      <c r="B27" s="342" t="s">
        <v>1260</v>
      </c>
      <c r="C27" s="342" t="s">
        <v>1279</v>
      </c>
      <c r="D27" s="343" t="s">
        <v>1280</v>
      </c>
      <c r="E27" s="343" t="s">
        <v>1172</v>
      </c>
      <c r="F27" s="348"/>
      <c r="G27" s="348"/>
      <c r="H27" s="348"/>
    </row>
    <row r="28" spans="1:8" ht="33.75" customHeight="1" x14ac:dyDescent="0.25">
      <c r="A28" s="341">
        <v>25</v>
      </c>
      <c r="B28" s="342" t="s">
        <v>1260</v>
      </c>
      <c r="C28" s="342" t="s">
        <v>1281</v>
      </c>
      <c r="D28" s="343" t="s">
        <v>1282</v>
      </c>
      <c r="E28" s="343" t="s">
        <v>1172</v>
      </c>
      <c r="F28" s="348"/>
      <c r="G28" s="348"/>
      <c r="H28" s="348"/>
    </row>
    <row r="29" spans="1:8" ht="30" x14ac:dyDescent="0.25">
      <c r="A29" s="343">
        <v>26</v>
      </c>
      <c r="B29" s="342" t="s">
        <v>1313</v>
      </c>
      <c r="C29" s="342" t="s">
        <v>1439</v>
      </c>
      <c r="D29" s="343" t="s">
        <v>1440</v>
      </c>
      <c r="E29" s="347" t="s">
        <v>1172</v>
      </c>
      <c r="F29" s="348"/>
      <c r="G29" s="348"/>
      <c r="H29" s="348"/>
    </row>
    <row r="30" spans="1:8" ht="45" x14ac:dyDescent="0.25">
      <c r="A30" s="341">
        <v>27</v>
      </c>
      <c r="B30" s="342" t="s">
        <v>1313</v>
      </c>
      <c r="C30" s="342" t="s">
        <v>1441</v>
      </c>
      <c r="D30" s="343" t="s">
        <v>1442</v>
      </c>
      <c r="E30" s="347" t="s">
        <v>1172</v>
      </c>
      <c r="F30" s="348"/>
      <c r="G30" s="348"/>
      <c r="H30" s="348"/>
    </row>
    <row r="31" spans="1:8" ht="45" x14ac:dyDescent="0.25">
      <c r="A31" s="343">
        <v>28</v>
      </c>
      <c r="B31" s="342" t="s">
        <v>1319</v>
      </c>
      <c r="C31" s="342" t="s">
        <v>1443</v>
      </c>
      <c r="D31" s="343" t="s">
        <v>1444</v>
      </c>
      <c r="E31" s="347" t="s">
        <v>1154</v>
      </c>
      <c r="F31" s="348"/>
      <c r="G31" s="348"/>
      <c r="H31" s="348"/>
    </row>
    <row r="32" spans="1:8" ht="45" x14ac:dyDescent="0.25">
      <c r="A32" s="341">
        <v>29</v>
      </c>
      <c r="B32" s="342" t="s">
        <v>1319</v>
      </c>
      <c r="C32" s="342" t="s">
        <v>1443</v>
      </c>
      <c r="D32" s="343" t="s">
        <v>1444</v>
      </c>
      <c r="E32" s="347" t="s">
        <v>1217</v>
      </c>
      <c r="F32" s="348"/>
      <c r="G32" s="348"/>
      <c r="H32" s="348"/>
    </row>
    <row r="33" spans="1:8" ht="29.25" customHeight="1" x14ac:dyDescent="0.25">
      <c r="A33" s="343">
        <v>30</v>
      </c>
      <c r="B33" s="342" t="s">
        <v>1324</v>
      </c>
      <c r="C33" s="342" t="s">
        <v>1325</v>
      </c>
      <c r="D33" s="343" t="s">
        <v>1326</v>
      </c>
      <c r="E33" s="347" t="s">
        <v>1217</v>
      </c>
      <c r="F33" s="348"/>
      <c r="G33" s="348"/>
      <c r="H33" s="348"/>
    </row>
    <row r="34" spans="1:8" ht="108" customHeight="1" x14ac:dyDescent="0.25">
      <c r="A34" s="341">
        <v>31</v>
      </c>
      <c r="B34" s="342" t="s">
        <v>1324</v>
      </c>
      <c r="C34" s="342" t="s">
        <v>1327</v>
      </c>
      <c r="D34" s="343" t="s">
        <v>1328</v>
      </c>
      <c r="E34" s="347" t="s">
        <v>1217</v>
      </c>
      <c r="F34" s="348"/>
      <c r="G34" s="348"/>
      <c r="H34" s="348"/>
    </row>
    <row r="35" spans="1:8" ht="30" x14ac:dyDescent="0.25">
      <c r="A35" s="343">
        <v>32</v>
      </c>
      <c r="B35" s="342" t="s">
        <v>1324</v>
      </c>
      <c r="C35" s="342" t="s">
        <v>1329</v>
      </c>
      <c r="D35" s="343" t="s">
        <v>1330</v>
      </c>
      <c r="E35" s="347" t="s">
        <v>1217</v>
      </c>
      <c r="F35" s="348"/>
      <c r="G35" s="348"/>
      <c r="H35" s="348"/>
    </row>
    <row r="36" spans="1:8" ht="30" x14ac:dyDescent="0.25">
      <c r="A36" s="341">
        <v>33</v>
      </c>
      <c r="B36" s="342" t="s">
        <v>1324</v>
      </c>
      <c r="C36" s="342" t="s">
        <v>1331</v>
      </c>
      <c r="D36" s="343" t="s">
        <v>1332</v>
      </c>
      <c r="E36" s="347" t="s">
        <v>1217</v>
      </c>
      <c r="F36" s="348"/>
      <c r="G36" s="348"/>
      <c r="H36" s="348"/>
    </row>
    <row r="37" spans="1:8" ht="30" x14ac:dyDescent="0.25">
      <c r="A37" s="343">
        <v>34</v>
      </c>
      <c r="B37" s="342" t="s">
        <v>1324</v>
      </c>
      <c r="C37" s="342" t="s">
        <v>1333</v>
      </c>
      <c r="D37" s="343" t="s">
        <v>1334</v>
      </c>
      <c r="E37" s="347" t="s">
        <v>1217</v>
      </c>
      <c r="F37" s="348"/>
      <c r="G37" s="348"/>
      <c r="H37" s="348"/>
    </row>
    <row r="38" spans="1:8" ht="45" x14ac:dyDescent="0.25">
      <c r="A38" s="341">
        <v>35</v>
      </c>
      <c r="B38" s="342" t="s">
        <v>1324</v>
      </c>
      <c r="C38" s="342" t="s">
        <v>1335</v>
      </c>
      <c r="D38" s="343" t="s">
        <v>1336</v>
      </c>
      <c r="E38" s="347" t="s">
        <v>1217</v>
      </c>
      <c r="F38" s="348"/>
      <c r="G38" s="348"/>
      <c r="H38" s="348"/>
    </row>
    <row r="39" spans="1:8" ht="32.25" customHeight="1" x14ac:dyDescent="0.25">
      <c r="A39" s="343">
        <v>36</v>
      </c>
      <c r="B39" s="342" t="s">
        <v>1324</v>
      </c>
      <c r="C39" s="342" t="s">
        <v>1337</v>
      </c>
      <c r="D39" s="343" t="s">
        <v>1338</v>
      </c>
      <c r="E39" s="347" t="s">
        <v>1217</v>
      </c>
      <c r="F39" s="348"/>
      <c r="G39" s="348"/>
      <c r="H39" s="348"/>
    </row>
    <row r="40" spans="1:8" ht="30" x14ac:dyDescent="0.25">
      <c r="A40" s="341">
        <v>37</v>
      </c>
      <c r="B40" s="342" t="s">
        <v>1324</v>
      </c>
      <c r="C40" s="342" t="s">
        <v>1343</v>
      </c>
      <c r="D40" s="343" t="s">
        <v>1344</v>
      </c>
      <c r="E40" s="347" t="s">
        <v>1172</v>
      </c>
      <c r="F40" s="348"/>
      <c r="G40" s="348"/>
      <c r="H40" s="348"/>
    </row>
    <row r="41" spans="1:8" ht="30" x14ac:dyDescent="0.25">
      <c r="A41" s="343">
        <v>38</v>
      </c>
      <c r="B41" s="342" t="s">
        <v>1324</v>
      </c>
      <c r="C41" s="342" t="s">
        <v>1345</v>
      </c>
      <c r="D41" s="343" t="s">
        <v>1346</v>
      </c>
      <c r="E41" s="347" t="s">
        <v>1172</v>
      </c>
      <c r="F41" s="348"/>
      <c r="G41" s="348"/>
      <c r="H41" s="348"/>
    </row>
    <row r="42" spans="1:8" x14ac:dyDescent="0.25">
      <c r="A42" s="341">
        <v>39</v>
      </c>
      <c r="B42" s="342" t="s">
        <v>1352</v>
      </c>
      <c r="C42" s="342" t="s">
        <v>1445</v>
      </c>
      <c r="D42" s="343" t="s">
        <v>1446</v>
      </c>
      <c r="E42" s="347" t="s">
        <v>1172</v>
      </c>
      <c r="F42" s="348"/>
      <c r="G42" s="348"/>
      <c r="H42" s="348"/>
    </row>
    <row r="43" spans="1:8" ht="30" x14ac:dyDescent="0.25">
      <c r="A43" s="343">
        <v>40</v>
      </c>
      <c r="B43" s="342" t="s">
        <v>1352</v>
      </c>
      <c r="C43" s="342" t="s">
        <v>1447</v>
      </c>
      <c r="D43" s="343" t="s">
        <v>1448</v>
      </c>
      <c r="E43" s="347" t="s">
        <v>1172</v>
      </c>
      <c r="F43" s="348"/>
      <c r="G43" s="348"/>
      <c r="H43" s="348"/>
    </row>
    <row r="44" spans="1:8" x14ac:dyDescent="0.25">
      <c r="A44" s="341">
        <v>41</v>
      </c>
      <c r="B44" s="342" t="s">
        <v>1355</v>
      </c>
      <c r="C44" s="342" t="s">
        <v>1372</v>
      </c>
      <c r="D44" s="343" t="s">
        <v>1373</v>
      </c>
      <c r="E44" s="347" t="s">
        <v>1154</v>
      </c>
      <c r="F44" s="348"/>
      <c r="G44" s="348"/>
      <c r="H44" s="348"/>
    </row>
    <row r="45" spans="1:8" ht="30" x14ac:dyDescent="0.25">
      <c r="A45" s="343">
        <v>42</v>
      </c>
      <c r="B45" s="342" t="s">
        <v>1355</v>
      </c>
      <c r="C45" s="342" t="s">
        <v>1376</v>
      </c>
      <c r="D45" s="343" t="s">
        <v>1377</v>
      </c>
      <c r="E45" s="347" t="s">
        <v>1154</v>
      </c>
      <c r="F45" s="348"/>
      <c r="G45" s="348"/>
      <c r="H45" s="348"/>
    </row>
    <row r="46" spans="1:8" ht="30" x14ac:dyDescent="0.25">
      <c r="A46" s="341">
        <v>43</v>
      </c>
      <c r="B46" s="342" t="s">
        <v>1355</v>
      </c>
      <c r="C46" s="342" t="s">
        <v>1378</v>
      </c>
      <c r="D46" s="343" t="s">
        <v>1379</v>
      </c>
      <c r="E46" s="347" t="s">
        <v>1172</v>
      </c>
      <c r="F46" s="348"/>
      <c r="G46" s="348"/>
      <c r="H46" s="348"/>
    </row>
    <row r="47" spans="1:8" ht="45" x14ac:dyDescent="0.25">
      <c r="A47" s="343">
        <v>44</v>
      </c>
      <c r="B47" s="342" t="s">
        <v>1395</v>
      </c>
      <c r="C47" s="342" t="s">
        <v>1449</v>
      </c>
      <c r="D47" s="343" t="s">
        <v>1450</v>
      </c>
      <c r="E47" s="347" t="s">
        <v>1172</v>
      </c>
      <c r="F47" s="348"/>
      <c r="G47" s="348"/>
      <c r="H47" s="348"/>
    </row>
    <row r="48" spans="1:8" x14ac:dyDescent="0.25">
      <c r="A48" s="341">
        <v>45</v>
      </c>
      <c r="B48" s="342" t="s">
        <v>1395</v>
      </c>
      <c r="C48" s="342" t="s">
        <v>1396</v>
      </c>
      <c r="D48" s="343" t="s">
        <v>1397</v>
      </c>
      <c r="E48" s="347" t="s">
        <v>1172</v>
      </c>
      <c r="F48" s="348"/>
      <c r="G48" s="348"/>
      <c r="H48" s="348"/>
    </row>
    <row r="49" spans="1:8" ht="30" x14ac:dyDescent="0.25">
      <c r="A49" s="343">
        <v>46</v>
      </c>
      <c r="B49" s="342" t="s">
        <v>1400</v>
      </c>
      <c r="C49" s="342" t="s">
        <v>1451</v>
      </c>
      <c r="D49" s="343" t="s">
        <v>1452</v>
      </c>
      <c r="E49" s="347" t="s">
        <v>1172</v>
      </c>
      <c r="F49" s="348"/>
      <c r="G49" s="348"/>
      <c r="H49" s="348"/>
    </row>
    <row r="50" spans="1:8" x14ac:dyDescent="0.25">
      <c r="A50" s="341">
        <v>47</v>
      </c>
      <c r="B50" s="342" t="s">
        <v>1400</v>
      </c>
      <c r="C50" s="342" t="s">
        <v>1453</v>
      </c>
      <c r="D50" s="343" t="s">
        <v>1454</v>
      </c>
      <c r="E50" s="347" t="s">
        <v>1172</v>
      </c>
      <c r="F50" s="348"/>
      <c r="G50" s="348"/>
      <c r="H50" s="348"/>
    </row>
  </sheetData>
  <mergeCells count="1">
    <mergeCell ref="A1:H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3BCEB3-7F5E-4DB2-9DAA-83E063C38AB6}">
  <dimension ref="A1:H62"/>
  <sheetViews>
    <sheetView workbookViewId="0">
      <selection activeCell="F4" sqref="F4"/>
    </sheetView>
  </sheetViews>
  <sheetFormatPr defaultRowHeight="15" x14ac:dyDescent="0.25"/>
  <cols>
    <col min="1" max="1" width="5.42578125" style="355" customWidth="1"/>
    <col min="2" max="2" width="34.28515625" style="354" customWidth="1"/>
    <col min="3" max="3" width="74.7109375" style="354" customWidth="1"/>
    <col min="4" max="4" width="14.140625" style="355" bestFit="1" customWidth="1"/>
    <col min="5" max="5" width="22.42578125" style="356" customWidth="1"/>
    <col min="6" max="6" width="40.28515625" customWidth="1"/>
    <col min="7" max="7" width="40.42578125" customWidth="1"/>
    <col min="8" max="8" width="38.28515625" customWidth="1"/>
  </cols>
  <sheetData>
    <row r="1" spans="1:8" s="336" customFormat="1" ht="28.5" x14ac:dyDescent="0.45">
      <c r="A1" s="521" t="s">
        <v>1455</v>
      </c>
      <c r="B1" s="521"/>
      <c r="C1" s="521"/>
      <c r="D1" s="521"/>
      <c r="E1" s="521"/>
      <c r="F1" s="521"/>
      <c r="G1" s="521"/>
      <c r="H1" s="521"/>
    </row>
    <row r="3" spans="1:8" s="340" customFormat="1" ht="79.5" customHeight="1" thickBot="1" x14ac:dyDescent="0.3">
      <c r="A3" s="338" t="s">
        <v>1408</v>
      </c>
      <c r="B3" s="338" t="s">
        <v>1135</v>
      </c>
      <c r="C3" s="338" t="s">
        <v>1136</v>
      </c>
      <c r="D3" s="339" t="s">
        <v>1137</v>
      </c>
      <c r="E3" s="338" t="s">
        <v>1138</v>
      </c>
      <c r="F3" s="338" t="s">
        <v>1670</v>
      </c>
      <c r="G3" s="338" t="s">
        <v>1140</v>
      </c>
      <c r="H3" s="338" t="s">
        <v>1141</v>
      </c>
    </row>
    <row r="4" spans="1:8" ht="60" x14ac:dyDescent="0.25">
      <c r="A4" s="341">
        <v>1</v>
      </c>
      <c r="B4" s="357" t="s">
        <v>1175</v>
      </c>
      <c r="C4" s="357" t="s">
        <v>1456</v>
      </c>
      <c r="D4" s="341" t="s">
        <v>1457</v>
      </c>
      <c r="E4" s="341" t="s">
        <v>1203</v>
      </c>
      <c r="F4" s="346"/>
      <c r="G4" s="346"/>
      <c r="H4" s="346"/>
    </row>
    <row r="5" spans="1:8" ht="60" x14ac:dyDescent="0.25">
      <c r="A5" s="343">
        <v>2</v>
      </c>
      <c r="B5" s="342" t="s">
        <v>1175</v>
      </c>
      <c r="C5" s="342" t="s">
        <v>1456</v>
      </c>
      <c r="D5" s="343" t="s">
        <v>1458</v>
      </c>
      <c r="E5" s="343" t="s">
        <v>1203</v>
      </c>
      <c r="F5" s="348"/>
      <c r="G5" s="348"/>
      <c r="H5" s="348"/>
    </row>
    <row r="6" spans="1:8" ht="45" x14ac:dyDescent="0.25">
      <c r="A6" s="341">
        <v>3</v>
      </c>
      <c r="B6" s="342" t="s">
        <v>1175</v>
      </c>
      <c r="C6" s="342" t="s">
        <v>1459</v>
      </c>
      <c r="D6" s="343" t="s">
        <v>1460</v>
      </c>
      <c r="E6" s="349" t="s">
        <v>1203</v>
      </c>
      <c r="F6" s="348"/>
      <c r="G6" s="348"/>
      <c r="H6" s="348"/>
    </row>
    <row r="7" spans="1:8" ht="45" x14ac:dyDescent="0.25">
      <c r="A7" s="343">
        <v>4</v>
      </c>
      <c r="B7" s="342" t="s">
        <v>1175</v>
      </c>
      <c r="C7" s="342" t="s">
        <v>1459</v>
      </c>
      <c r="D7" s="343" t="s">
        <v>1461</v>
      </c>
      <c r="E7" s="349" t="s">
        <v>1203</v>
      </c>
      <c r="F7" s="348"/>
      <c r="G7" s="348"/>
      <c r="H7" s="348"/>
    </row>
    <row r="8" spans="1:8" ht="30" x14ac:dyDescent="0.25">
      <c r="A8" s="341">
        <v>5</v>
      </c>
      <c r="B8" s="342" t="s">
        <v>1192</v>
      </c>
      <c r="C8" s="342" t="s">
        <v>1409</v>
      </c>
      <c r="D8" s="343" t="s">
        <v>1410</v>
      </c>
      <c r="E8" s="347" t="s">
        <v>1172</v>
      </c>
      <c r="F8" s="348"/>
      <c r="G8" s="348"/>
      <c r="H8" s="348"/>
    </row>
    <row r="9" spans="1:8" ht="30" x14ac:dyDescent="0.25">
      <c r="A9" s="343">
        <v>6</v>
      </c>
      <c r="B9" s="342" t="s">
        <v>1192</v>
      </c>
      <c r="C9" s="342" t="s">
        <v>1411</v>
      </c>
      <c r="D9" s="343" t="s">
        <v>1412</v>
      </c>
      <c r="E9" s="347" t="s">
        <v>1145</v>
      </c>
      <c r="F9" s="348"/>
      <c r="G9" s="348"/>
      <c r="H9" s="348"/>
    </row>
    <row r="10" spans="1:8" ht="30" x14ac:dyDescent="0.25">
      <c r="A10" s="341">
        <v>7</v>
      </c>
      <c r="B10" s="342" t="s">
        <v>1211</v>
      </c>
      <c r="C10" s="342" t="s">
        <v>1413</v>
      </c>
      <c r="D10" s="343" t="s">
        <v>1414</v>
      </c>
      <c r="E10" s="347" t="s">
        <v>1217</v>
      </c>
      <c r="F10" s="348"/>
      <c r="G10" s="348"/>
      <c r="H10" s="348"/>
    </row>
    <row r="11" spans="1:8" ht="30" x14ac:dyDescent="0.25">
      <c r="A11" s="343">
        <v>8</v>
      </c>
      <c r="B11" s="342" t="s">
        <v>1211</v>
      </c>
      <c r="C11" s="342" t="s">
        <v>1415</v>
      </c>
      <c r="D11" s="343" t="s">
        <v>1416</v>
      </c>
      <c r="E11" s="347" t="s">
        <v>1217</v>
      </c>
      <c r="F11" s="348"/>
      <c r="G11" s="348"/>
      <c r="H11" s="348"/>
    </row>
    <row r="12" spans="1:8" ht="45" x14ac:dyDescent="0.25">
      <c r="A12" s="341">
        <v>9</v>
      </c>
      <c r="B12" s="342" t="s">
        <v>1211</v>
      </c>
      <c r="C12" s="342" t="s">
        <v>1417</v>
      </c>
      <c r="D12" s="343" t="s">
        <v>1418</v>
      </c>
      <c r="E12" s="347" t="s">
        <v>1217</v>
      </c>
      <c r="F12" s="348"/>
      <c r="G12" s="348"/>
      <c r="H12" s="348"/>
    </row>
    <row r="13" spans="1:8" ht="33" customHeight="1" x14ac:dyDescent="0.25">
      <c r="A13" s="343">
        <v>10</v>
      </c>
      <c r="B13" s="342" t="s">
        <v>1211</v>
      </c>
      <c r="C13" s="342" t="s">
        <v>1419</v>
      </c>
      <c r="D13" s="343" t="s">
        <v>1420</v>
      </c>
      <c r="E13" s="347" t="s">
        <v>1217</v>
      </c>
      <c r="F13" s="348"/>
      <c r="G13" s="348"/>
      <c r="H13" s="348"/>
    </row>
    <row r="14" spans="1:8" ht="34.5" customHeight="1" x14ac:dyDescent="0.25">
      <c r="A14" s="341">
        <v>11</v>
      </c>
      <c r="B14" s="342" t="s">
        <v>1211</v>
      </c>
      <c r="C14" s="342" t="s">
        <v>1421</v>
      </c>
      <c r="D14" s="343" t="s">
        <v>1422</v>
      </c>
      <c r="E14" s="347" t="s">
        <v>1217</v>
      </c>
      <c r="F14" s="348"/>
      <c r="G14" s="348"/>
      <c r="H14" s="348"/>
    </row>
    <row r="15" spans="1:8" ht="30" x14ac:dyDescent="0.25">
      <c r="A15" s="343">
        <v>12</v>
      </c>
      <c r="B15" s="342" t="s">
        <v>1211</v>
      </c>
      <c r="C15" s="342" t="s">
        <v>1423</v>
      </c>
      <c r="D15" s="343" t="s">
        <v>1424</v>
      </c>
      <c r="E15" s="347" t="s">
        <v>1217</v>
      </c>
      <c r="F15" s="348"/>
      <c r="G15" s="348"/>
      <c r="H15" s="348"/>
    </row>
    <row r="16" spans="1:8" ht="45" x14ac:dyDescent="0.25">
      <c r="A16" s="341">
        <v>13</v>
      </c>
      <c r="B16" s="342" t="s">
        <v>1211</v>
      </c>
      <c r="C16" s="342" t="s">
        <v>1425</v>
      </c>
      <c r="D16" s="343" t="s">
        <v>1426</v>
      </c>
      <c r="E16" s="347" t="s">
        <v>1172</v>
      </c>
      <c r="F16" s="348"/>
      <c r="G16" s="348"/>
      <c r="H16" s="348"/>
    </row>
    <row r="17" spans="1:8" ht="45" x14ac:dyDescent="0.25">
      <c r="A17" s="343">
        <v>14</v>
      </c>
      <c r="B17" s="342" t="s">
        <v>1211</v>
      </c>
      <c r="C17" s="342" t="s">
        <v>1427</v>
      </c>
      <c r="D17" s="343" t="s">
        <v>1428</v>
      </c>
      <c r="E17" s="347" t="s">
        <v>1172</v>
      </c>
      <c r="F17" s="348"/>
      <c r="G17" s="348"/>
      <c r="H17" s="348"/>
    </row>
    <row r="18" spans="1:8" ht="30" x14ac:dyDescent="0.25">
      <c r="A18" s="341">
        <v>15</v>
      </c>
      <c r="B18" s="342" t="s">
        <v>1214</v>
      </c>
      <c r="C18" s="342" t="s">
        <v>1462</v>
      </c>
      <c r="D18" s="343" t="s">
        <v>1463</v>
      </c>
      <c r="E18" s="343" t="s">
        <v>1203</v>
      </c>
      <c r="F18" s="348"/>
      <c r="G18" s="348"/>
      <c r="H18" s="348"/>
    </row>
    <row r="19" spans="1:8" ht="30" x14ac:dyDescent="0.25">
      <c r="A19" s="343">
        <v>16</v>
      </c>
      <c r="B19" s="342" t="s">
        <v>1214</v>
      </c>
      <c r="C19" s="342" t="s">
        <v>1429</v>
      </c>
      <c r="D19" s="343" t="s">
        <v>1430</v>
      </c>
      <c r="E19" s="343" t="s">
        <v>1189</v>
      </c>
      <c r="F19" s="348"/>
      <c r="G19" s="348"/>
      <c r="H19" s="348"/>
    </row>
    <row r="20" spans="1:8" ht="30" x14ac:dyDescent="0.25">
      <c r="A20" s="341">
        <v>17</v>
      </c>
      <c r="B20" s="342" t="s">
        <v>1249</v>
      </c>
      <c r="C20" s="342" t="s">
        <v>1431</v>
      </c>
      <c r="D20" s="343" t="s">
        <v>1432</v>
      </c>
      <c r="E20" s="343" t="s">
        <v>1172</v>
      </c>
      <c r="F20" s="348"/>
      <c r="G20" s="348"/>
      <c r="H20" s="348"/>
    </row>
    <row r="21" spans="1:8" ht="30" x14ac:dyDescent="0.25">
      <c r="A21" s="343">
        <v>18</v>
      </c>
      <c r="B21" s="342" t="s">
        <v>1249</v>
      </c>
      <c r="C21" s="342" t="s">
        <v>1433</v>
      </c>
      <c r="D21" s="343" t="s">
        <v>1434</v>
      </c>
      <c r="E21" s="343" t="s">
        <v>1172</v>
      </c>
      <c r="F21" s="348"/>
      <c r="G21" s="348"/>
      <c r="H21" s="348"/>
    </row>
    <row r="22" spans="1:8" ht="30.75" customHeight="1" x14ac:dyDescent="0.25">
      <c r="A22" s="341">
        <v>19</v>
      </c>
      <c r="B22" s="342" t="s">
        <v>1249</v>
      </c>
      <c r="C22" s="342" t="s">
        <v>1464</v>
      </c>
      <c r="D22" s="343" t="s">
        <v>1465</v>
      </c>
      <c r="E22" s="343" t="s">
        <v>1203</v>
      </c>
      <c r="F22" s="348"/>
      <c r="G22" s="348"/>
      <c r="H22" s="348"/>
    </row>
    <row r="23" spans="1:8" ht="21" customHeight="1" x14ac:dyDescent="0.25">
      <c r="A23" s="343">
        <v>20</v>
      </c>
      <c r="B23" s="342" t="s">
        <v>1249</v>
      </c>
      <c r="C23" s="342" t="s">
        <v>1435</v>
      </c>
      <c r="D23" s="343" t="s">
        <v>1436</v>
      </c>
      <c r="E23" s="343" t="s">
        <v>1189</v>
      </c>
      <c r="F23" s="348"/>
      <c r="G23" s="348"/>
      <c r="H23" s="348"/>
    </row>
    <row r="24" spans="1:8" ht="31.5" customHeight="1" x14ac:dyDescent="0.25">
      <c r="A24" s="341">
        <v>21</v>
      </c>
      <c r="B24" s="342" t="s">
        <v>1255</v>
      </c>
      <c r="C24" s="342" t="s">
        <v>1437</v>
      </c>
      <c r="D24" s="343" t="s">
        <v>1438</v>
      </c>
      <c r="E24" s="343" t="s">
        <v>1154</v>
      </c>
      <c r="F24" s="348"/>
      <c r="G24" s="348"/>
      <c r="H24" s="348"/>
    </row>
    <row r="25" spans="1:8" ht="30" x14ac:dyDescent="0.25">
      <c r="A25" s="343">
        <v>22</v>
      </c>
      <c r="B25" s="342" t="s">
        <v>1255</v>
      </c>
      <c r="C25" s="342" t="s">
        <v>1437</v>
      </c>
      <c r="D25" s="343" t="s">
        <v>1438</v>
      </c>
      <c r="E25" s="343" t="s">
        <v>1217</v>
      </c>
      <c r="F25" s="348"/>
      <c r="G25" s="348"/>
      <c r="H25" s="348"/>
    </row>
    <row r="26" spans="1:8" ht="30" x14ac:dyDescent="0.25">
      <c r="A26" s="341">
        <v>23</v>
      </c>
      <c r="B26" s="342" t="s">
        <v>1255</v>
      </c>
      <c r="C26" s="342" t="s">
        <v>1466</v>
      </c>
      <c r="D26" s="343" t="s">
        <v>1467</v>
      </c>
      <c r="E26" s="343" t="s">
        <v>1203</v>
      </c>
      <c r="F26" s="348"/>
      <c r="G26" s="348"/>
      <c r="H26" s="348"/>
    </row>
    <row r="27" spans="1:8" ht="45" x14ac:dyDescent="0.25">
      <c r="A27" s="343">
        <v>24</v>
      </c>
      <c r="B27" s="342" t="s">
        <v>1319</v>
      </c>
      <c r="C27" s="342" t="s">
        <v>1468</v>
      </c>
      <c r="D27" s="343" t="s">
        <v>1467</v>
      </c>
      <c r="E27" s="343" t="s">
        <v>1203</v>
      </c>
      <c r="F27" s="348"/>
      <c r="G27" s="348"/>
      <c r="H27" s="348"/>
    </row>
    <row r="28" spans="1:8" x14ac:dyDescent="0.25">
      <c r="A28" s="341">
        <v>25</v>
      </c>
      <c r="B28" s="342" t="s">
        <v>1260</v>
      </c>
      <c r="C28" s="342" t="s">
        <v>1261</v>
      </c>
      <c r="D28" s="343" t="s">
        <v>1262</v>
      </c>
      <c r="E28" s="343" t="s">
        <v>1217</v>
      </c>
      <c r="F28" s="348"/>
      <c r="G28" s="348"/>
      <c r="H28" s="348"/>
    </row>
    <row r="29" spans="1:8" ht="30.75" customHeight="1" x14ac:dyDescent="0.25">
      <c r="A29" s="343">
        <v>26</v>
      </c>
      <c r="B29" s="342" t="s">
        <v>1260</v>
      </c>
      <c r="C29" s="342" t="s">
        <v>1263</v>
      </c>
      <c r="D29" s="343" t="s">
        <v>1264</v>
      </c>
      <c r="E29" s="343" t="s">
        <v>1217</v>
      </c>
      <c r="F29" s="348"/>
      <c r="G29" s="348"/>
      <c r="H29" s="348"/>
    </row>
    <row r="30" spans="1:8" ht="30.75" customHeight="1" x14ac:dyDescent="0.25">
      <c r="A30" s="341">
        <v>27</v>
      </c>
      <c r="B30" s="342" t="s">
        <v>1260</v>
      </c>
      <c r="C30" s="342" t="s">
        <v>1265</v>
      </c>
      <c r="D30" s="343" t="s">
        <v>1266</v>
      </c>
      <c r="E30" s="343" t="s">
        <v>1217</v>
      </c>
      <c r="F30" s="348"/>
      <c r="G30" s="348"/>
      <c r="H30" s="348"/>
    </row>
    <row r="31" spans="1:8" ht="30" x14ac:dyDescent="0.25">
      <c r="A31" s="343">
        <v>28</v>
      </c>
      <c r="B31" s="342" t="s">
        <v>1260</v>
      </c>
      <c r="C31" s="342" t="s">
        <v>1267</v>
      </c>
      <c r="D31" s="343" t="s">
        <v>1268</v>
      </c>
      <c r="E31" s="343" t="s">
        <v>1217</v>
      </c>
      <c r="F31" s="348"/>
      <c r="G31" s="348"/>
      <c r="H31" s="348"/>
    </row>
    <row r="32" spans="1:8" ht="30" x14ac:dyDescent="0.25">
      <c r="A32" s="341">
        <v>29</v>
      </c>
      <c r="B32" s="342" t="s">
        <v>1260</v>
      </c>
      <c r="C32" s="342" t="s">
        <v>1269</v>
      </c>
      <c r="D32" s="343" t="s">
        <v>1270</v>
      </c>
      <c r="E32" s="343" t="s">
        <v>1217</v>
      </c>
      <c r="F32" s="348"/>
      <c r="G32" s="348"/>
      <c r="H32" s="348"/>
    </row>
    <row r="33" spans="1:8" ht="30" x14ac:dyDescent="0.25">
      <c r="A33" s="343">
        <v>30</v>
      </c>
      <c r="B33" s="342" t="s">
        <v>1260</v>
      </c>
      <c r="C33" s="342" t="s">
        <v>1271</v>
      </c>
      <c r="D33" s="343" t="s">
        <v>1272</v>
      </c>
      <c r="E33" s="343" t="s">
        <v>1217</v>
      </c>
      <c r="F33" s="348"/>
      <c r="G33" s="348"/>
      <c r="H33" s="348"/>
    </row>
    <row r="34" spans="1:8" ht="45" x14ac:dyDescent="0.25">
      <c r="A34" s="341">
        <v>31</v>
      </c>
      <c r="B34" s="342" t="s">
        <v>1260</v>
      </c>
      <c r="C34" s="342" t="s">
        <v>1273</v>
      </c>
      <c r="D34" s="343" t="s">
        <v>1274</v>
      </c>
      <c r="E34" s="343" t="s">
        <v>1217</v>
      </c>
      <c r="F34" s="348"/>
      <c r="G34" s="348"/>
      <c r="H34" s="348"/>
    </row>
    <row r="35" spans="1:8" ht="30" x14ac:dyDescent="0.25">
      <c r="A35" s="343">
        <v>32</v>
      </c>
      <c r="B35" s="342" t="s">
        <v>1260</v>
      </c>
      <c r="C35" s="342" t="s">
        <v>1279</v>
      </c>
      <c r="D35" s="343" t="s">
        <v>1280</v>
      </c>
      <c r="E35" s="343" t="s">
        <v>1172</v>
      </c>
      <c r="F35" s="348"/>
      <c r="G35" s="348"/>
      <c r="H35" s="348"/>
    </row>
    <row r="36" spans="1:8" ht="33.75" customHeight="1" x14ac:dyDescent="0.25">
      <c r="A36" s="341">
        <v>33</v>
      </c>
      <c r="B36" s="342" t="s">
        <v>1260</v>
      </c>
      <c r="C36" s="342" t="s">
        <v>1281</v>
      </c>
      <c r="D36" s="343" t="s">
        <v>1282</v>
      </c>
      <c r="E36" s="343" t="s">
        <v>1172</v>
      </c>
      <c r="F36" s="348"/>
      <c r="G36" s="348"/>
      <c r="H36" s="348"/>
    </row>
    <row r="37" spans="1:8" ht="30" x14ac:dyDescent="0.25">
      <c r="A37" s="343">
        <v>34</v>
      </c>
      <c r="B37" s="342" t="s">
        <v>1260</v>
      </c>
      <c r="C37" s="342" t="s">
        <v>1469</v>
      </c>
      <c r="D37" s="343" t="s">
        <v>1470</v>
      </c>
      <c r="E37" s="343" t="s">
        <v>1203</v>
      </c>
      <c r="F37" s="348"/>
      <c r="G37" s="348"/>
      <c r="H37" s="348"/>
    </row>
    <row r="38" spans="1:8" ht="30" x14ac:dyDescent="0.25">
      <c r="A38" s="341">
        <v>35</v>
      </c>
      <c r="B38" s="342" t="s">
        <v>1313</v>
      </c>
      <c r="C38" s="342" t="s">
        <v>1439</v>
      </c>
      <c r="D38" s="343" t="s">
        <v>1440</v>
      </c>
      <c r="E38" s="347" t="s">
        <v>1172</v>
      </c>
      <c r="F38" s="348"/>
      <c r="G38" s="348"/>
      <c r="H38" s="348"/>
    </row>
    <row r="39" spans="1:8" ht="30.75" customHeight="1" x14ac:dyDescent="0.25">
      <c r="A39" s="343">
        <v>36</v>
      </c>
      <c r="B39" s="342" t="s">
        <v>1313</v>
      </c>
      <c r="C39" s="342" t="s">
        <v>1441</v>
      </c>
      <c r="D39" s="343" t="s">
        <v>1442</v>
      </c>
      <c r="E39" s="347" t="s">
        <v>1172</v>
      </c>
      <c r="F39" s="348"/>
      <c r="G39" s="348"/>
      <c r="H39" s="348"/>
    </row>
    <row r="40" spans="1:8" ht="30" x14ac:dyDescent="0.25">
      <c r="A40" s="341">
        <v>37</v>
      </c>
      <c r="B40" s="342" t="s">
        <v>1313</v>
      </c>
      <c r="C40" s="342" t="s">
        <v>1471</v>
      </c>
      <c r="D40" s="343" t="s">
        <v>1472</v>
      </c>
      <c r="E40" s="343" t="s">
        <v>1203</v>
      </c>
      <c r="F40" s="348"/>
      <c r="G40" s="348"/>
      <c r="H40" s="348"/>
    </row>
    <row r="41" spans="1:8" ht="45" x14ac:dyDescent="0.25">
      <c r="A41" s="343">
        <v>38</v>
      </c>
      <c r="B41" s="342" t="s">
        <v>1319</v>
      </c>
      <c r="C41" s="342" t="s">
        <v>1443</v>
      </c>
      <c r="D41" s="343" t="s">
        <v>1444</v>
      </c>
      <c r="E41" s="347" t="s">
        <v>1154</v>
      </c>
      <c r="F41" s="348"/>
      <c r="G41" s="348"/>
      <c r="H41" s="348"/>
    </row>
    <row r="42" spans="1:8" ht="45" x14ac:dyDescent="0.25">
      <c r="A42" s="341">
        <v>39</v>
      </c>
      <c r="B42" s="342" t="s">
        <v>1319</v>
      </c>
      <c r="C42" s="342" t="s">
        <v>1443</v>
      </c>
      <c r="D42" s="343" t="s">
        <v>1444</v>
      </c>
      <c r="E42" s="347" t="s">
        <v>1217</v>
      </c>
      <c r="F42" s="348"/>
      <c r="G42" s="348"/>
      <c r="H42" s="348"/>
    </row>
    <row r="43" spans="1:8" ht="32.25" customHeight="1" x14ac:dyDescent="0.25">
      <c r="A43" s="343">
        <v>40</v>
      </c>
      <c r="B43" s="342" t="s">
        <v>1324</v>
      </c>
      <c r="C43" s="342" t="s">
        <v>1325</v>
      </c>
      <c r="D43" s="343" t="s">
        <v>1326</v>
      </c>
      <c r="E43" s="347" t="s">
        <v>1217</v>
      </c>
      <c r="F43" s="348"/>
      <c r="G43" s="348"/>
      <c r="H43" s="348"/>
    </row>
    <row r="44" spans="1:8" ht="108" customHeight="1" x14ac:dyDescent="0.25">
      <c r="A44" s="341">
        <v>41</v>
      </c>
      <c r="B44" s="342" t="s">
        <v>1324</v>
      </c>
      <c r="C44" s="342" t="s">
        <v>1327</v>
      </c>
      <c r="D44" s="343" t="s">
        <v>1328</v>
      </c>
      <c r="E44" s="347" t="s">
        <v>1217</v>
      </c>
      <c r="F44" s="348"/>
      <c r="G44" s="348"/>
      <c r="H44" s="348"/>
    </row>
    <row r="45" spans="1:8" ht="31.5" customHeight="1" x14ac:dyDescent="0.25">
      <c r="A45" s="343">
        <v>42</v>
      </c>
      <c r="B45" s="342" t="s">
        <v>1324</v>
      </c>
      <c r="C45" s="342" t="s">
        <v>1329</v>
      </c>
      <c r="D45" s="343" t="s">
        <v>1330</v>
      </c>
      <c r="E45" s="347" t="s">
        <v>1217</v>
      </c>
      <c r="F45" s="348"/>
      <c r="G45" s="348"/>
      <c r="H45" s="348"/>
    </row>
    <row r="46" spans="1:8" ht="30" x14ac:dyDescent="0.25">
      <c r="A46" s="341">
        <v>43</v>
      </c>
      <c r="B46" s="342" t="s">
        <v>1324</v>
      </c>
      <c r="C46" s="342" t="s">
        <v>1331</v>
      </c>
      <c r="D46" s="343" t="s">
        <v>1332</v>
      </c>
      <c r="E46" s="347" t="s">
        <v>1217</v>
      </c>
      <c r="F46" s="348"/>
      <c r="G46" s="348"/>
      <c r="H46" s="348"/>
    </row>
    <row r="47" spans="1:8" ht="30" x14ac:dyDescent="0.25">
      <c r="A47" s="343">
        <v>44</v>
      </c>
      <c r="B47" s="342" t="s">
        <v>1324</v>
      </c>
      <c r="C47" s="342" t="s">
        <v>1333</v>
      </c>
      <c r="D47" s="343" t="s">
        <v>1334</v>
      </c>
      <c r="E47" s="347" t="s">
        <v>1217</v>
      </c>
      <c r="F47" s="348"/>
      <c r="G47" s="348"/>
      <c r="H47" s="348"/>
    </row>
    <row r="48" spans="1:8" ht="31.5" customHeight="1" x14ac:dyDescent="0.25">
      <c r="A48" s="341">
        <v>45</v>
      </c>
      <c r="B48" s="342" t="s">
        <v>1324</v>
      </c>
      <c r="C48" s="342" t="s">
        <v>1335</v>
      </c>
      <c r="D48" s="343" t="s">
        <v>1336</v>
      </c>
      <c r="E48" s="347" t="s">
        <v>1217</v>
      </c>
      <c r="F48" s="348"/>
      <c r="G48" s="348"/>
      <c r="H48" s="348"/>
    </row>
    <row r="49" spans="1:8" ht="60" x14ac:dyDescent="0.25">
      <c r="A49" s="343">
        <v>46</v>
      </c>
      <c r="B49" s="342" t="s">
        <v>1324</v>
      </c>
      <c r="C49" s="342" t="s">
        <v>1337</v>
      </c>
      <c r="D49" s="343" t="s">
        <v>1338</v>
      </c>
      <c r="E49" s="347" t="s">
        <v>1217</v>
      </c>
      <c r="F49" s="348"/>
      <c r="G49" s="348"/>
      <c r="H49" s="348"/>
    </row>
    <row r="50" spans="1:8" ht="30" x14ac:dyDescent="0.25">
      <c r="A50" s="341">
        <v>47</v>
      </c>
      <c r="B50" s="342" t="s">
        <v>1324</v>
      </c>
      <c r="C50" s="342" t="s">
        <v>1343</v>
      </c>
      <c r="D50" s="343" t="s">
        <v>1344</v>
      </c>
      <c r="E50" s="347" t="s">
        <v>1172</v>
      </c>
      <c r="F50" s="348"/>
      <c r="G50" s="348"/>
      <c r="H50" s="348"/>
    </row>
    <row r="51" spans="1:8" ht="30" x14ac:dyDescent="0.25">
      <c r="A51" s="343">
        <v>48</v>
      </c>
      <c r="B51" s="342" t="s">
        <v>1324</v>
      </c>
      <c r="C51" s="342" t="s">
        <v>1345</v>
      </c>
      <c r="D51" s="343" t="s">
        <v>1346</v>
      </c>
      <c r="E51" s="347" t="s">
        <v>1172</v>
      </c>
      <c r="F51" s="348"/>
      <c r="G51" s="348"/>
      <c r="H51" s="348"/>
    </row>
    <row r="52" spans="1:8" ht="45" x14ac:dyDescent="0.25">
      <c r="A52" s="341">
        <v>49</v>
      </c>
      <c r="B52" s="342" t="s">
        <v>1324</v>
      </c>
      <c r="C52" s="342" t="s">
        <v>1473</v>
      </c>
      <c r="D52" s="343" t="s">
        <v>1474</v>
      </c>
      <c r="E52" s="343" t="s">
        <v>1203</v>
      </c>
      <c r="F52" s="348"/>
      <c r="G52" s="348"/>
      <c r="H52" s="348"/>
    </row>
    <row r="53" spans="1:8" x14ac:dyDescent="0.25">
      <c r="A53" s="343">
        <v>50</v>
      </c>
      <c r="B53" s="342" t="s">
        <v>1352</v>
      </c>
      <c r="C53" s="342" t="s">
        <v>1445</v>
      </c>
      <c r="D53" s="343" t="s">
        <v>1446</v>
      </c>
      <c r="E53" s="347" t="s">
        <v>1172</v>
      </c>
      <c r="F53" s="348"/>
      <c r="G53" s="348"/>
      <c r="H53" s="348"/>
    </row>
    <row r="54" spans="1:8" ht="30" x14ac:dyDescent="0.25">
      <c r="A54" s="341">
        <v>51</v>
      </c>
      <c r="B54" s="342" t="s">
        <v>1352</v>
      </c>
      <c r="C54" s="342" t="s">
        <v>1447</v>
      </c>
      <c r="D54" s="343" t="s">
        <v>1448</v>
      </c>
      <c r="E54" s="347" t="s">
        <v>1172</v>
      </c>
      <c r="F54" s="348"/>
      <c r="G54" s="348"/>
      <c r="H54" s="348"/>
    </row>
    <row r="55" spans="1:8" ht="30" x14ac:dyDescent="0.25">
      <c r="A55" s="343">
        <v>52</v>
      </c>
      <c r="B55" s="342" t="s">
        <v>1352</v>
      </c>
      <c r="C55" s="342" t="s">
        <v>1475</v>
      </c>
      <c r="D55" s="343" t="s">
        <v>1476</v>
      </c>
      <c r="E55" s="347" t="s">
        <v>1203</v>
      </c>
      <c r="F55" s="348"/>
      <c r="G55" s="348"/>
      <c r="H55" s="348"/>
    </row>
    <row r="56" spans="1:8" x14ac:dyDescent="0.25">
      <c r="A56" s="341">
        <v>53</v>
      </c>
      <c r="B56" s="342" t="s">
        <v>1355</v>
      </c>
      <c r="C56" s="342" t="s">
        <v>1372</v>
      </c>
      <c r="D56" s="343" t="s">
        <v>1373</v>
      </c>
      <c r="E56" s="347" t="s">
        <v>1154</v>
      </c>
      <c r="F56" s="348"/>
      <c r="G56" s="348"/>
      <c r="H56" s="348"/>
    </row>
    <row r="57" spans="1:8" ht="30" x14ac:dyDescent="0.25">
      <c r="A57" s="343">
        <v>54</v>
      </c>
      <c r="B57" s="342" t="s">
        <v>1355</v>
      </c>
      <c r="C57" s="342" t="s">
        <v>1376</v>
      </c>
      <c r="D57" s="343" t="s">
        <v>1377</v>
      </c>
      <c r="E57" s="347" t="s">
        <v>1154</v>
      </c>
      <c r="F57" s="348"/>
      <c r="G57" s="348"/>
      <c r="H57" s="348"/>
    </row>
    <row r="58" spans="1:8" ht="30" x14ac:dyDescent="0.25">
      <c r="A58" s="341">
        <v>55</v>
      </c>
      <c r="B58" s="342" t="s">
        <v>1355</v>
      </c>
      <c r="C58" s="342" t="s">
        <v>1378</v>
      </c>
      <c r="D58" s="343" t="s">
        <v>1379</v>
      </c>
      <c r="E58" s="347" t="s">
        <v>1172</v>
      </c>
      <c r="F58" s="348"/>
      <c r="G58" s="348"/>
      <c r="H58" s="348"/>
    </row>
    <row r="59" spans="1:8" ht="45" x14ac:dyDescent="0.25">
      <c r="A59" s="343">
        <v>56</v>
      </c>
      <c r="B59" s="342" t="s">
        <v>1395</v>
      </c>
      <c r="C59" s="342" t="s">
        <v>1449</v>
      </c>
      <c r="D59" s="343" t="s">
        <v>1450</v>
      </c>
      <c r="E59" s="347" t="s">
        <v>1172</v>
      </c>
      <c r="F59" s="348"/>
      <c r="G59" s="348"/>
      <c r="H59" s="348"/>
    </row>
    <row r="60" spans="1:8" x14ac:dyDescent="0.25">
      <c r="A60" s="341">
        <v>57</v>
      </c>
      <c r="B60" s="342" t="s">
        <v>1395</v>
      </c>
      <c r="C60" s="342" t="s">
        <v>1396</v>
      </c>
      <c r="D60" s="343" t="s">
        <v>1397</v>
      </c>
      <c r="E60" s="347" t="s">
        <v>1172</v>
      </c>
      <c r="F60" s="348"/>
      <c r="G60" s="348"/>
      <c r="H60" s="348"/>
    </row>
    <row r="61" spans="1:8" ht="30" x14ac:dyDescent="0.25">
      <c r="A61" s="343">
        <v>58</v>
      </c>
      <c r="B61" s="342" t="s">
        <v>1400</v>
      </c>
      <c r="C61" s="342" t="s">
        <v>1451</v>
      </c>
      <c r="D61" s="343" t="s">
        <v>1452</v>
      </c>
      <c r="E61" s="347" t="s">
        <v>1172</v>
      </c>
      <c r="F61" s="348"/>
      <c r="G61" s="348"/>
      <c r="H61" s="348"/>
    </row>
    <row r="62" spans="1:8" x14ac:dyDescent="0.25">
      <c r="A62" s="341">
        <v>59</v>
      </c>
      <c r="B62" s="342" t="s">
        <v>1400</v>
      </c>
      <c r="C62" s="342" t="s">
        <v>1453</v>
      </c>
      <c r="D62" s="343" t="s">
        <v>1454</v>
      </c>
      <c r="E62" s="347" t="s">
        <v>1172</v>
      </c>
      <c r="F62" s="348"/>
      <c r="G62" s="348"/>
      <c r="H62" s="348"/>
    </row>
  </sheetData>
  <mergeCells count="1">
    <mergeCell ref="A1:H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0E1760-45D7-4B90-B6FB-248F152E87A8}">
  <dimension ref="A1:H55"/>
  <sheetViews>
    <sheetView workbookViewId="0">
      <selection activeCell="F4" sqref="F4"/>
    </sheetView>
  </sheetViews>
  <sheetFormatPr defaultRowHeight="15" x14ac:dyDescent="0.25"/>
  <cols>
    <col min="1" max="1" width="5.42578125" style="355" customWidth="1"/>
    <col min="2" max="2" width="34.28515625" style="354" customWidth="1"/>
    <col min="3" max="3" width="74.7109375" style="354" customWidth="1"/>
    <col min="4" max="4" width="14.140625" style="355" bestFit="1" customWidth="1"/>
    <col min="5" max="5" width="22.42578125" style="356" customWidth="1"/>
    <col min="6" max="6" width="35.28515625" customWidth="1"/>
    <col min="7" max="7" width="37.85546875" customWidth="1"/>
    <col min="8" max="8" width="39.42578125" customWidth="1"/>
  </cols>
  <sheetData>
    <row r="1" spans="1:8" s="336" customFormat="1" ht="28.5" x14ac:dyDescent="0.45">
      <c r="A1" s="521" t="s">
        <v>1477</v>
      </c>
      <c r="B1" s="521"/>
      <c r="C1" s="521"/>
      <c r="D1" s="521"/>
      <c r="E1" s="521"/>
      <c r="F1" s="521"/>
      <c r="G1" s="521"/>
      <c r="H1" s="521"/>
    </row>
    <row r="3" spans="1:8" s="340" customFormat="1" ht="90.75" thickBot="1" x14ac:dyDescent="0.3">
      <c r="A3" s="338" t="s">
        <v>1408</v>
      </c>
      <c r="B3" s="338" t="s">
        <v>1135</v>
      </c>
      <c r="C3" s="338" t="s">
        <v>1136</v>
      </c>
      <c r="D3" s="339" t="s">
        <v>1137</v>
      </c>
      <c r="E3" s="338" t="s">
        <v>1138</v>
      </c>
      <c r="F3" s="338" t="s">
        <v>1670</v>
      </c>
      <c r="G3" s="338" t="s">
        <v>1140</v>
      </c>
      <c r="H3" s="338" t="s">
        <v>1141</v>
      </c>
    </row>
    <row r="4" spans="1:8" ht="30" x14ac:dyDescent="0.25">
      <c r="A4" s="341">
        <v>1</v>
      </c>
      <c r="B4" s="357" t="s">
        <v>1192</v>
      </c>
      <c r="C4" s="357" t="s">
        <v>1409</v>
      </c>
      <c r="D4" s="341" t="s">
        <v>1410</v>
      </c>
      <c r="E4" s="344" t="s">
        <v>1172</v>
      </c>
      <c r="F4" s="346"/>
      <c r="G4" s="346"/>
      <c r="H4" s="346"/>
    </row>
    <row r="5" spans="1:8" ht="30" x14ac:dyDescent="0.25">
      <c r="A5" s="343">
        <v>2</v>
      </c>
      <c r="B5" s="342" t="s">
        <v>1192</v>
      </c>
      <c r="C5" s="342" t="s">
        <v>1411</v>
      </c>
      <c r="D5" s="343" t="s">
        <v>1412</v>
      </c>
      <c r="E5" s="347" t="s">
        <v>1145</v>
      </c>
      <c r="F5" s="348"/>
      <c r="G5" s="348"/>
      <c r="H5" s="348"/>
    </row>
    <row r="6" spans="1:8" ht="30" x14ac:dyDescent="0.25">
      <c r="A6" s="341">
        <v>3</v>
      </c>
      <c r="B6" s="342" t="s">
        <v>1211</v>
      </c>
      <c r="C6" s="342" t="s">
        <v>1413</v>
      </c>
      <c r="D6" s="343" t="s">
        <v>1414</v>
      </c>
      <c r="E6" s="347" t="s">
        <v>1217</v>
      </c>
      <c r="F6" s="348"/>
      <c r="G6" s="348"/>
      <c r="H6" s="348"/>
    </row>
    <row r="7" spans="1:8" ht="30" x14ac:dyDescent="0.25">
      <c r="A7" s="343">
        <v>4</v>
      </c>
      <c r="B7" s="342" t="s">
        <v>1211</v>
      </c>
      <c r="C7" s="342" t="s">
        <v>1415</v>
      </c>
      <c r="D7" s="343" t="s">
        <v>1416</v>
      </c>
      <c r="E7" s="347" t="s">
        <v>1217</v>
      </c>
      <c r="F7" s="348"/>
      <c r="G7" s="348"/>
      <c r="H7" s="348"/>
    </row>
    <row r="8" spans="1:8" ht="45" x14ac:dyDescent="0.25">
      <c r="A8" s="341">
        <v>5</v>
      </c>
      <c r="B8" s="342" t="s">
        <v>1211</v>
      </c>
      <c r="C8" s="342" t="s">
        <v>1417</v>
      </c>
      <c r="D8" s="343" t="s">
        <v>1418</v>
      </c>
      <c r="E8" s="347" t="s">
        <v>1217</v>
      </c>
      <c r="F8" s="348"/>
      <c r="G8" s="348"/>
      <c r="H8" s="348"/>
    </row>
    <row r="9" spans="1:8" ht="30" x14ac:dyDescent="0.25">
      <c r="A9" s="343">
        <v>6</v>
      </c>
      <c r="B9" s="342" t="s">
        <v>1211</v>
      </c>
      <c r="C9" s="342" t="s">
        <v>1419</v>
      </c>
      <c r="D9" s="343" t="s">
        <v>1420</v>
      </c>
      <c r="E9" s="347" t="s">
        <v>1217</v>
      </c>
      <c r="F9" s="348"/>
      <c r="G9" s="348"/>
      <c r="H9" s="348"/>
    </row>
    <row r="10" spans="1:8" ht="30" x14ac:dyDescent="0.25">
      <c r="A10" s="341">
        <v>7</v>
      </c>
      <c r="B10" s="342" t="s">
        <v>1211</v>
      </c>
      <c r="C10" s="342" t="s">
        <v>1421</v>
      </c>
      <c r="D10" s="343" t="s">
        <v>1422</v>
      </c>
      <c r="E10" s="347" t="s">
        <v>1217</v>
      </c>
      <c r="F10" s="348"/>
      <c r="G10" s="348"/>
      <c r="H10" s="348"/>
    </row>
    <row r="11" spans="1:8" ht="30" x14ac:dyDescent="0.25">
      <c r="A11" s="343">
        <v>8</v>
      </c>
      <c r="B11" s="342" t="s">
        <v>1211</v>
      </c>
      <c r="C11" s="342" t="s">
        <v>1423</v>
      </c>
      <c r="D11" s="343" t="s">
        <v>1424</v>
      </c>
      <c r="E11" s="347" t="s">
        <v>1217</v>
      </c>
      <c r="F11" s="348"/>
      <c r="G11" s="348"/>
      <c r="H11" s="348"/>
    </row>
    <row r="12" spans="1:8" ht="45" x14ac:dyDescent="0.25">
      <c r="A12" s="341">
        <v>9</v>
      </c>
      <c r="B12" s="342" t="s">
        <v>1211</v>
      </c>
      <c r="C12" s="342" t="s">
        <v>1425</v>
      </c>
      <c r="D12" s="343" t="s">
        <v>1426</v>
      </c>
      <c r="E12" s="347" t="s">
        <v>1172</v>
      </c>
      <c r="F12" s="348"/>
      <c r="G12" s="348"/>
      <c r="H12" s="348"/>
    </row>
    <row r="13" spans="1:8" ht="45" x14ac:dyDescent="0.25">
      <c r="A13" s="343">
        <v>10</v>
      </c>
      <c r="B13" s="342" t="s">
        <v>1211</v>
      </c>
      <c r="C13" s="342" t="s">
        <v>1427</v>
      </c>
      <c r="D13" s="343" t="s">
        <v>1428</v>
      </c>
      <c r="E13" s="347" t="s">
        <v>1172</v>
      </c>
      <c r="F13" s="348"/>
      <c r="G13" s="348"/>
      <c r="H13" s="348"/>
    </row>
    <row r="14" spans="1:8" x14ac:dyDescent="0.25">
      <c r="A14" s="341">
        <v>11</v>
      </c>
      <c r="B14" s="342" t="s">
        <v>1214</v>
      </c>
      <c r="C14" s="342" t="s">
        <v>1478</v>
      </c>
      <c r="D14" s="343" t="s">
        <v>1479</v>
      </c>
      <c r="E14" s="343" t="s">
        <v>1480</v>
      </c>
      <c r="F14" s="348"/>
      <c r="G14" s="348"/>
      <c r="H14" s="348"/>
    </row>
    <row r="15" spans="1:8" ht="30" x14ac:dyDescent="0.25">
      <c r="A15" s="343">
        <v>12</v>
      </c>
      <c r="B15" s="342" t="s">
        <v>1214</v>
      </c>
      <c r="C15" s="342" t="s">
        <v>1429</v>
      </c>
      <c r="D15" s="343" t="s">
        <v>1430</v>
      </c>
      <c r="E15" s="343" t="s">
        <v>1189</v>
      </c>
      <c r="F15" s="348"/>
      <c r="G15" s="348"/>
      <c r="H15" s="348"/>
    </row>
    <row r="16" spans="1:8" ht="30" x14ac:dyDescent="0.25">
      <c r="A16" s="341">
        <v>13</v>
      </c>
      <c r="B16" s="342" t="s">
        <v>1249</v>
      </c>
      <c r="C16" s="342" t="s">
        <v>1431</v>
      </c>
      <c r="D16" s="343" t="s">
        <v>1432</v>
      </c>
      <c r="E16" s="343" t="s">
        <v>1172</v>
      </c>
      <c r="F16" s="348"/>
      <c r="G16" s="348"/>
      <c r="H16" s="348"/>
    </row>
    <row r="17" spans="1:8" ht="30" x14ac:dyDescent="0.25">
      <c r="A17" s="343">
        <v>14</v>
      </c>
      <c r="B17" s="342" t="s">
        <v>1249</v>
      </c>
      <c r="C17" s="342" t="s">
        <v>1433</v>
      </c>
      <c r="D17" s="343" t="s">
        <v>1434</v>
      </c>
      <c r="E17" s="343" t="s">
        <v>1172</v>
      </c>
      <c r="F17" s="348"/>
      <c r="G17" s="348"/>
      <c r="H17" s="348"/>
    </row>
    <row r="18" spans="1:8" ht="30" x14ac:dyDescent="0.25">
      <c r="A18" s="341">
        <v>15</v>
      </c>
      <c r="B18" s="342" t="s">
        <v>1249</v>
      </c>
      <c r="C18" s="342" t="s">
        <v>1481</v>
      </c>
      <c r="D18" s="343" t="s">
        <v>1482</v>
      </c>
      <c r="E18" s="343" t="s">
        <v>1480</v>
      </c>
      <c r="F18" s="348"/>
      <c r="G18" s="348"/>
      <c r="H18" s="348"/>
    </row>
    <row r="19" spans="1:8" x14ac:dyDescent="0.25">
      <c r="A19" s="343">
        <v>16</v>
      </c>
      <c r="B19" s="342" t="s">
        <v>1249</v>
      </c>
      <c r="C19" s="342" t="s">
        <v>1435</v>
      </c>
      <c r="D19" s="343" t="s">
        <v>1436</v>
      </c>
      <c r="E19" s="343" t="s">
        <v>1189</v>
      </c>
      <c r="F19" s="348"/>
      <c r="G19" s="348"/>
      <c r="H19" s="348"/>
    </row>
    <row r="20" spans="1:8" ht="30" x14ac:dyDescent="0.25">
      <c r="A20" s="341">
        <v>17</v>
      </c>
      <c r="B20" s="342" t="s">
        <v>1255</v>
      </c>
      <c r="C20" s="342" t="s">
        <v>1437</v>
      </c>
      <c r="D20" s="343" t="s">
        <v>1438</v>
      </c>
      <c r="E20" s="343" t="s">
        <v>1154</v>
      </c>
      <c r="F20" s="348"/>
      <c r="G20" s="348"/>
      <c r="H20" s="348"/>
    </row>
    <row r="21" spans="1:8" ht="30" x14ac:dyDescent="0.25">
      <c r="A21" s="343">
        <v>18</v>
      </c>
      <c r="B21" s="342" t="s">
        <v>1255</v>
      </c>
      <c r="C21" s="342" t="s">
        <v>1437</v>
      </c>
      <c r="D21" s="343" t="s">
        <v>1438</v>
      </c>
      <c r="E21" s="343" t="s">
        <v>1217</v>
      </c>
      <c r="F21" s="348"/>
      <c r="G21" s="348"/>
      <c r="H21" s="348"/>
    </row>
    <row r="22" spans="1:8" x14ac:dyDescent="0.25">
      <c r="A22" s="341">
        <v>19</v>
      </c>
      <c r="B22" s="342" t="s">
        <v>1260</v>
      </c>
      <c r="C22" s="342" t="s">
        <v>1261</v>
      </c>
      <c r="D22" s="343" t="s">
        <v>1262</v>
      </c>
      <c r="E22" s="343" t="s">
        <v>1217</v>
      </c>
      <c r="F22" s="348"/>
      <c r="G22" s="348"/>
      <c r="H22" s="348"/>
    </row>
    <row r="23" spans="1:8" ht="75.75" customHeight="1" x14ac:dyDescent="0.25">
      <c r="A23" s="343">
        <v>20</v>
      </c>
      <c r="B23" s="342" t="s">
        <v>1260</v>
      </c>
      <c r="C23" s="342" t="s">
        <v>1263</v>
      </c>
      <c r="D23" s="343" t="s">
        <v>1264</v>
      </c>
      <c r="E23" s="343" t="s">
        <v>1217</v>
      </c>
      <c r="F23" s="348"/>
      <c r="G23" s="348"/>
      <c r="H23" s="348"/>
    </row>
    <row r="24" spans="1:8" ht="32.25" customHeight="1" x14ac:dyDescent="0.25">
      <c r="A24" s="341">
        <v>21</v>
      </c>
      <c r="B24" s="342" t="s">
        <v>1260</v>
      </c>
      <c r="C24" s="342" t="s">
        <v>1265</v>
      </c>
      <c r="D24" s="343" t="s">
        <v>1266</v>
      </c>
      <c r="E24" s="343" t="s">
        <v>1217</v>
      </c>
      <c r="F24" s="348"/>
      <c r="G24" s="348"/>
      <c r="H24" s="348"/>
    </row>
    <row r="25" spans="1:8" ht="30" x14ac:dyDescent="0.25">
      <c r="A25" s="343">
        <v>22</v>
      </c>
      <c r="B25" s="342" t="s">
        <v>1260</v>
      </c>
      <c r="C25" s="342" t="s">
        <v>1267</v>
      </c>
      <c r="D25" s="343" t="s">
        <v>1268</v>
      </c>
      <c r="E25" s="343" t="s">
        <v>1217</v>
      </c>
      <c r="F25" s="348"/>
      <c r="G25" s="348"/>
      <c r="H25" s="348"/>
    </row>
    <row r="26" spans="1:8" ht="30" x14ac:dyDescent="0.25">
      <c r="A26" s="341">
        <v>23</v>
      </c>
      <c r="B26" s="342" t="s">
        <v>1260</v>
      </c>
      <c r="C26" s="342" t="s">
        <v>1269</v>
      </c>
      <c r="D26" s="343" t="s">
        <v>1270</v>
      </c>
      <c r="E26" s="343" t="s">
        <v>1217</v>
      </c>
      <c r="F26" s="348"/>
      <c r="G26" s="348"/>
      <c r="H26" s="348"/>
    </row>
    <row r="27" spans="1:8" ht="30" x14ac:dyDescent="0.25">
      <c r="A27" s="343">
        <v>24</v>
      </c>
      <c r="B27" s="342" t="s">
        <v>1260</v>
      </c>
      <c r="C27" s="342" t="s">
        <v>1271</v>
      </c>
      <c r="D27" s="343" t="s">
        <v>1272</v>
      </c>
      <c r="E27" s="343" t="s">
        <v>1217</v>
      </c>
      <c r="F27" s="348"/>
      <c r="G27" s="348"/>
      <c r="H27" s="348"/>
    </row>
    <row r="28" spans="1:8" ht="45" x14ac:dyDescent="0.25">
      <c r="A28" s="341">
        <v>25</v>
      </c>
      <c r="B28" s="342" t="s">
        <v>1260</v>
      </c>
      <c r="C28" s="342" t="s">
        <v>1273</v>
      </c>
      <c r="D28" s="343" t="s">
        <v>1274</v>
      </c>
      <c r="E28" s="343" t="s">
        <v>1217</v>
      </c>
      <c r="F28" s="348"/>
      <c r="G28" s="348"/>
      <c r="H28" s="348"/>
    </row>
    <row r="29" spans="1:8" ht="30" x14ac:dyDescent="0.25">
      <c r="A29" s="343">
        <v>26</v>
      </c>
      <c r="B29" s="342" t="s">
        <v>1260</v>
      </c>
      <c r="C29" s="342" t="s">
        <v>1279</v>
      </c>
      <c r="D29" s="343" t="s">
        <v>1280</v>
      </c>
      <c r="E29" s="343" t="s">
        <v>1172</v>
      </c>
      <c r="F29" s="348"/>
      <c r="G29" s="348"/>
      <c r="H29" s="348"/>
    </row>
    <row r="30" spans="1:8" ht="30.75" customHeight="1" x14ac:dyDescent="0.25">
      <c r="A30" s="341">
        <v>27</v>
      </c>
      <c r="B30" s="342" t="s">
        <v>1260</v>
      </c>
      <c r="C30" s="342" t="s">
        <v>1281</v>
      </c>
      <c r="D30" s="343" t="s">
        <v>1282</v>
      </c>
      <c r="E30" s="343" t="s">
        <v>1172</v>
      </c>
      <c r="F30" s="348"/>
      <c r="G30" s="348"/>
      <c r="H30" s="348"/>
    </row>
    <row r="31" spans="1:8" ht="30" x14ac:dyDescent="0.25">
      <c r="A31" s="343">
        <v>28</v>
      </c>
      <c r="B31" s="342" t="s">
        <v>1313</v>
      </c>
      <c r="C31" s="342" t="s">
        <v>1439</v>
      </c>
      <c r="D31" s="343" t="s">
        <v>1440</v>
      </c>
      <c r="E31" s="347" t="s">
        <v>1172</v>
      </c>
      <c r="F31" s="348"/>
      <c r="G31" s="348"/>
      <c r="H31" s="348"/>
    </row>
    <row r="32" spans="1:8" ht="45" x14ac:dyDescent="0.25">
      <c r="A32" s="341">
        <v>29</v>
      </c>
      <c r="B32" s="342" t="s">
        <v>1313</v>
      </c>
      <c r="C32" s="342" t="s">
        <v>1441</v>
      </c>
      <c r="D32" s="343" t="s">
        <v>1442</v>
      </c>
      <c r="E32" s="347" t="s">
        <v>1172</v>
      </c>
      <c r="F32" s="348"/>
      <c r="G32" s="348"/>
      <c r="H32" s="348"/>
    </row>
    <row r="33" spans="1:8" ht="31.5" customHeight="1" x14ac:dyDescent="0.25">
      <c r="A33" s="343">
        <v>30</v>
      </c>
      <c r="B33" s="342" t="s">
        <v>1313</v>
      </c>
      <c r="C33" s="342" t="s">
        <v>1483</v>
      </c>
      <c r="D33" s="343" t="s">
        <v>1484</v>
      </c>
      <c r="E33" s="343" t="s">
        <v>1480</v>
      </c>
      <c r="F33" s="348"/>
      <c r="G33" s="348"/>
      <c r="H33" s="348"/>
    </row>
    <row r="34" spans="1:8" ht="45" x14ac:dyDescent="0.25">
      <c r="A34" s="341">
        <v>31</v>
      </c>
      <c r="B34" s="342" t="s">
        <v>1319</v>
      </c>
      <c r="C34" s="342" t="s">
        <v>1443</v>
      </c>
      <c r="D34" s="343" t="s">
        <v>1444</v>
      </c>
      <c r="E34" s="347" t="s">
        <v>1154</v>
      </c>
      <c r="F34" s="348"/>
      <c r="G34" s="348"/>
      <c r="H34" s="348"/>
    </row>
    <row r="35" spans="1:8" ht="45" x14ac:dyDescent="0.25">
      <c r="A35" s="343">
        <v>32</v>
      </c>
      <c r="B35" s="342" t="s">
        <v>1319</v>
      </c>
      <c r="C35" s="342" t="s">
        <v>1443</v>
      </c>
      <c r="D35" s="343" t="s">
        <v>1444</v>
      </c>
      <c r="E35" s="347" t="s">
        <v>1217</v>
      </c>
      <c r="F35" s="348"/>
      <c r="G35" s="348"/>
      <c r="H35" s="348"/>
    </row>
    <row r="36" spans="1:8" ht="30" x14ac:dyDescent="0.25">
      <c r="A36" s="341">
        <v>33</v>
      </c>
      <c r="B36" s="342" t="s">
        <v>1324</v>
      </c>
      <c r="C36" s="342" t="s">
        <v>1325</v>
      </c>
      <c r="D36" s="343" t="s">
        <v>1326</v>
      </c>
      <c r="E36" s="347" t="s">
        <v>1217</v>
      </c>
      <c r="F36" s="348"/>
      <c r="G36" s="348"/>
      <c r="H36" s="348"/>
    </row>
    <row r="37" spans="1:8" ht="108.75" customHeight="1" x14ac:dyDescent="0.25">
      <c r="A37" s="343">
        <v>34</v>
      </c>
      <c r="B37" s="342" t="s">
        <v>1324</v>
      </c>
      <c r="C37" s="342" t="s">
        <v>1327</v>
      </c>
      <c r="D37" s="343" t="s">
        <v>1328</v>
      </c>
      <c r="E37" s="347" t="s">
        <v>1217</v>
      </c>
      <c r="F37" s="348"/>
      <c r="G37" s="348"/>
      <c r="H37" s="348"/>
    </row>
    <row r="38" spans="1:8" ht="30" x14ac:dyDescent="0.25">
      <c r="A38" s="341">
        <v>35</v>
      </c>
      <c r="B38" s="342" t="s">
        <v>1324</v>
      </c>
      <c r="C38" s="342" t="s">
        <v>1329</v>
      </c>
      <c r="D38" s="343" t="s">
        <v>1330</v>
      </c>
      <c r="E38" s="347" t="s">
        <v>1217</v>
      </c>
      <c r="F38" s="348"/>
      <c r="G38" s="348"/>
      <c r="H38" s="348"/>
    </row>
    <row r="39" spans="1:8" ht="30" x14ac:dyDescent="0.25">
      <c r="A39" s="343">
        <v>36</v>
      </c>
      <c r="B39" s="342" t="s">
        <v>1324</v>
      </c>
      <c r="C39" s="342" t="s">
        <v>1331</v>
      </c>
      <c r="D39" s="343" t="s">
        <v>1332</v>
      </c>
      <c r="E39" s="347" t="s">
        <v>1217</v>
      </c>
      <c r="F39" s="348"/>
      <c r="G39" s="348"/>
      <c r="H39" s="348"/>
    </row>
    <row r="40" spans="1:8" ht="30" x14ac:dyDescent="0.25">
      <c r="A40" s="341">
        <v>37</v>
      </c>
      <c r="B40" s="342" t="s">
        <v>1324</v>
      </c>
      <c r="C40" s="342" t="s">
        <v>1333</v>
      </c>
      <c r="D40" s="343" t="s">
        <v>1334</v>
      </c>
      <c r="E40" s="347" t="s">
        <v>1217</v>
      </c>
      <c r="F40" s="348"/>
      <c r="G40" s="348"/>
      <c r="H40" s="348"/>
    </row>
    <row r="41" spans="1:8" ht="45" x14ac:dyDescent="0.25">
      <c r="A41" s="343">
        <v>38</v>
      </c>
      <c r="B41" s="342" t="s">
        <v>1324</v>
      </c>
      <c r="C41" s="342" t="s">
        <v>1335</v>
      </c>
      <c r="D41" s="343" t="s">
        <v>1336</v>
      </c>
      <c r="E41" s="347" t="s">
        <v>1217</v>
      </c>
      <c r="F41" s="348"/>
      <c r="G41" s="348"/>
      <c r="H41" s="348"/>
    </row>
    <row r="42" spans="1:8" ht="60" x14ac:dyDescent="0.25">
      <c r="A42" s="341">
        <v>39</v>
      </c>
      <c r="B42" s="342" t="s">
        <v>1324</v>
      </c>
      <c r="C42" s="342" t="s">
        <v>1337</v>
      </c>
      <c r="D42" s="343" t="s">
        <v>1338</v>
      </c>
      <c r="E42" s="347" t="s">
        <v>1217</v>
      </c>
      <c r="F42" s="348"/>
      <c r="G42" s="348"/>
      <c r="H42" s="348"/>
    </row>
    <row r="43" spans="1:8" ht="30" x14ac:dyDescent="0.25">
      <c r="A43" s="343">
        <v>40</v>
      </c>
      <c r="B43" s="342" t="s">
        <v>1324</v>
      </c>
      <c r="C43" s="342" t="s">
        <v>1343</v>
      </c>
      <c r="D43" s="343" t="s">
        <v>1344</v>
      </c>
      <c r="E43" s="347" t="s">
        <v>1172</v>
      </c>
      <c r="F43" s="348"/>
      <c r="G43" s="348"/>
      <c r="H43" s="348"/>
    </row>
    <row r="44" spans="1:8" ht="30" x14ac:dyDescent="0.25">
      <c r="A44" s="341">
        <v>41</v>
      </c>
      <c r="B44" s="342" t="s">
        <v>1324</v>
      </c>
      <c r="C44" s="342" t="s">
        <v>1345</v>
      </c>
      <c r="D44" s="343" t="s">
        <v>1346</v>
      </c>
      <c r="E44" s="347" t="s">
        <v>1172</v>
      </c>
      <c r="F44" s="348"/>
      <c r="G44" s="348"/>
      <c r="H44" s="348"/>
    </row>
    <row r="45" spans="1:8" x14ac:dyDescent="0.25">
      <c r="A45" s="343">
        <v>42</v>
      </c>
      <c r="B45" s="342" t="s">
        <v>1352</v>
      </c>
      <c r="C45" s="342" t="s">
        <v>1445</v>
      </c>
      <c r="D45" s="343" t="s">
        <v>1446</v>
      </c>
      <c r="E45" s="347" t="s">
        <v>1172</v>
      </c>
      <c r="F45" s="348"/>
      <c r="G45" s="348"/>
      <c r="H45" s="348"/>
    </row>
    <row r="46" spans="1:8" ht="30" x14ac:dyDescent="0.25">
      <c r="A46" s="341">
        <v>43</v>
      </c>
      <c r="B46" s="342" t="s">
        <v>1352</v>
      </c>
      <c r="C46" s="342" t="s">
        <v>1447</v>
      </c>
      <c r="D46" s="343" t="s">
        <v>1448</v>
      </c>
      <c r="E46" s="347" t="s">
        <v>1172</v>
      </c>
      <c r="F46" s="348"/>
      <c r="G46" s="348"/>
      <c r="H46" s="348"/>
    </row>
    <row r="47" spans="1:8" x14ac:dyDescent="0.25">
      <c r="A47" s="343">
        <v>44</v>
      </c>
      <c r="B47" s="342" t="s">
        <v>1355</v>
      </c>
      <c r="C47" s="342" t="s">
        <v>1372</v>
      </c>
      <c r="D47" s="343" t="s">
        <v>1373</v>
      </c>
      <c r="E47" s="347" t="s">
        <v>1154</v>
      </c>
      <c r="F47" s="348"/>
      <c r="G47" s="348"/>
      <c r="H47" s="348"/>
    </row>
    <row r="48" spans="1:8" ht="30" x14ac:dyDescent="0.25">
      <c r="A48" s="341">
        <v>45</v>
      </c>
      <c r="B48" s="342" t="s">
        <v>1355</v>
      </c>
      <c r="C48" s="342" t="s">
        <v>1376</v>
      </c>
      <c r="D48" s="343" t="s">
        <v>1377</v>
      </c>
      <c r="E48" s="347" t="s">
        <v>1154</v>
      </c>
      <c r="F48" s="348"/>
      <c r="G48" s="348"/>
      <c r="H48" s="348"/>
    </row>
    <row r="49" spans="1:8" ht="30" x14ac:dyDescent="0.25">
      <c r="A49" s="343">
        <v>46</v>
      </c>
      <c r="B49" s="342" t="s">
        <v>1355</v>
      </c>
      <c r="C49" s="342" t="s">
        <v>1378</v>
      </c>
      <c r="D49" s="343" t="s">
        <v>1379</v>
      </c>
      <c r="E49" s="347" t="s">
        <v>1172</v>
      </c>
      <c r="F49" s="348"/>
      <c r="G49" s="348"/>
      <c r="H49" s="348"/>
    </row>
    <row r="50" spans="1:8" ht="30" x14ac:dyDescent="0.25">
      <c r="A50" s="341">
        <v>47</v>
      </c>
      <c r="B50" s="342" t="s">
        <v>1386</v>
      </c>
      <c r="C50" s="342" t="s">
        <v>1485</v>
      </c>
      <c r="D50" s="343" t="s">
        <v>1486</v>
      </c>
      <c r="E50" s="343" t="s">
        <v>1480</v>
      </c>
      <c r="F50" s="348"/>
      <c r="G50" s="348"/>
      <c r="H50" s="348"/>
    </row>
    <row r="51" spans="1:8" ht="45" x14ac:dyDescent="0.25">
      <c r="A51" s="343">
        <v>48</v>
      </c>
      <c r="B51" s="342" t="s">
        <v>1395</v>
      </c>
      <c r="C51" s="342" t="s">
        <v>1449</v>
      </c>
      <c r="D51" s="343" t="s">
        <v>1450</v>
      </c>
      <c r="E51" s="347" t="s">
        <v>1172</v>
      </c>
      <c r="F51" s="348"/>
      <c r="G51" s="348"/>
      <c r="H51" s="348"/>
    </row>
    <row r="52" spans="1:8" x14ac:dyDescent="0.25">
      <c r="A52" s="341">
        <v>49</v>
      </c>
      <c r="B52" s="342" t="s">
        <v>1395</v>
      </c>
      <c r="C52" s="342" t="s">
        <v>1396</v>
      </c>
      <c r="D52" s="343" t="s">
        <v>1397</v>
      </c>
      <c r="E52" s="347" t="s">
        <v>1172</v>
      </c>
      <c r="F52" s="348"/>
      <c r="G52" s="348"/>
      <c r="H52" s="348"/>
    </row>
    <row r="53" spans="1:8" ht="45" x14ac:dyDescent="0.25">
      <c r="A53" s="343">
        <v>50</v>
      </c>
      <c r="B53" s="342" t="s">
        <v>1395</v>
      </c>
      <c r="C53" s="342" t="s">
        <v>1487</v>
      </c>
      <c r="D53" s="343" t="s">
        <v>1488</v>
      </c>
      <c r="E53" s="343" t="s">
        <v>1480</v>
      </c>
      <c r="F53" s="348"/>
      <c r="G53" s="348"/>
      <c r="H53" s="348"/>
    </row>
    <row r="54" spans="1:8" ht="30" x14ac:dyDescent="0.25">
      <c r="A54" s="341">
        <v>51</v>
      </c>
      <c r="B54" s="342" t="s">
        <v>1400</v>
      </c>
      <c r="C54" s="342" t="s">
        <v>1451</v>
      </c>
      <c r="D54" s="343" t="s">
        <v>1452</v>
      </c>
      <c r="E54" s="347" t="s">
        <v>1172</v>
      </c>
      <c r="F54" s="348"/>
      <c r="G54" s="348"/>
      <c r="H54" s="348"/>
    </row>
    <row r="55" spans="1:8" x14ac:dyDescent="0.25">
      <c r="A55" s="343">
        <v>52</v>
      </c>
      <c r="B55" s="342" t="s">
        <v>1400</v>
      </c>
      <c r="C55" s="342" t="s">
        <v>1453</v>
      </c>
      <c r="D55" s="343" t="s">
        <v>1454</v>
      </c>
      <c r="E55" s="347" t="s">
        <v>1172</v>
      </c>
      <c r="F55" s="348"/>
      <c r="G55" s="348"/>
      <c r="H55" s="348"/>
    </row>
  </sheetData>
  <mergeCells count="1">
    <mergeCell ref="A1:H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D114F3-02A9-4216-A86F-14FCF12DA3CB}">
  <dimension ref="A1:H55"/>
  <sheetViews>
    <sheetView workbookViewId="0">
      <selection activeCell="F4" sqref="F4"/>
    </sheetView>
  </sheetViews>
  <sheetFormatPr defaultRowHeight="15" x14ac:dyDescent="0.25"/>
  <cols>
    <col min="1" max="1" width="5.42578125" style="355" customWidth="1"/>
    <col min="2" max="2" width="34.28515625" style="354" customWidth="1"/>
    <col min="3" max="3" width="74.7109375" style="354" customWidth="1"/>
    <col min="4" max="4" width="14.140625" style="355" bestFit="1" customWidth="1"/>
    <col min="5" max="5" width="22.42578125" style="356" customWidth="1"/>
    <col min="6" max="6" width="41.5703125" customWidth="1"/>
    <col min="7" max="7" width="38.28515625" customWidth="1"/>
    <col min="8" max="8" width="36.7109375" customWidth="1"/>
  </cols>
  <sheetData>
    <row r="1" spans="1:8" s="336" customFormat="1" ht="28.5" x14ac:dyDescent="0.45">
      <c r="A1" s="521" t="s">
        <v>1489</v>
      </c>
      <c r="B1" s="521"/>
      <c r="C1" s="521"/>
      <c r="D1" s="521"/>
      <c r="E1" s="521"/>
      <c r="F1" s="521"/>
      <c r="G1" s="521"/>
      <c r="H1" s="521"/>
    </row>
    <row r="3" spans="1:8" s="340" customFormat="1" ht="90.75" thickBot="1" x14ac:dyDescent="0.3">
      <c r="A3" s="338" t="s">
        <v>1408</v>
      </c>
      <c r="B3" s="338" t="s">
        <v>1135</v>
      </c>
      <c r="C3" s="338" t="s">
        <v>1136</v>
      </c>
      <c r="D3" s="339" t="s">
        <v>1137</v>
      </c>
      <c r="E3" s="338" t="s">
        <v>1138</v>
      </c>
      <c r="F3" s="338" t="s">
        <v>1670</v>
      </c>
      <c r="G3" s="338" t="s">
        <v>1140</v>
      </c>
      <c r="H3" s="338" t="s">
        <v>1141</v>
      </c>
    </row>
    <row r="4" spans="1:8" ht="30" x14ac:dyDescent="0.25">
      <c r="A4" s="341">
        <v>1</v>
      </c>
      <c r="B4" s="357" t="s">
        <v>1192</v>
      </c>
      <c r="C4" s="357" t="s">
        <v>1409</v>
      </c>
      <c r="D4" s="341" t="s">
        <v>1410</v>
      </c>
      <c r="E4" s="344" t="s">
        <v>1172</v>
      </c>
      <c r="F4" s="346"/>
      <c r="G4" s="346"/>
      <c r="H4" s="346"/>
    </row>
    <row r="5" spans="1:8" ht="30" x14ac:dyDescent="0.25">
      <c r="A5" s="343">
        <v>2</v>
      </c>
      <c r="B5" s="342" t="s">
        <v>1192</v>
      </c>
      <c r="C5" s="342" t="s">
        <v>1411</v>
      </c>
      <c r="D5" s="343" t="s">
        <v>1412</v>
      </c>
      <c r="E5" s="347" t="s">
        <v>1145</v>
      </c>
      <c r="F5" s="348"/>
      <c r="G5" s="348"/>
      <c r="H5" s="348"/>
    </row>
    <row r="6" spans="1:8" ht="30" x14ac:dyDescent="0.25">
      <c r="A6" s="341">
        <v>3</v>
      </c>
      <c r="B6" s="342" t="s">
        <v>1211</v>
      </c>
      <c r="C6" s="342" t="s">
        <v>1413</v>
      </c>
      <c r="D6" s="343" t="s">
        <v>1414</v>
      </c>
      <c r="E6" s="347" t="s">
        <v>1217</v>
      </c>
      <c r="F6" s="348"/>
      <c r="G6" s="348"/>
      <c r="H6" s="348"/>
    </row>
    <row r="7" spans="1:8" ht="30" x14ac:dyDescent="0.25">
      <c r="A7" s="343">
        <v>4</v>
      </c>
      <c r="B7" s="342" t="s">
        <v>1211</v>
      </c>
      <c r="C7" s="342" t="s">
        <v>1415</v>
      </c>
      <c r="D7" s="343" t="s">
        <v>1416</v>
      </c>
      <c r="E7" s="347" t="s">
        <v>1217</v>
      </c>
      <c r="F7" s="348"/>
      <c r="G7" s="348"/>
      <c r="H7" s="348"/>
    </row>
    <row r="8" spans="1:8" ht="45" x14ac:dyDescent="0.25">
      <c r="A8" s="341">
        <v>5</v>
      </c>
      <c r="B8" s="342" t="s">
        <v>1211</v>
      </c>
      <c r="C8" s="342" t="s">
        <v>1417</v>
      </c>
      <c r="D8" s="343" t="s">
        <v>1418</v>
      </c>
      <c r="E8" s="347" t="s">
        <v>1217</v>
      </c>
      <c r="F8" s="348"/>
      <c r="G8" s="348"/>
      <c r="H8" s="348"/>
    </row>
    <row r="9" spans="1:8" ht="30" x14ac:dyDescent="0.25">
      <c r="A9" s="343">
        <v>6</v>
      </c>
      <c r="B9" s="342" t="s">
        <v>1211</v>
      </c>
      <c r="C9" s="342" t="s">
        <v>1419</v>
      </c>
      <c r="D9" s="343" t="s">
        <v>1420</v>
      </c>
      <c r="E9" s="347" t="s">
        <v>1217</v>
      </c>
      <c r="F9" s="348"/>
      <c r="G9" s="348"/>
      <c r="H9" s="348"/>
    </row>
    <row r="10" spans="1:8" ht="30" x14ac:dyDescent="0.25">
      <c r="A10" s="341">
        <v>7</v>
      </c>
      <c r="B10" s="342" t="s">
        <v>1211</v>
      </c>
      <c r="C10" s="342" t="s">
        <v>1421</v>
      </c>
      <c r="D10" s="343" t="s">
        <v>1422</v>
      </c>
      <c r="E10" s="347" t="s">
        <v>1217</v>
      </c>
      <c r="F10" s="348"/>
      <c r="G10" s="348"/>
      <c r="H10" s="348"/>
    </row>
    <row r="11" spans="1:8" ht="30" x14ac:dyDescent="0.25">
      <c r="A11" s="343">
        <v>8</v>
      </c>
      <c r="B11" s="342" t="s">
        <v>1211</v>
      </c>
      <c r="C11" s="342" t="s">
        <v>1423</v>
      </c>
      <c r="D11" s="343" t="s">
        <v>1424</v>
      </c>
      <c r="E11" s="347" t="s">
        <v>1217</v>
      </c>
      <c r="F11" s="348"/>
      <c r="G11" s="348"/>
      <c r="H11" s="348"/>
    </row>
    <row r="12" spans="1:8" ht="45" x14ac:dyDescent="0.25">
      <c r="A12" s="341">
        <v>9</v>
      </c>
      <c r="B12" s="342" t="s">
        <v>1211</v>
      </c>
      <c r="C12" s="342" t="s">
        <v>1425</v>
      </c>
      <c r="D12" s="343" t="s">
        <v>1426</v>
      </c>
      <c r="E12" s="347" t="s">
        <v>1172</v>
      </c>
      <c r="F12" s="348"/>
      <c r="G12" s="348"/>
      <c r="H12" s="348"/>
    </row>
    <row r="13" spans="1:8" ht="45" x14ac:dyDescent="0.25">
      <c r="A13" s="343">
        <v>10</v>
      </c>
      <c r="B13" s="342" t="s">
        <v>1211</v>
      </c>
      <c r="C13" s="342" t="s">
        <v>1427</v>
      </c>
      <c r="D13" s="343" t="s">
        <v>1428</v>
      </c>
      <c r="E13" s="347" t="s">
        <v>1172</v>
      </c>
      <c r="F13" s="348"/>
      <c r="G13" s="348"/>
      <c r="H13" s="348"/>
    </row>
    <row r="14" spans="1:8" x14ac:dyDescent="0.25">
      <c r="A14" s="341">
        <v>11</v>
      </c>
      <c r="B14" s="342" t="s">
        <v>1214</v>
      </c>
      <c r="C14" s="342" t="s">
        <v>1478</v>
      </c>
      <c r="D14" s="343" t="s">
        <v>1479</v>
      </c>
      <c r="E14" s="343" t="s">
        <v>1490</v>
      </c>
      <c r="F14" s="348"/>
      <c r="G14" s="348"/>
      <c r="H14" s="348"/>
    </row>
    <row r="15" spans="1:8" ht="30" x14ac:dyDescent="0.25">
      <c r="A15" s="343">
        <v>12</v>
      </c>
      <c r="B15" s="342" t="s">
        <v>1214</v>
      </c>
      <c r="C15" s="342" t="s">
        <v>1429</v>
      </c>
      <c r="D15" s="343" t="s">
        <v>1430</v>
      </c>
      <c r="E15" s="343" t="s">
        <v>1189</v>
      </c>
      <c r="F15" s="348"/>
      <c r="G15" s="348"/>
      <c r="H15" s="348"/>
    </row>
    <row r="16" spans="1:8" ht="30" x14ac:dyDescent="0.25">
      <c r="A16" s="341">
        <v>13</v>
      </c>
      <c r="B16" s="342" t="s">
        <v>1249</v>
      </c>
      <c r="C16" s="342" t="s">
        <v>1431</v>
      </c>
      <c r="D16" s="343" t="s">
        <v>1432</v>
      </c>
      <c r="E16" s="343" t="s">
        <v>1172</v>
      </c>
      <c r="F16" s="348"/>
      <c r="G16" s="348"/>
      <c r="H16" s="348"/>
    </row>
    <row r="17" spans="1:8" ht="30" x14ac:dyDescent="0.25">
      <c r="A17" s="343">
        <v>14</v>
      </c>
      <c r="B17" s="342" t="s">
        <v>1249</v>
      </c>
      <c r="C17" s="342" t="s">
        <v>1433</v>
      </c>
      <c r="D17" s="343" t="s">
        <v>1434</v>
      </c>
      <c r="E17" s="343" t="s">
        <v>1172</v>
      </c>
      <c r="F17" s="348"/>
      <c r="G17" s="348"/>
      <c r="H17" s="348"/>
    </row>
    <row r="18" spans="1:8" ht="30" x14ac:dyDescent="0.25">
      <c r="A18" s="341">
        <v>15</v>
      </c>
      <c r="B18" s="342" t="s">
        <v>1249</v>
      </c>
      <c r="C18" s="342" t="s">
        <v>1481</v>
      </c>
      <c r="D18" s="343" t="s">
        <v>1482</v>
      </c>
      <c r="E18" s="343" t="s">
        <v>1490</v>
      </c>
      <c r="F18" s="348"/>
      <c r="G18" s="348"/>
      <c r="H18" s="348"/>
    </row>
    <row r="19" spans="1:8" x14ac:dyDescent="0.25">
      <c r="A19" s="343">
        <v>16</v>
      </c>
      <c r="B19" s="342" t="s">
        <v>1249</v>
      </c>
      <c r="C19" s="342" t="s">
        <v>1435</v>
      </c>
      <c r="D19" s="343" t="s">
        <v>1436</v>
      </c>
      <c r="E19" s="343" t="s">
        <v>1189</v>
      </c>
      <c r="F19" s="348"/>
      <c r="G19" s="348"/>
      <c r="H19" s="348"/>
    </row>
    <row r="20" spans="1:8" ht="30" x14ac:dyDescent="0.25">
      <c r="A20" s="341">
        <v>17</v>
      </c>
      <c r="B20" s="342" t="s">
        <v>1255</v>
      </c>
      <c r="C20" s="342" t="s">
        <v>1437</v>
      </c>
      <c r="D20" s="343" t="s">
        <v>1438</v>
      </c>
      <c r="E20" s="343" t="s">
        <v>1154</v>
      </c>
      <c r="F20" s="348"/>
      <c r="G20" s="348"/>
      <c r="H20" s="348"/>
    </row>
    <row r="21" spans="1:8" ht="30" x14ac:dyDescent="0.25">
      <c r="A21" s="343">
        <v>18</v>
      </c>
      <c r="B21" s="342" t="s">
        <v>1255</v>
      </c>
      <c r="C21" s="342" t="s">
        <v>1437</v>
      </c>
      <c r="D21" s="343" t="s">
        <v>1438</v>
      </c>
      <c r="E21" s="343" t="s">
        <v>1217</v>
      </c>
      <c r="F21" s="348"/>
      <c r="G21" s="348"/>
      <c r="H21" s="348"/>
    </row>
    <row r="22" spans="1:8" x14ac:dyDescent="0.25">
      <c r="A22" s="341">
        <v>19</v>
      </c>
      <c r="B22" s="342" t="s">
        <v>1260</v>
      </c>
      <c r="C22" s="342" t="s">
        <v>1261</v>
      </c>
      <c r="D22" s="343" t="s">
        <v>1262</v>
      </c>
      <c r="E22" s="343" t="s">
        <v>1217</v>
      </c>
      <c r="F22" s="348"/>
      <c r="G22" s="348"/>
      <c r="H22" s="348"/>
    </row>
    <row r="23" spans="1:8" ht="90" x14ac:dyDescent="0.25">
      <c r="A23" s="343">
        <v>20</v>
      </c>
      <c r="B23" s="342" t="s">
        <v>1260</v>
      </c>
      <c r="C23" s="342" t="s">
        <v>1263</v>
      </c>
      <c r="D23" s="343" t="s">
        <v>1264</v>
      </c>
      <c r="E23" s="343" t="s">
        <v>1217</v>
      </c>
      <c r="F23" s="348"/>
      <c r="G23" s="348"/>
      <c r="H23" s="348"/>
    </row>
    <row r="24" spans="1:8" ht="45" x14ac:dyDescent="0.25">
      <c r="A24" s="341">
        <v>21</v>
      </c>
      <c r="B24" s="342" t="s">
        <v>1260</v>
      </c>
      <c r="C24" s="342" t="s">
        <v>1265</v>
      </c>
      <c r="D24" s="343" t="s">
        <v>1266</v>
      </c>
      <c r="E24" s="343" t="s">
        <v>1217</v>
      </c>
      <c r="F24" s="348"/>
      <c r="G24" s="348"/>
      <c r="H24" s="348"/>
    </row>
    <row r="25" spans="1:8" ht="30" x14ac:dyDescent="0.25">
      <c r="A25" s="343">
        <v>22</v>
      </c>
      <c r="B25" s="342" t="s">
        <v>1260</v>
      </c>
      <c r="C25" s="342" t="s">
        <v>1267</v>
      </c>
      <c r="D25" s="343" t="s">
        <v>1268</v>
      </c>
      <c r="E25" s="343" t="s">
        <v>1217</v>
      </c>
      <c r="F25" s="348"/>
      <c r="G25" s="348"/>
      <c r="H25" s="348"/>
    </row>
    <row r="26" spans="1:8" ht="30" x14ac:dyDescent="0.25">
      <c r="A26" s="341">
        <v>23</v>
      </c>
      <c r="B26" s="342" t="s">
        <v>1260</v>
      </c>
      <c r="C26" s="342" t="s">
        <v>1269</v>
      </c>
      <c r="D26" s="343" t="s">
        <v>1270</v>
      </c>
      <c r="E26" s="343" t="s">
        <v>1217</v>
      </c>
      <c r="F26" s="348"/>
      <c r="G26" s="348"/>
      <c r="H26" s="348"/>
    </row>
    <row r="27" spans="1:8" ht="30" x14ac:dyDescent="0.25">
      <c r="A27" s="343">
        <v>24</v>
      </c>
      <c r="B27" s="342" t="s">
        <v>1260</v>
      </c>
      <c r="C27" s="342" t="s">
        <v>1271</v>
      </c>
      <c r="D27" s="343" t="s">
        <v>1272</v>
      </c>
      <c r="E27" s="343" t="s">
        <v>1217</v>
      </c>
      <c r="F27" s="348"/>
      <c r="G27" s="348"/>
      <c r="H27" s="348"/>
    </row>
    <row r="28" spans="1:8" ht="45" x14ac:dyDescent="0.25">
      <c r="A28" s="341">
        <v>25</v>
      </c>
      <c r="B28" s="342" t="s">
        <v>1260</v>
      </c>
      <c r="C28" s="342" t="s">
        <v>1273</v>
      </c>
      <c r="D28" s="343" t="s">
        <v>1274</v>
      </c>
      <c r="E28" s="343" t="s">
        <v>1217</v>
      </c>
      <c r="F28" s="348"/>
      <c r="G28" s="348"/>
      <c r="H28" s="348"/>
    </row>
    <row r="29" spans="1:8" ht="30" x14ac:dyDescent="0.25">
      <c r="A29" s="343">
        <v>26</v>
      </c>
      <c r="B29" s="342" t="s">
        <v>1260</v>
      </c>
      <c r="C29" s="342" t="s">
        <v>1279</v>
      </c>
      <c r="D29" s="343" t="s">
        <v>1280</v>
      </c>
      <c r="E29" s="343" t="s">
        <v>1172</v>
      </c>
      <c r="F29" s="348"/>
      <c r="G29" s="348"/>
      <c r="H29" s="348"/>
    </row>
    <row r="30" spans="1:8" ht="45" x14ac:dyDescent="0.25">
      <c r="A30" s="341">
        <v>27</v>
      </c>
      <c r="B30" s="342" t="s">
        <v>1260</v>
      </c>
      <c r="C30" s="342" t="s">
        <v>1281</v>
      </c>
      <c r="D30" s="343" t="s">
        <v>1282</v>
      </c>
      <c r="E30" s="343" t="s">
        <v>1172</v>
      </c>
      <c r="F30" s="348"/>
      <c r="G30" s="348"/>
      <c r="H30" s="348"/>
    </row>
    <row r="31" spans="1:8" ht="30" x14ac:dyDescent="0.25">
      <c r="A31" s="343">
        <v>28</v>
      </c>
      <c r="B31" s="342" t="s">
        <v>1313</v>
      </c>
      <c r="C31" s="342" t="s">
        <v>1439</v>
      </c>
      <c r="D31" s="343" t="s">
        <v>1440</v>
      </c>
      <c r="E31" s="347" t="s">
        <v>1172</v>
      </c>
      <c r="F31" s="348"/>
      <c r="G31" s="348"/>
      <c r="H31" s="348"/>
    </row>
    <row r="32" spans="1:8" ht="45" x14ac:dyDescent="0.25">
      <c r="A32" s="341">
        <v>29</v>
      </c>
      <c r="B32" s="342" t="s">
        <v>1313</v>
      </c>
      <c r="C32" s="342" t="s">
        <v>1441</v>
      </c>
      <c r="D32" s="343" t="s">
        <v>1442</v>
      </c>
      <c r="E32" s="347" t="s">
        <v>1172</v>
      </c>
      <c r="F32" s="348"/>
      <c r="G32" s="348"/>
      <c r="H32" s="348"/>
    </row>
    <row r="33" spans="1:8" ht="45" x14ac:dyDescent="0.25">
      <c r="A33" s="343">
        <v>30</v>
      </c>
      <c r="B33" s="342" t="s">
        <v>1313</v>
      </c>
      <c r="C33" s="342" t="s">
        <v>1483</v>
      </c>
      <c r="D33" s="343" t="s">
        <v>1484</v>
      </c>
      <c r="E33" s="343" t="s">
        <v>1490</v>
      </c>
      <c r="F33" s="348"/>
      <c r="G33" s="348"/>
      <c r="H33" s="348"/>
    </row>
    <row r="34" spans="1:8" ht="45" x14ac:dyDescent="0.25">
      <c r="A34" s="341">
        <v>31</v>
      </c>
      <c r="B34" s="342" t="s">
        <v>1319</v>
      </c>
      <c r="C34" s="342" t="s">
        <v>1443</v>
      </c>
      <c r="D34" s="343" t="s">
        <v>1444</v>
      </c>
      <c r="E34" s="347" t="s">
        <v>1154</v>
      </c>
      <c r="F34" s="348"/>
      <c r="G34" s="348"/>
      <c r="H34" s="348"/>
    </row>
    <row r="35" spans="1:8" ht="45" x14ac:dyDescent="0.25">
      <c r="A35" s="343">
        <v>32</v>
      </c>
      <c r="B35" s="342" t="s">
        <v>1319</v>
      </c>
      <c r="C35" s="342" t="s">
        <v>1443</v>
      </c>
      <c r="D35" s="343" t="s">
        <v>1444</v>
      </c>
      <c r="E35" s="347" t="s">
        <v>1217</v>
      </c>
      <c r="F35" s="348"/>
      <c r="G35" s="348"/>
      <c r="H35" s="348"/>
    </row>
    <row r="36" spans="1:8" ht="30" x14ac:dyDescent="0.25">
      <c r="A36" s="341">
        <v>33</v>
      </c>
      <c r="B36" s="342" t="s">
        <v>1324</v>
      </c>
      <c r="C36" s="342" t="s">
        <v>1325</v>
      </c>
      <c r="D36" s="343" t="s">
        <v>1326</v>
      </c>
      <c r="E36" s="347" t="s">
        <v>1217</v>
      </c>
      <c r="F36" s="348"/>
      <c r="G36" s="348"/>
      <c r="H36" s="348"/>
    </row>
    <row r="37" spans="1:8" ht="120" x14ac:dyDescent="0.25">
      <c r="A37" s="343">
        <v>34</v>
      </c>
      <c r="B37" s="342" t="s">
        <v>1324</v>
      </c>
      <c r="C37" s="342" t="s">
        <v>1327</v>
      </c>
      <c r="D37" s="343" t="s">
        <v>1328</v>
      </c>
      <c r="E37" s="347" t="s">
        <v>1217</v>
      </c>
      <c r="F37" s="348"/>
      <c r="G37" s="348"/>
      <c r="H37" s="348"/>
    </row>
    <row r="38" spans="1:8" ht="30" x14ac:dyDescent="0.25">
      <c r="A38" s="341">
        <v>35</v>
      </c>
      <c r="B38" s="342" t="s">
        <v>1324</v>
      </c>
      <c r="C38" s="342" t="s">
        <v>1329</v>
      </c>
      <c r="D38" s="343" t="s">
        <v>1330</v>
      </c>
      <c r="E38" s="347" t="s">
        <v>1217</v>
      </c>
      <c r="F38" s="348"/>
      <c r="G38" s="348"/>
      <c r="H38" s="348"/>
    </row>
    <row r="39" spans="1:8" ht="30" x14ac:dyDescent="0.25">
      <c r="A39" s="343">
        <v>36</v>
      </c>
      <c r="B39" s="342" t="s">
        <v>1324</v>
      </c>
      <c r="C39" s="342" t="s">
        <v>1331</v>
      </c>
      <c r="D39" s="343" t="s">
        <v>1332</v>
      </c>
      <c r="E39" s="347" t="s">
        <v>1217</v>
      </c>
      <c r="F39" s="348"/>
      <c r="G39" s="348"/>
      <c r="H39" s="348"/>
    </row>
    <row r="40" spans="1:8" ht="30" x14ac:dyDescent="0.25">
      <c r="A40" s="341">
        <v>37</v>
      </c>
      <c r="B40" s="342" t="s">
        <v>1324</v>
      </c>
      <c r="C40" s="342" t="s">
        <v>1333</v>
      </c>
      <c r="D40" s="343" t="s">
        <v>1334</v>
      </c>
      <c r="E40" s="347" t="s">
        <v>1217</v>
      </c>
      <c r="F40" s="348"/>
      <c r="G40" s="348"/>
      <c r="H40" s="348"/>
    </row>
    <row r="41" spans="1:8" ht="45" x14ac:dyDescent="0.25">
      <c r="A41" s="343">
        <v>38</v>
      </c>
      <c r="B41" s="342" t="s">
        <v>1324</v>
      </c>
      <c r="C41" s="342" t="s">
        <v>1335</v>
      </c>
      <c r="D41" s="343" t="s">
        <v>1336</v>
      </c>
      <c r="E41" s="347" t="s">
        <v>1217</v>
      </c>
      <c r="F41" s="348"/>
      <c r="G41" s="348"/>
      <c r="H41" s="348"/>
    </row>
    <row r="42" spans="1:8" ht="60" x14ac:dyDescent="0.25">
      <c r="A42" s="341">
        <v>39</v>
      </c>
      <c r="B42" s="342" t="s">
        <v>1324</v>
      </c>
      <c r="C42" s="342" t="s">
        <v>1337</v>
      </c>
      <c r="D42" s="343" t="s">
        <v>1338</v>
      </c>
      <c r="E42" s="347" t="s">
        <v>1217</v>
      </c>
      <c r="F42" s="348"/>
      <c r="G42" s="348"/>
      <c r="H42" s="348"/>
    </row>
    <row r="43" spans="1:8" ht="30" x14ac:dyDescent="0.25">
      <c r="A43" s="343">
        <v>40</v>
      </c>
      <c r="B43" s="342" t="s">
        <v>1324</v>
      </c>
      <c r="C43" s="342" t="s">
        <v>1343</v>
      </c>
      <c r="D43" s="343" t="s">
        <v>1344</v>
      </c>
      <c r="E43" s="347" t="s">
        <v>1172</v>
      </c>
      <c r="F43" s="348"/>
      <c r="G43" s="348"/>
      <c r="H43" s="348"/>
    </row>
    <row r="44" spans="1:8" ht="30" x14ac:dyDescent="0.25">
      <c r="A44" s="341">
        <v>41</v>
      </c>
      <c r="B44" s="342" t="s">
        <v>1324</v>
      </c>
      <c r="C44" s="342" t="s">
        <v>1345</v>
      </c>
      <c r="D44" s="343" t="s">
        <v>1346</v>
      </c>
      <c r="E44" s="347" t="s">
        <v>1172</v>
      </c>
      <c r="F44" s="348"/>
      <c r="G44" s="348"/>
      <c r="H44" s="348"/>
    </row>
    <row r="45" spans="1:8" x14ac:dyDescent="0.25">
      <c r="A45" s="343">
        <v>42</v>
      </c>
      <c r="B45" s="342" t="s">
        <v>1352</v>
      </c>
      <c r="C45" s="342" t="s">
        <v>1445</v>
      </c>
      <c r="D45" s="343" t="s">
        <v>1446</v>
      </c>
      <c r="E45" s="347" t="s">
        <v>1172</v>
      </c>
      <c r="F45" s="348"/>
      <c r="G45" s="348"/>
      <c r="H45" s="348"/>
    </row>
    <row r="46" spans="1:8" ht="30" x14ac:dyDescent="0.25">
      <c r="A46" s="341">
        <v>43</v>
      </c>
      <c r="B46" s="342" t="s">
        <v>1352</v>
      </c>
      <c r="C46" s="342" t="s">
        <v>1447</v>
      </c>
      <c r="D46" s="343" t="s">
        <v>1448</v>
      </c>
      <c r="E46" s="347" t="s">
        <v>1172</v>
      </c>
      <c r="F46" s="348"/>
      <c r="G46" s="348"/>
      <c r="H46" s="348"/>
    </row>
    <row r="47" spans="1:8" x14ac:dyDescent="0.25">
      <c r="A47" s="343">
        <v>44</v>
      </c>
      <c r="B47" s="342" t="s">
        <v>1355</v>
      </c>
      <c r="C47" s="342" t="s">
        <v>1372</v>
      </c>
      <c r="D47" s="343" t="s">
        <v>1373</v>
      </c>
      <c r="E47" s="347" t="s">
        <v>1154</v>
      </c>
      <c r="F47" s="348"/>
      <c r="G47" s="348"/>
      <c r="H47" s="348"/>
    </row>
    <row r="48" spans="1:8" ht="30" x14ac:dyDescent="0.25">
      <c r="A48" s="341">
        <v>45</v>
      </c>
      <c r="B48" s="342" t="s">
        <v>1355</v>
      </c>
      <c r="C48" s="342" t="s">
        <v>1376</v>
      </c>
      <c r="D48" s="343" t="s">
        <v>1377</v>
      </c>
      <c r="E48" s="347" t="s">
        <v>1154</v>
      </c>
      <c r="F48" s="348"/>
      <c r="G48" s="348"/>
      <c r="H48" s="348"/>
    </row>
    <row r="49" spans="1:8" ht="30" x14ac:dyDescent="0.25">
      <c r="A49" s="343">
        <v>46</v>
      </c>
      <c r="B49" s="342" t="s">
        <v>1355</v>
      </c>
      <c r="C49" s="342" t="s">
        <v>1378</v>
      </c>
      <c r="D49" s="343" t="s">
        <v>1379</v>
      </c>
      <c r="E49" s="347" t="s">
        <v>1172</v>
      </c>
      <c r="F49" s="348"/>
      <c r="G49" s="348"/>
      <c r="H49" s="348"/>
    </row>
    <row r="50" spans="1:8" ht="30" x14ac:dyDescent="0.25">
      <c r="A50" s="341">
        <v>47</v>
      </c>
      <c r="B50" s="342" t="s">
        <v>1386</v>
      </c>
      <c r="C50" s="342" t="s">
        <v>1485</v>
      </c>
      <c r="D50" s="343" t="s">
        <v>1486</v>
      </c>
      <c r="E50" s="343" t="s">
        <v>1490</v>
      </c>
      <c r="F50" s="348"/>
      <c r="G50" s="348"/>
      <c r="H50" s="348"/>
    </row>
    <row r="51" spans="1:8" ht="45" x14ac:dyDescent="0.25">
      <c r="A51" s="343">
        <v>48</v>
      </c>
      <c r="B51" s="342" t="s">
        <v>1395</v>
      </c>
      <c r="C51" s="342" t="s">
        <v>1449</v>
      </c>
      <c r="D51" s="343" t="s">
        <v>1450</v>
      </c>
      <c r="E51" s="347" t="s">
        <v>1172</v>
      </c>
      <c r="F51" s="348"/>
      <c r="G51" s="348"/>
      <c r="H51" s="348"/>
    </row>
    <row r="52" spans="1:8" x14ac:dyDescent="0.25">
      <c r="A52" s="341">
        <v>49</v>
      </c>
      <c r="B52" s="342" t="s">
        <v>1395</v>
      </c>
      <c r="C52" s="342" t="s">
        <v>1396</v>
      </c>
      <c r="D52" s="343" t="s">
        <v>1397</v>
      </c>
      <c r="E52" s="347" t="s">
        <v>1172</v>
      </c>
      <c r="F52" s="348"/>
      <c r="G52" s="348"/>
      <c r="H52" s="348"/>
    </row>
    <row r="53" spans="1:8" ht="45" x14ac:dyDescent="0.25">
      <c r="A53" s="343">
        <v>50</v>
      </c>
      <c r="B53" s="342" t="s">
        <v>1395</v>
      </c>
      <c r="C53" s="342" t="s">
        <v>1487</v>
      </c>
      <c r="D53" s="343" t="s">
        <v>1488</v>
      </c>
      <c r="E53" s="343" t="s">
        <v>1490</v>
      </c>
      <c r="F53" s="348"/>
      <c r="G53" s="348"/>
      <c r="H53" s="348"/>
    </row>
    <row r="54" spans="1:8" ht="30" x14ac:dyDescent="0.25">
      <c r="A54" s="341">
        <v>51</v>
      </c>
      <c r="B54" s="342" t="s">
        <v>1400</v>
      </c>
      <c r="C54" s="342" t="s">
        <v>1451</v>
      </c>
      <c r="D54" s="343" t="s">
        <v>1452</v>
      </c>
      <c r="E54" s="347" t="s">
        <v>1172</v>
      </c>
      <c r="F54" s="348"/>
      <c r="G54" s="348"/>
      <c r="H54" s="348"/>
    </row>
    <row r="55" spans="1:8" x14ac:dyDescent="0.25">
      <c r="A55" s="343">
        <v>52</v>
      </c>
      <c r="B55" s="342" t="s">
        <v>1400</v>
      </c>
      <c r="C55" s="342" t="s">
        <v>1453</v>
      </c>
      <c r="D55" s="343" t="s">
        <v>1454</v>
      </c>
      <c r="E55" s="347" t="s">
        <v>1172</v>
      </c>
      <c r="F55" s="348"/>
      <c r="G55" s="348"/>
      <c r="H55" s="348"/>
    </row>
  </sheetData>
  <mergeCells count="1">
    <mergeCell ref="A1:H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124B6D-F6A4-4DB3-B25D-212DD04B4F13}">
  <dimension ref="A1:H60"/>
  <sheetViews>
    <sheetView workbookViewId="0">
      <selection activeCell="F4" sqref="F4"/>
    </sheetView>
  </sheetViews>
  <sheetFormatPr defaultRowHeight="15" x14ac:dyDescent="0.25"/>
  <cols>
    <col min="1" max="1" width="5.42578125" style="355" customWidth="1"/>
    <col min="2" max="2" width="34.28515625" style="354" customWidth="1"/>
    <col min="3" max="3" width="74.7109375" style="354" customWidth="1"/>
    <col min="4" max="4" width="14.140625" style="355" bestFit="1" customWidth="1"/>
    <col min="5" max="5" width="22.42578125" style="356" customWidth="1"/>
    <col min="6" max="6" width="41.42578125" customWidth="1"/>
    <col min="7" max="7" width="39.7109375" customWidth="1"/>
    <col min="8" max="8" width="36.42578125" customWidth="1"/>
  </cols>
  <sheetData>
    <row r="1" spans="1:8" s="336" customFormat="1" ht="28.5" x14ac:dyDescent="0.45">
      <c r="A1" s="521" t="s">
        <v>1491</v>
      </c>
      <c r="B1" s="521"/>
      <c r="C1" s="521"/>
      <c r="D1" s="521"/>
      <c r="E1" s="521"/>
      <c r="F1" s="521"/>
      <c r="G1" s="521"/>
      <c r="H1" s="521"/>
    </row>
    <row r="3" spans="1:8" s="340" customFormat="1" ht="84.75" customHeight="1" thickBot="1" x14ac:dyDescent="0.3">
      <c r="A3" s="338" t="s">
        <v>1408</v>
      </c>
      <c r="B3" s="338" t="s">
        <v>1135</v>
      </c>
      <c r="C3" s="338" t="s">
        <v>1136</v>
      </c>
      <c r="D3" s="339" t="s">
        <v>1137</v>
      </c>
      <c r="E3" s="338" t="s">
        <v>1138</v>
      </c>
      <c r="F3" s="338" t="s">
        <v>1670</v>
      </c>
      <c r="G3" s="338" t="s">
        <v>1140</v>
      </c>
      <c r="H3" s="338" t="s">
        <v>1141</v>
      </c>
    </row>
    <row r="4" spans="1:8" ht="30" x14ac:dyDescent="0.25">
      <c r="A4" s="341">
        <v>1</v>
      </c>
      <c r="B4" s="357" t="s">
        <v>1142</v>
      </c>
      <c r="C4" s="357" t="s">
        <v>1492</v>
      </c>
      <c r="D4" s="341" t="s">
        <v>1493</v>
      </c>
      <c r="E4" s="344" t="s">
        <v>1494</v>
      </c>
      <c r="F4" s="346"/>
      <c r="G4" s="346"/>
      <c r="H4" s="346"/>
    </row>
    <row r="5" spans="1:8" ht="60" x14ac:dyDescent="0.25">
      <c r="A5" s="343">
        <v>2</v>
      </c>
      <c r="B5" s="342" t="s">
        <v>1175</v>
      </c>
      <c r="C5" s="342" t="s">
        <v>1495</v>
      </c>
      <c r="D5" s="343" t="s">
        <v>1496</v>
      </c>
      <c r="E5" s="343" t="s">
        <v>1494</v>
      </c>
      <c r="F5" s="348"/>
      <c r="G5" s="348"/>
      <c r="H5" s="348"/>
    </row>
    <row r="6" spans="1:8" ht="60" x14ac:dyDescent="0.25">
      <c r="A6" s="341">
        <v>3</v>
      </c>
      <c r="B6" s="342" t="s">
        <v>1175</v>
      </c>
      <c r="C6" s="342" t="s">
        <v>1497</v>
      </c>
      <c r="D6" s="343" t="s">
        <v>1498</v>
      </c>
      <c r="E6" s="343" t="s">
        <v>1494</v>
      </c>
      <c r="F6" s="348"/>
      <c r="G6" s="348"/>
      <c r="H6" s="348"/>
    </row>
    <row r="7" spans="1:8" ht="60" x14ac:dyDescent="0.25">
      <c r="A7" s="343">
        <v>4</v>
      </c>
      <c r="B7" s="342" t="s">
        <v>1175</v>
      </c>
      <c r="C7" s="342" t="s">
        <v>1499</v>
      </c>
      <c r="D7" s="343" t="s">
        <v>1500</v>
      </c>
      <c r="E7" s="343" t="s">
        <v>1494</v>
      </c>
      <c r="F7" s="348"/>
      <c r="G7" s="348"/>
      <c r="H7" s="348"/>
    </row>
    <row r="8" spans="1:8" ht="60" x14ac:dyDescent="0.25">
      <c r="A8" s="341">
        <v>5</v>
      </c>
      <c r="B8" s="342" t="s">
        <v>1175</v>
      </c>
      <c r="C8" s="342" t="s">
        <v>1501</v>
      </c>
      <c r="D8" s="343" t="s">
        <v>1502</v>
      </c>
      <c r="E8" s="343" t="s">
        <v>1494</v>
      </c>
      <c r="F8" s="348"/>
      <c r="G8" s="348"/>
      <c r="H8" s="348"/>
    </row>
    <row r="9" spans="1:8" ht="60" x14ac:dyDescent="0.25">
      <c r="A9" s="343">
        <v>6</v>
      </c>
      <c r="B9" s="342" t="s">
        <v>1175</v>
      </c>
      <c r="C9" s="342" t="s">
        <v>1456</v>
      </c>
      <c r="D9" s="343" t="s">
        <v>1457</v>
      </c>
      <c r="E9" s="343" t="s">
        <v>1494</v>
      </c>
      <c r="F9" s="348"/>
      <c r="G9" s="348"/>
      <c r="H9" s="348"/>
    </row>
    <row r="10" spans="1:8" ht="60" x14ac:dyDescent="0.25">
      <c r="A10" s="341">
        <v>7</v>
      </c>
      <c r="B10" s="342" t="s">
        <v>1175</v>
      </c>
      <c r="C10" s="342" t="s">
        <v>1456</v>
      </c>
      <c r="D10" s="343" t="s">
        <v>1458</v>
      </c>
      <c r="E10" s="343" t="s">
        <v>1494</v>
      </c>
      <c r="F10" s="348"/>
      <c r="G10" s="348"/>
      <c r="H10" s="348"/>
    </row>
    <row r="11" spans="1:8" ht="30" x14ac:dyDescent="0.25">
      <c r="A11" s="343">
        <v>8</v>
      </c>
      <c r="B11" s="342" t="s">
        <v>1192</v>
      </c>
      <c r="C11" s="342" t="s">
        <v>1409</v>
      </c>
      <c r="D11" s="343" t="s">
        <v>1410</v>
      </c>
      <c r="E11" s="347" t="s">
        <v>1172</v>
      </c>
      <c r="F11" s="348"/>
      <c r="G11" s="348"/>
      <c r="H11" s="348"/>
    </row>
    <row r="12" spans="1:8" ht="30" x14ac:dyDescent="0.25">
      <c r="A12" s="341">
        <v>9</v>
      </c>
      <c r="B12" s="342" t="s">
        <v>1192</v>
      </c>
      <c r="C12" s="342" t="s">
        <v>1411</v>
      </c>
      <c r="D12" s="343" t="s">
        <v>1412</v>
      </c>
      <c r="E12" s="347" t="s">
        <v>1494</v>
      </c>
      <c r="F12" s="348"/>
      <c r="G12" s="348"/>
      <c r="H12" s="348"/>
    </row>
    <row r="13" spans="1:8" ht="30" x14ac:dyDescent="0.25">
      <c r="A13" s="343">
        <v>10</v>
      </c>
      <c r="B13" s="342" t="s">
        <v>1192</v>
      </c>
      <c r="C13" s="342" t="s">
        <v>1411</v>
      </c>
      <c r="D13" s="343" t="s">
        <v>1412</v>
      </c>
      <c r="E13" s="347" t="s">
        <v>1145</v>
      </c>
      <c r="F13" s="348"/>
      <c r="G13" s="348"/>
      <c r="H13" s="348"/>
    </row>
    <row r="14" spans="1:8" ht="30" x14ac:dyDescent="0.25">
      <c r="A14" s="341">
        <v>11</v>
      </c>
      <c r="B14" s="342" t="s">
        <v>1211</v>
      </c>
      <c r="C14" s="342" t="s">
        <v>1413</v>
      </c>
      <c r="D14" s="343" t="s">
        <v>1414</v>
      </c>
      <c r="E14" s="347" t="s">
        <v>1217</v>
      </c>
      <c r="F14" s="348"/>
      <c r="G14" s="348"/>
      <c r="H14" s="348"/>
    </row>
    <row r="15" spans="1:8" ht="30" x14ac:dyDescent="0.25">
      <c r="A15" s="343">
        <v>12</v>
      </c>
      <c r="B15" s="342" t="s">
        <v>1211</v>
      </c>
      <c r="C15" s="342" t="s">
        <v>1415</v>
      </c>
      <c r="D15" s="343" t="s">
        <v>1416</v>
      </c>
      <c r="E15" s="347" t="s">
        <v>1217</v>
      </c>
      <c r="F15" s="348"/>
      <c r="G15" s="348"/>
      <c r="H15" s="348"/>
    </row>
    <row r="16" spans="1:8" ht="45" x14ac:dyDescent="0.25">
      <c r="A16" s="341">
        <v>13</v>
      </c>
      <c r="B16" s="342" t="s">
        <v>1211</v>
      </c>
      <c r="C16" s="342" t="s">
        <v>1417</v>
      </c>
      <c r="D16" s="343" t="s">
        <v>1418</v>
      </c>
      <c r="E16" s="347" t="s">
        <v>1217</v>
      </c>
      <c r="F16" s="348"/>
      <c r="G16" s="348"/>
      <c r="H16" s="348"/>
    </row>
    <row r="17" spans="1:8" ht="31.5" customHeight="1" x14ac:dyDescent="0.25">
      <c r="A17" s="343">
        <v>14</v>
      </c>
      <c r="B17" s="342" t="s">
        <v>1211</v>
      </c>
      <c r="C17" s="342" t="s">
        <v>1419</v>
      </c>
      <c r="D17" s="343" t="s">
        <v>1420</v>
      </c>
      <c r="E17" s="347" t="s">
        <v>1217</v>
      </c>
      <c r="F17" s="348"/>
      <c r="G17" s="348"/>
      <c r="H17" s="348"/>
    </row>
    <row r="18" spans="1:8" ht="30" x14ac:dyDescent="0.25">
      <c r="A18" s="341">
        <v>15</v>
      </c>
      <c r="B18" s="342" t="s">
        <v>1211</v>
      </c>
      <c r="C18" s="342" t="s">
        <v>1421</v>
      </c>
      <c r="D18" s="343" t="s">
        <v>1422</v>
      </c>
      <c r="E18" s="347" t="s">
        <v>1217</v>
      </c>
      <c r="F18" s="348"/>
      <c r="G18" s="348"/>
      <c r="H18" s="348"/>
    </row>
    <row r="19" spans="1:8" ht="30" x14ac:dyDescent="0.25">
      <c r="A19" s="343">
        <v>16</v>
      </c>
      <c r="B19" s="342" t="s">
        <v>1211</v>
      </c>
      <c r="C19" s="342" t="s">
        <v>1423</v>
      </c>
      <c r="D19" s="343" t="s">
        <v>1424</v>
      </c>
      <c r="E19" s="347" t="s">
        <v>1217</v>
      </c>
      <c r="F19" s="348"/>
      <c r="G19" s="348"/>
      <c r="H19" s="348"/>
    </row>
    <row r="20" spans="1:8" ht="30" customHeight="1" x14ac:dyDescent="0.25">
      <c r="A20" s="341">
        <v>17</v>
      </c>
      <c r="B20" s="342" t="s">
        <v>1211</v>
      </c>
      <c r="C20" s="342" t="s">
        <v>1425</v>
      </c>
      <c r="D20" s="343" t="s">
        <v>1426</v>
      </c>
      <c r="E20" s="347" t="s">
        <v>1172</v>
      </c>
      <c r="F20" s="348"/>
      <c r="G20" s="348"/>
      <c r="H20" s="348"/>
    </row>
    <row r="21" spans="1:8" ht="31.5" customHeight="1" x14ac:dyDescent="0.25">
      <c r="A21" s="343">
        <v>18</v>
      </c>
      <c r="B21" s="342" t="s">
        <v>1211</v>
      </c>
      <c r="C21" s="342" t="s">
        <v>1427</v>
      </c>
      <c r="D21" s="343" t="s">
        <v>1428</v>
      </c>
      <c r="E21" s="347" t="s">
        <v>1172</v>
      </c>
      <c r="F21" s="348"/>
      <c r="G21" s="348"/>
      <c r="H21" s="348"/>
    </row>
    <row r="22" spans="1:8" ht="45" x14ac:dyDescent="0.25">
      <c r="A22" s="341">
        <v>19</v>
      </c>
      <c r="B22" s="342" t="s">
        <v>1214</v>
      </c>
      <c r="C22" s="342" t="s">
        <v>1225</v>
      </c>
      <c r="D22" s="343" t="s">
        <v>1226</v>
      </c>
      <c r="E22" s="347" t="s">
        <v>1494</v>
      </c>
      <c r="F22" s="348"/>
      <c r="G22" s="348"/>
      <c r="H22" s="348"/>
    </row>
    <row r="23" spans="1:8" ht="45" x14ac:dyDescent="0.25">
      <c r="A23" s="343">
        <v>20</v>
      </c>
      <c r="B23" s="342" t="s">
        <v>1214</v>
      </c>
      <c r="C23" s="342" t="s">
        <v>1225</v>
      </c>
      <c r="D23" s="343" t="s">
        <v>1228</v>
      </c>
      <c r="E23" s="347" t="s">
        <v>1494</v>
      </c>
      <c r="F23" s="348"/>
      <c r="G23" s="348"/>
      <c r="H23" s="348"/>
    </row>
    <row r="24" spans="1:8" ht="30" x14ac:dyDescent="0.25">
      <c r="A24" s="341">
        <v>21</v>
      </c>
      <c r="B24" s="342" t="s">
        <v>1214</v>
      </c>
      <c r="C24" s="342" t="s">
        <v>1429</v>
      </c>
      <c r="D24" s="343" t="s">
        <v>1430</v>
      </c>
      <c r="E24" s="343" t="s">
        <v>1189</v>
      </c>
      <c r="F24" s="348"/>
      <c r="G24" s="348"/>
      <c r="H24" s="348"/>
    </row>
    <row r="25" spans="1:8" ht="30" x14ac:dyDescent="0.25">
      <c r="A25" s="343">
        <v>22</v>
      </c>
      <c r="B25" s="342" t="s">
        <v>1249</v>
      </c>
      <c r="C25" s="342" t="s">
        <v>1431</v>
      </c>
      <c r="D25" s="343" t="s">
        <v>1432</v>
      </c>
      <c r="E25" s="343" t="s">
        <v>1172</v>
      </c>
      <c r="F25" s="348"/>
      <c r="G25" s="348"/>
      <c r="H25" s="348"/>
    </row>
    <row r="26" spans="1:8" ht="30.75" customHeight="1" x14ac:dyDescent="0.25">
      <c r="A26" s="341">
        <v>23</v>
      </c>
      <c r="B26" s="342" t="s">
        <v>1249</v>
      </c>
      <c r="C26" s="342" t="s">
        <v>1433</v>
      </c>
      <c r="D26" s="343" t="s">
        <v>1434</v>
      </c>
      <c r="E26" s="343" t="s">
        <v>1172</v>
      </c>
      <c r="F26" s="348"/>
      <c r="G26" s="348"/>
      <c r="H26" s="348"/>
    </row>
    <row r="27" spans="1:8" ht="30.75" customHeight="1" x14ac:dyDescent="0.25">
      <c r="A27" s="343">
        <v>24</v>
      </c>
      <c r="B27" s="342" t="s">
        <v>1249</v>
      </c>
      <c r="C27" s="342" t="s">
        <v>1435</v>
      </c>
      <c r="D27" s="343" t="s">
        <v>1436</v>
      </c>
      <c r="E27" s="343" t="s">
        <v>1189</v>
      </c>
      <c r="F27" s="348"/>
      <c r="G27" s="348"/>
      <c r="H27" s="348"/>
    </row>
    <row r="28" spans="1:8" ht="30" x14ac:dyDescent="0.25">
      <c r="A28" s="341">
        <v>25</v>
      </c>
      <c r="B28" s="342" t="s">
        <v>1255</v>
      </c>
      <c r="C28" s="342" t="s">
        <v>1437</v>
      </c>
      <c r="D28" s="343" t="s">
        <v>1438</v>
      </c>
      <c r="E28" s="343" t="s">
        <v>1154</v>
      </c>
      <c r="F28" s="348"/>
      <c r="G28" s="348"/>
      <c r="H28" s="348"/>
    </row>
    <row r="29" spans="1:8" ht="30" x14ac:dyDescent="0.25">
      <c r="A29" s="343">
        <v>26</v>
      </c>
      <c r="B29" s="342" t="s">
        <v>1255</v>
      </c>
      <c r="C29" s="342" t="s">
        <v>1437</v>
      </c>
      <c r="D29" s="343" t="s">
        <v>1438</v>
      </c>
      <c r="E29" s="343" t="s">
        <v>1217</v>
      </c>
      <c r="F29" s="348"/>
      <c r="G29" s="348"/>
      <c r="H29" s="348"/>
    </row>
    <row r="30" spans="1:8" x14ac:dyDescent="0.25">
      <c r="A30" s="341">
        <v>27</v>
      </c>
      <c r="B30" s="342" t="s">
        <v>1260</v>
      </c>
      <c r="C30" s="342" t="s">
        <v>1261</v>
      </c>
      <c r="D30" s="343" t="s">
        <v>1262</v>
      </c>
      <c r="E30" s="343" t="s">
        <v>1217</v>
      </c>
      <c r="F30" s="348"/>
      <c r="G30" s="348"/>
      <c r="H30" s="348"/>
    </row>
    <row r="31" spans="1:8" ht="90" x14ac:dyDescent="0.25">
      <c r="A31" s="343">
        <v>28</v>
      </c>
      <c r="B31" s="342" t="s">
        <v>1260</v>
      </c>
      <c r="C31" s="342" t="s">
        <v>1263</v>
      </c>
      <c r="D31" s="343" t="s">
        <v>1264</v>
      </c>
      <c r="E31" s="343" t="s">
        <v>1217</v>
      </c>
      <c r="F31" s="348"/>
      <c r="G31" s="348"/>
      <c r="H31" s="348"/>
    </row>
    <row r="32" spans="1:8" ht="105.75" customHeight="1" x14ac:dyDescent="0.25">
      <c r="A32" s="341">
        <v>29</v>
      </c>
      <c r="B32" s="342" t="s">
        <v>1260</v>
      </c>
      <c r="C32" s="342" t="s">
        <v>1265</v>
      </c>
      <c r="D32" s="343" t="s">
        <v>1266</v>
      </c>
      <c r="E32" s="343" t="s">
        <v>1217</v>
      </c>
      <c r="F32" s="348"/>
      <c r="G32" s="348"/>
      <c r="H32" s="348"/>
    </row>
    <row r="33" spans="1:8" ht="33.75" customHeight="1" x14ac:dyDescent="0.25">
      <c r="A33" s="343">
        <v>30</v>
      </c>
      <c r="B33" s="342" t="s">
        <v>1260</v>
      </c>
      <c r="C33" s="342" t="s">
        <v>1267</v>
      </c>
      <c r="D33" s="343" t="s">
        <v>1268</v>
      </c>
      <c r="E33" s="343" t="s">
        <v>1217</v>
      </c>
      <c r="F33" s="348"/>
      <c r="G33" s="348"/>
      <c r="H33" s="348"/>
    </row>
    <row r="34" spans="1:8" ht="30" x14ac:dyDescent="0.25">
      <c r="A34" s="341">
        <v>31</v>
      </c>
      <c r="B34" s="342" t="s">
        <v>1260</v>
      </c>
      <c r="C34" s="342" t="s">
        <v>1269</v>
      </c>
      <c r="D34" s="343" t="s">
        <v>1270</v>
      </c>
      <c r="E34" s="343" t="s">
        <v>1217</v>
      </c>
      <c r="F34" s="348"/>
      <c r="G34" s="348"/>
      <c r="H34" s="348"/>
    </row>
    <row r="35" spans="1:8" ht="30" x14ac:dyDescent="0.25">
      <c r="A35" s="343">
        <v>32</v>
      </c>
      <c r="B35" s="342" t="s">
        <v>1260</v>
      </c>
      <c r="C35" s="342" t="s">
        <v>1271</v>
      </c>
      <c r="D35" s="343" t="s">
        <v>1272</v>
      </c>
      <c r="E35" s="343" t="s">
        <v>1217</v>
      </c>
      <c r="F35" s="348"/>
      <c r="G35" s="348"/>
      <c r="H35" s="348"/>
    </row>
    <row r="36" spans="1:8" ht="30.75" customHeight="1" x14ac:dyDescent="0.25">
      <c r="A36" s="341">
        <v>33</v>
      </c>
      <c r="B36" s="342" t="s">
        <v>1260</v>
      </c>
      <c r="C36" s="342" t="s">
        <v>1273</v>
      </c>
      <c r="D36" s="343" t="s">
        <v>1274</v>
      </c>
      <c r="E36" s="343" t="s">
        <v>1217</v>
      </c>
      <c r="F36" s="348"/>
      <c r="G36" s="348"/>
      <c r="H36" s="348"/>
    </row>
    <row r="37" spans="1:8" ht="30" x14ac:dyDescent="0.25">
      <c r="A37" s="343">
        <v>34</v>
      </c>
      <c r="B37" s="342" t="s">
        <v>1260</v>
      </c>
      <c r="C37" s="342" t="s">
        <v>1279</v>
      </c>
      <c r="D37" s="343" t="s">
        <v>1280</v>
      </c>
      <c r="E37" s="343" t="s">
        <v>1172</v>
      </c>
      <c r="F37" s="348"/>
      <c r="G37" s="348"/>
      <c r="H37" s="348"/>
    </row>
    <row r="38" spans="1:8" ht="36" customHeight="1" x14ac:dyDescent="0.25">
      <c r="A38" s="341">
        <v>35</v>
      </c>
      <c r="B38" s="342" t="s">
        <v>1260</v>
      </c>
      <c r="C38" s="342" t="s">
        <v>1281</v>
      </c>
      <c r="D38" s="343" t="s">
        <v>1282</v>
      </c>
      <c r="E38" s="343" t="s">
        <v>1172</v>
      </c>
      <c r="F38" s="348"/>
      <c r="G38" s="348"/>
      <c r="H38" s="348"/>
    </row>
    <row r="39" spans="1:8" ht="30" x14ac:dyDescent="0.25">
      <c r="A39" s="343">
        <v>36</v>
      </c>
      <c r="B39" s="342" t="s">
        <v>1313</v>
      </c>
      <c r="C39" s="342" t="s">
        <v>1439</v>
      </c>
      <c r="D39" s="343" t="s">
        <v>1440</v>
      </c>
      <c r="E39" s="347" t="s">
        <v>1172</v>
      </c>
      <c r="F39" s="348"/>
      <c r="G39" s="348"/>
      <c r="H39" s="348"/>
    </row>
    <row r="40" spans="1:8" ht="32.25" customHeight="1" x14ac:dyDescent="0.25">
      <c r="A40" s="341">
        <v>37</v>
      </c>
      <c r="B40" s="342" t="s">
        <v>1313</v>
      </c>
      <c r="C40" s="342" t="s">
        <v>1441</v>
      </c>
      <c r="D40" s="343" t="s">
        <v>1442</v>
      </c>
      <c r="E40" s="347" t="s">
        <v>1172</v>
      </c>
      <c r="F40" s="348"/>
      <c r="G40" s="348"/>
      <c r="H40" s="348"/>
    </row>
    <row r="41" spans="1:8" ht="45" x14ac:dyDescent="0.25">
      <c r="A41" s="343">
        <v>38</v>
      </c>
      <c r="B41" s="342" t="s">
        <v>1319</v>
      </c>
      <c r="C41" s="342" t="s">
        <v>1443</v>
      </c>
      <c r="D41" s="343" t="s">
        <v>1444</v>
      </c>
      <c r="E41" s="347" t="s">
        <v>1154</v>
      </c>
      <c r="F41" s="348"/>
      <c r="G41" s="348"/>
      <c r="H41" s="348"/>
    </row>
    <row r="42" spans="1:8" ht="31.5" customHeight="1" x14ac:dyDescent="0.25">
      <c r="A42" s="341">
        <v>39</v>
      </c>
      <c r="B42" s="342" t="s">
        <v>1319</v>
      </c>
      <c r="C42" s="342" t="s">
        <v>1443</v>
      </c>
      <c r="D42" s="343" t="s">
        <v>1444</v>
      </c>
      <c r="E42" s="347" t="s">
        <v>1217</v>
      </c>
      <c r="F42" s="348"/>
      <c r="G42" s="348"/>
      <c r="H42" s="348"/>
    </row>
    <row r="43" spans="1:8" ht="30" x14ac:dyDescent="0.25">
      <c r="A43" s="343">
        <v>40</v>
      </c>
      <c r="B43" s="342" t="s">
        <v>1324</v>
      </c>
      <c r="C43" s="342" t="s">
        <v>1325</v>
      </c>
      <c r="D43" s="343" t="s">
        <v>1326</v>
      </c>
      <c r="E43" s="347" t="s">
        <v>1217</v>
      </c>
      <c r="F43" s="348"/>
      <c r="G43" s="348"/>
      <c r="H43" s="348"/>
    </row>
    <row r="44" spans="1:8" ht="108.75" customHeight="1" x14ac:dyDescent="0.25">
      <c r="A44" s="341">
        <v>41</v>
      </c>
      <c r="B44" s="342" t="s">
        <v>1324</v>
      </c>
      <c r="C44" s="342" t="s">
        <v>1327</v>
      </c>
      <c r="D44" s="343" t="s">
        <v>1328</v>
      </c>
      <c r="E44" s="347" t="s">
        <v>1217</v>
      </c>
      <c r="F44" s="348"/>
      <c r="G44" s="348"/>
      <c r="H44" s="348"/>
    </row>
    <row r="45" spans="1:8" ht="31.5" customHeight="1" x14ac:dyDescent="0.25">
      <c r="A45" s="343">
        <v>42</v>
      </c>
      <c r="B45" s="342" t="s">
        <v>1324</v>
      </c>
      <c r="C45" s="342" t="s">
        <v>1329</v>
      </c>
      <c r="D45" s="343" t="s">
        <v>1330</v>
      </c>
      <c r="E45" s="347" t="s">
        <v>1217</v>
      </c>
      <c r="F45" s="348"/>
      <c r="G45" s="348"/>
      <c r="H45" s="348"/>
    </row>
    <row r="46" spans="1:8" ht="30" x14ac:dyDescent="0.25">
      <c r="A46" s="341">
        <v>43</v>
      </c>
      <c r="B46" s="342" t="s">
        <v>1324</v>
      </c>
      <c r="C46" s="342" t="s">
        <v>1331</v>
      </c>
      <c r="D46" s="343" t="s">
        <v>1332</v>
      </c>
      <c r="E46" s="347" t="s">
        <v>1217</v>
      </c>
      <c r="F46" s="348"/>
      <c r="G46" s="348"/>
      <c r="H46" s="348"/>
    </row>
    <row r="47" spans="1:8" ht="30" x14ac:dyDescent="0.25">
      <c r="A47" s="343">
        <v>44</v>
      </c>
      <c r="B47" s="342" t="s">
        <v>1324</v>
      </c>
      <c r="C47" s="342" t="s">
        <v>1333</v>
      </c>
      <c r="D47" s="343" t="s">
        <v>1334</v>
      </c>
      <c r="E47" s="347" t="s">
        <v>1217</v>
      </c>
      <c r="F47" s="348"/>
      <c r="G47" s="348"/>
      <c r="H47" s="348"/>
    </row>
    <row r="48" spans="1:8" ht="45" x14ac:dyDescent="0.25">
      <c r="A48" s="341">
        <v>45</v>
      </c>
      <c r="B48" s="342" t="s">
        <v>1324</v>
      </c>
      <c r="C48" s="342" t="s">
        <v>1335</v>
      </c>
      <c r="D48" s="343" t="s">
        <v>1336</v>
      </c>
      <c r="E48" s="347" t="s">
        <v>1217</v>
      </c>
      <c r="F48" s="348"/>
      <c r="G48" s="348"/>
      <c r="H48" s="348"/>
    </row>
    <row r="49" spans="1:8" ht="60" x14ac:dyDescent="0.25">
      <c r="A49" s="343">
        <v>46</v>
      </c>
      <c r="B49" s="342" t="s">
        <v>1324</v>
      </c>
      <c r="C49" s="342" t="s">
        <v>1337</v>
      </c>
      <c r="D49" s="343" t="s">
        <v>1338</v>
      </c>
      <c r="E49" s="347" t="s">
        <v>1217</v>
      </c>
      <c r="F49" s="348"/>
      <c r="G49" s="348"/>
      <c r="H49" s="348"/>
    </row>
    <row r="50" spans="1:8" ht="30" x14ac:dyDescent="0.25">
      <c r="A50" s="341">
        <v>47</v>
      </c>
      <c r="B50" s="342" t="s">
        <v>1324</v>
      </c>
      <c r="C50" s="342" t="s">
        <v>1343</v>
      </c>
      <c r="D50" s="343" t="s">
        <v>1344</v>
      </c>
      <c r="E50" s="347" t="s">
        <v>1172</v>
      </c>
      <c r="F50" s="348"/>
      <c r="G50" s="348"/>
      <c r="H50" s="348"/>
    </row>
    <row r="51" spans="1:8" ht="30" x14ac:dyDescent="0.25">
      <c r="A51" s="343">
        <v>48</v>
      </c>
      <c r="B51" s="342" t="s">
        <v>1324</v>
      </c>
      <c r="C51" s="342" t="s">
        <v>1345</v>
      </c>
      <c r="D51" s="343" t="s">
        <v>1346</v>
      </c>
      <c r="E51" s="347" t="s">
        <v>1172</v>
      </c>
      <c r="F51" s="348"/>
      <c r="G51" s="348"/>
      <c r="H51" s="348"/>
    </row>
    <row r="52" spans="1:8" x14ac:dyDescent="0.25">
      <c r="A52" s="341">
        <v>49</v>
      </c>
      <c r="B52" s="342" t="s">
        <v>1352</v>
      </c>
      <c r="C52" s="342" t="s">
        <v>1445</v>
      </c>
      <c r="D52" s="343" t="s">
        <v>1446</v>
      </c>
      <c r="E52" s="347" t="s">
        <v>1172</v>
      </c>
      <c r="F52" s="348"/>
      <c r="G52" s="348"/>
      <c r="H52" s="348"/>
    </row>
    <row r="53" spans="1:8" ht="30" x14ac:dyDescent="0.25">
      <c r="A53" s="343">
        <v>50</v>
      </c>
      <c r="B53" s="342" t="s">
        <v>1352</v>
      </c>
      <c r="C53" s="342" t="s">
        <v>1447</v>
      </c>
      <c r="D53" s="343" t="s">
        <v>1448</v>
      </c>
      <c r="E53" s="347" t="s">
        <v>1172</v>
      </c>
      <c r="F53" s="348"/>
      <c r="G53" s="348"/>
      <c r="H53" s="348"/>
    </row>
    <row r="54" spans="1:8" x14ac:dyDescent="0.25">
      <c r="A54" s="341">
        <v>51</v>
      </c>
      <c r="B54" s="342" t="s">
        <v>1355</v>
      </c>
      <c r="C54" s="342" t="s">
        <v>1372</v>
      </c>
      <c r="D54" s="343" t="s">
        <v>1373</v>
      </c>
      <c r="E54" s="347" t="s">
        <v>1154</v>
      </c>
      <c r="F54" s="348"/>
      <c r="G54" s="348"/>
      <c r="H54" s="348"/>
    </row>
    <row r="55" spans="1:8" ht="30" x14ac:dyDescent="0.25">
      <c r="A55" s="343">
        <v>52</v>
      </c>
      <c r="B55" s="342" t="s">
        <v>1355</v>
      </c>
      <c r="C55" s="342" t="s">
        <v>1376</v>
      </c>
      <c r="D55" s="343" t="s">
        <v>1377</v>
      </c>
      <c r="E55" s="347" t="s">
        <v>1154</v>
      </c>
      <c r="F55" s="348"/>
      <c r="G55" s="348"/>
      <c r="H55" s="348"/>
    </row>
    <row r="56" spans="1:8" ht="30" x14ac:dyDescent="0.25">
      <c r="A56" s="341">
        <v>53</v>
      </c>
      <c r="B56" s="342" t="s">
        <v>1355</v>
      </c>
      <c r="C56" s="342" t="s">
        <v>1378</v>
      </c>
      <c r="D56" s="343" t="s">
        <v>1379</v>
      </c>
      <c r="E56" s="347" t="s">
        <v>1172</v>
      </c>
      <c r="F56" s="348"/>
      <c r="G56" s="348"/>
      <c r="H56" s="348"/>
    </row>
    <row r="57" spans="1:8" ht="45" x14ac:dyDescent="0.25">
      <c r="A57" s="343">
        <v>54</v>
      </c>
      <c r="B57" s="342" t="s">
        <v>1395</v>
      </c>
      <c r="C57" s="342" t="s">
        <v>1449</v>
      </c>
      <c r="D57" s="343" t="s">
        <v>1450</v>
      </c>
      <c r="E57" s="347" t="s">
        <v>1172</v>
      </c>
      <c r="F57" s="348"/>
      <c r="G57" s="348"/>
      <c r="H57" s="348"/>
    </row>
    <row r="58" spans="1:8" x14ac:dyDescent="0.25">
      <c r="A58" s="341">
        <v>55</v>
      </c>
      <c r="B58" s="342" t="s">
        <v>1395</v>
      </c>
      <c r="C58" s="342" t="s">
        <v>1396</v>
      </c>
      <c r="D58" s="343" t="s">
        <v>1397</v>
      </c>
      <c r="E58" s="347" t="s">
        <v>1172</v>
      </c>
      <c r="F58" s="348"/>
      <c r="G58" s="348"/>
      <c r="H58" s="348"/>
    </row>
    <row r="59" spans="1:8" ht="30" x14ac:dyDescent="0.25">
      <c r="A59" s="343">
        <v>56</v>
      </c>
      <c r="B59" s="342" t="s">
        <v>1400</v>
      </c>
      <c r="C59" s="342" t="s">
        <v>1451</v>
      </c>
      <c r="D59" s="343" t="s">
        <v>1452</v>
      </c>
      <c r="E59" s="347" t="s">
        <v>1172</v>
      </c>
      <c r="F59" s="348"/>
      <c r="G59" s="348"/>
      <c r="H59" s="348"/>
    </row>
    <row r="60" spans="1:8" x14ac:dyDescent="0.25">
      <c r="A60" s="341">
        <v>57</v>
      </c>
      <c r="B60" s="342" t="s">
        <v>1400</v>
      </c>
      <c r="C60" s="342" t="s">
        <v>1453</v>
      </c>
      <c r="D60" s="343" t="s">
        <v>1454</v>
      </c>
      <c r="E60" s="347" t="s">
        <v>1172</v>
      </c>
      <c r="F60" s="348"/>
      <c r="G60" s="348"/>
      <c r="H60" s="348"/>
    </row>
  </sheetData>
  <mergeCells count="1">
    <mergeCell ref="A1:H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04F95B-E0FE-4C42-BD9B-C640202A0B05}">
  <dimension ref="A1:H60"/>
  <sheetViews>
    <sheetView workbookViewId="0">
      <selection activeCell="F4" sqref="F4"/>
    </sheetView>
  </sheetViews>
  <sheetFormatPr defaultRowHeight="15" x14ac:dyDescent="0.25"/>
  <cols>
    <col min="1" max="1" width="5.42578125" style="355" customWidth="1"/>
    <col min="2" max="2" width="34.28515625" style="354" customWidth="1"/>
    <col min="3" max="3" width="74.7109375" style="354" customWidth="1"/>
    <col min="4" max="4" width="14.140625" style="355" bestFit="1" customWidth="1"/>
    <col min="5" max="5" width="22.42578125" style="356" customWidth="1"/>
    <col min="6" max="6" width="42" customWidth="1"/>
    <col min="7" max="7" width="38.5703125" customWidth="1"/>
    <col min="8" max="8" width="36.28515625" customWidth="1"/>
  </cols>
  <sheetData>
    <row r="1" spans="1:8" s="336" customFormat="1" ht="28.5" customHeight="1" x14ac:dyDescent="0.45">
      <c r="A1" s="521" t="s">
        <v>1503</v>
      </c>
      <c r="B1" s="521"/>
      <c r="C1" s="521"/>
      <c r="D1" s="521"/>
      <c r="E1" s="521"/>
      <c r="F1" s="521"/>
      <c r="G1" s="521"/>
      <c r="H1" s="521"/>
    </row>
    <row r="3" spans="1:8" s="340" customFormat="1" ht="80.25" customHeight="1" thickBot="1" x14ac:dyDescent="0.3">
      <c r="A3" s="338" t="s">
        <v>1408</v>
      </c>
      <c r="B3" s="338" t="s">
        <v>1135</v>
      </c>
      <c r="C3" s="338" t="s">
        <v>1136</v>
      </c>
      <c r="D3" s="339" t="s">
        <v>1137</v>
      </c>
      <c r="E3" s="338" t="s">
        <v>1138</v>
      </c>
      <c r="F3" s="338" t="s">
        <v>1670</v>
      </c>
      <c r="G3" s="338" t="s">
        <v>1140</v>
      </c>
      <c r="H3" s="338" t="s">
        <v>1141</v>
      </c>
    </row>
    <row r="4" spans="1:8" ht="28.5" customHeight="1" x14ac:dyDescent="0.25">
      <c r="A4" s="341">
        <v>1</v>
      </c>
      <c r="B4" s="357" t="s">
        <v>1175</v>
      </c>
      <c r="C4" s="357" t="s">
        <v>1459</v>
      </c>
      <c r="D4" s="341" t="s">
        <v>1460</v>
      </c>
      <c r="E4" s="345" t="s">
        <v>1504</v>
      </c>
      <c r="F4" s="346"/>
      <c r="G4" s="346"/>
      <c r="H4" s="346"/>
    </row>
    <row r="5" spans="1:8" ht="28.5" customHeight="1" x14ac:dyDescent="0.25">
      <c r="A5" s="343">
        <v>2</v>
      </c>
      <c r="B5" s="342" t="s">
        <v>1175</v>
      </c>
      <c r="C5" s="342" t="s">
        <v>1459</v>
      </c>
      <c r="D5" s="343" t="s">
        <v>1461</v>
      </c>
      <c r="E5" s="349" t="s">
        <v>1504</v>
      </c>
      <c r="F5" s="348"/>
      <c r="G5" s="348"/>
      <c r="H5" s="348"/>
    </row>
    <row r="6" spans="1:8" ht="28.5" customHeight="1" x14ac:dyDescent="0.25">
      <c r="A6" s="341">
        <v>3</v>
      </c>
      <c r="B6" s="342" t="s">
        <v>1192</v>
      </c>
      <c r="C6" s="342" t="s">
        <v>1409</v>
      </c>
      <c r="D6" s="343" t="s">
        <v>1410</v>
      </c>
      <c r="E6" s="347" t="s">
        <v>1172</v>
      </c>
      <c r="F6" s="348"/>
      <c r="G6" s="348"/>
      <c r="H6" s="348"/>
    </row>
    <row r="7" spans="1:8" ht="28.5" customHeight="1" x14ac:dyDescent="0.25">
      <c r="A7" s="343">
        <v>4</v>
      </c>
      <c r="B7" s="342" t="s">
        <v>1192</v>
      </c>
      <c r="C7" s="342" t="s">
        <v>1411</v>
      </c>
      <c r="D7" s="343" t="s">
        <v>1412</v>
      </c>
      <c r="E7" s="347" t="s">
        <v>1145</v>
      </c>
      <c r="F7" s="348"/>
      <c r="G7" s="348"/>
      <c r="H7" s="348"/>
    </row>
    <row r="8" spans="1:8" ht="28.5" customHeight="1" x14ac:dyDescent="0.25">
      <c r="A8" s="341">
        <v>5</v>
      </c>
      <c r="B8" s="342" t="s">
        <v>1192</v>
      </c>
      <c r="C8" s="342" t="s">
        <v>1505</v>
      </c>
      <c r="D8" s="343" t="s">
        <v>1506</v>
      </c>
      <c r="E8" s="347" t="s">
        <v>1504</v>
      </c>
      <c r="F8" s="348"/>
      <c r="G8" s="348"/>
      <c r="H8" s="348"/>
    </row>
    <row r="9" spans="1:8" ht="28.5" customHeight="1" x14ac:dyDescent="0.25">
      <c r="A9" s="343">
        <v>6</v>
      </c>
      <c r="B9" s="342" t="s">
        <v>1211</v>
      </c>
      <c r="C9" s="342" t="s">
        <v>1413</v>
      </c>
      <c r="D9" s="343" t="s">
        <v>1414</v>
      </c>
      <c r="E9" s="347" t="s">
        <v>1217</v>
      </c>
      <c r="F9" s="348"/>
      <c r="G9" s="348"/>
      <c r="H9" s="348"/>
    </row>
    <row r="10" spans="1:8" ht="28.5" customHeight="1" x14ac:dyDescent="0.25">
      <c r="A10" s="341">
        <v>7</v>
      </c>
      <c r="B10" s="342" t="s">
        <v>1211</v>
      </c>
      <c r="C10" s="342" t="s">
        <v>1415</v>
      </c>
      <c r="D10" s="343" t="s">
        <v>1416</v>
      </c>
      <c r="E10" s="347" t="s">
        <v>1217</v>
      </c>
      <c r="F10" s="348"/>
      <c r="G10" s="348"/>
      <c r="H10" s="348"/>
    </row>
    <row r="11" spans="1:8" ht="28.5" customHeight="1" x14ac:dyDescent="0.25">
      <c r="A11" s="343">
        <v>8</v>
      </c>
      <c r="B11" s="342" t="s">
        <v>1211</v>
      </c>
      <c r="C11" s="342" t="s">
        <v>1417</v>
      </c>
      <c r="D11" s="343" t="s">
        <v>1418</v>
      </c>
      <c r="E11" s="347" t="s">
        <v>1217</v>
      </c>
      <c r="F11" s="348"/>
      <c r="G11" s="348"/>
      <c r="H11" s="348"/>
    </row>
    <row r="12" spans="1:8" ht="28.5" customHeight="1" x14ac:dyDescent="0.25">
      <c r="A12" s="341">
        <v>9</v>
      </c>
      <c r="B12" s="342" t="s">
        <v>1211</v>
      </c>
      <c r="C12" s="342" t="s">
        <v>1419</v>
      </c>
      <c r="D12" s="343" t="s">
        <v>1420</v>
      </c>
      <c r="E12" s="347" t="s">
        <v>1217</v>
      </c>
      <c r="F12" s="348"/>
      <c r="G12" s="348"/>
      <c r="H12" s="348"/>
    </row>
    <row r="13" spans="1:8" ht="28.5" customHeight="1" x14ac:dyDescent="0.25">
      <c r="A13" s="343">
        <v>10</v>
      </c>
      <c r="B13" s="342" t="s">
        <v>1211</v>
      </c>
      <c r="C13" s="342" t="s">
        <v>1421</v>
      </c>
      <c r="D13" s="343" t="s">
        <v>1422</v>
      </c>
      <c r="E13" s="347" t="s">
        <v>1217</v>
      </c>
      <c r="F13" s="348"/>
      <c r="G13" s="348"/>
      <c r="H13" s="348"/>
    </row>
    <row r="14" spans="1:8" ht="28.5" customHeight="1" x14ac:dyDescent="0.25">
      <c r="A14" s="341">
        <v>11</v>
      </c>
      <c r="B14" s="342" t="s">
        <v>1211</v>
      </c>
      <c r="C14" s="342" t="s">
        <v>1423</v>
      </c>
      <c r="D14" s="343" t="s">
        <v>1424</v>
      </c>
      <c r="E14" s="347" t="s">
        <v>1217</v>
      </c>
      <c r="F14" s="348"/>
      <c r="G14" s="348"/>
      <c r="H14" s="348"/>
    </row>
    <row r="15" spans="1:8" ht="28.5" customHeight="1" x14ac:dyDescent="0.25">
      <c r="A15" s="343">
        <v>12</v>
      </c>
      <c r="B15" s="342" t="s">
        <v>1211</v>
      </c>
      <c r="C15" s="342" t="s">
        <v>1425</v>
      </c>
      <c r="D15" s="343" t="s">
        <v>1426</v>
      </c>
      <c r="E15" s="347" t="s">
        <v>1172</v>
      </c>
      <c r="F15" s="348"/>
      <c r="G15" s="348"/>
      <c r="H15" s="348"/>
    </row>
    <row r="16" spans="1:8" ht="28.5" customHeight="1" x14ac:dyDescent="0.25">
      <c r="A16" s="341">
        <v>13</v>
      </c>
      <c r="B16" s="342" t="s">
        <v>1211</v>
      </c>
      <c r="C16" s="342" t="s">
        <v>1427</v>
      </c>
      <c r="D16" s="343" t="s">
        <v>1428</v>
      </c>
      <c r="E16" s="347" t="s">
        <v>1172</v>
      </c>
      <c r="F16" s="348"/>
      <c r="G16" s="348"/>
      <c r="H16" s="348"/>
    </row>
    <row r="17" spans="1:8" ht="28.5" customHeight="1" x14ac:dyDescent="0.25">
      <c r="A17" s="343">
        <v>14</v>
      </c>
      <c r="B17" s="342" t="s">
        <v>1214</v>
      </c>
      <c r="C17" s="342" t="s">
        <v>1225</v>
      </c>
      <c r="D17" s="343" t="s">
        <v>1226</v>
      </c>
      <c r="E17" s="347" t="s">
        <v>1504</v>
      </c>
      <c r="F17" s="348"/>
      <c r="G17" s="348"/>
      <c r="H17" s="348"/>
    </row>
    <row r="18" spans="1:8" ht="28.5" customHeight="1" x14ac:dyDescent="0.25">
      <c r="A18" s="341">
        <v>15</v>
      </c>
      <c r="B18" s="342" t="s">
        <v>1214</v>
      </c>
      <c r="C18" s="342" t="s">
        <v>1225</v>
      </c>
      <c r="D18" s="343" t="s">
        <v>1228</v>
      </c>
      <c r="E18" s="347" t="s">
        <v>1504</v>
      </c>
      <c r="F18" s="348"/>
      <c r="G18" s="348"/>
      <c r="H18" s="348"/>
    </row>
    <row r="19" spans="1:8" ht="28.5" customHeight="1" x14ac:dyDescent="0.25">
      <c r="A19" s="343">
        <v>16</v>
      </c>
      <c r="B19" s="342" t="s">
        <v>1214</v>
      </c>
      <c r="C19" s="342" t="s">
        <v>1429</v>
      </c>
      <c r="D19" s="343" t="s">
        <v>1430</v>
      </c>
      <c r="E19" s="343" t="s">
        <v>1189</v>
      </c>
      <c r="F19" s="348"/>
      <c r="G19" s="348"/>
      <c r="H19" s="348"/>
    </row>
    <row r="20" spans="1:8" ht="28.5" customHeight="1" x14ac:dyDescent="0.25">
      <c r="A20" s="341">
        <v>17</v>
      </c>
      <c r="B20" s="342" t="s">
        <v>1249</v>
      </c>
      <c r="C20" s="342" t="s">
        <v>1431</v>
      </c>
      <c r="D20" s="343" t="s">
        <v>1432</v>
      </c>
      <c r="E20" s="343" t="s">
        <v>1172</v>
      </c>
      <c r="F20" s="348"/>
      <c r="G20" s="348"/>
      <c r="H20" s="348"/>
    </row>
    <row r="21" spans="1:8" ht="28.5" customHeight="1" x14ac:dyDescent="0.25">
      <c r="A21" s="343">
        <v>18</v>
      </c>
      <c r="B21" s="342" t="s">
        <v>1249</v>
      </c>
      <c r="C21" s="342" t="s">
        <v>1433</v>
      </c>
      <c r="D21" s="343" t="s">
        <v>1434</v>
      </c>
      <c r="E21" s="343" t="s">
        <v>1172</v>
      </c>
      <c r="F21" s="348"/>
      <c r="G21" s="348"/>
      <c r="H21" s="348"/>
    </row>
    <row r="22" spans="1:8" ht="28.5" customHeight="1" x14ac:dyDescent="0.25">
      <c r="A22" s="341">
        <v>19</v>
      </c>
      <c r="B22" s="342" t="s">
        <v>1249</v>
      </c>
      <c r="C22" s="342" t="s">
        <v>1435</v>
      </c>
      <c r="D22" s="343" t="s">
        <v>1436</v>
      </c>
      <c r="E22" s="343" t="s">
        <v>1189</v>
      </c>
      <c r="F22" s="348"/>
      <c r="G22" s="348"/>
      <c r="H22" s="348"/>
    </row>
    <row r="23" spans="1:8" ht="28.5" customHeight="1" x14ac:dyDescent="0.25">
      <c r="A23" s="343">
        <v>20</v>
      </c>
      <c r="B23" s="342" t="s">
        <v>1255</v>
      </c>
      <c r="C23" s="342" t="s">
        <v>1437</v>
      </c>
      <c r="D23" s="343" t="s">
        <v>1438</v>
      </c>
      <c r="E23" s="343" t="s">
        <v>1154</v>
      </c>
      <c r="F23" s="348"/>
      <c r="G23" s="348"/>
      <c r="H23" s="348"/>
    </row>
    <row r="24" spans="1:8" ht="28.5" customHeight="1" x14ac:dyDescent="0.25">
      <c r="A24" s="341">
        <v>21</v>
      </c>
      <c r="B24" s="342" t="s">
        <v>1255</v>
      </c>
      <c r="C24" s="342" t="s">
        <v>1437</v>
      </c>
      <c r="D24" s="343" t="s">
        <v>1438</v>
      </c>
      <c r="E24" s="343" t="s">
        <v>1217</v>
      </c>
      <c r="F24" s="348"/>
      <c r="G24" s="348"/>
      <c r="H24" s="348"/>
    </row>
    <row r="25" spans="1:8" ht="28.5" customHeight="1" x14ac:dyDescent="0.25">
      <c r="A25" s="343">
        <v>22</v>
      </c>
      <c r="B25" s="342" t="s">
        <v>1260</v>
      </c>
      <c r="C25" s="342" t="s">
        <v>1261</v>
      </c>
      <c r="D25" s="343" t="s">
        <v>1262</v>
      </c>
      <c r="E25" s="343" t="s">
        <v>1217</v>
      </c>
      <c r="F25" s="348"/>
      <c r="G25" s="348"/>
      <c r="H25" s="348"/>
    </row>
    <row r="26" spans="1:8" ht="28.5" customHeight="1" x14ac:dyDescent="0.25">
      <c r="A26" s="341">
        <v>23</v>
      </c>
      <c r="B26" s="342" t="s">
        <v>1260</v>
      </c>
      <c r="C26" s="342" t="s">
        <v>1263</v>
      </c>
      <c r="D26" s="343" t="s">
        <v>1264</v>
      </c>
      <c r="E26" s="343" t="s">
        <v>1217</v>
      </c>
      <c r="F26" s="348"/>
      <c r="G26" s="348"/>
      <c r="H26" s="348"/>
    </row>
    <row r="27" spans="1:8" ht="28.5" customHeight="1" x14ac:dyDescent="0.25">
      <c r="A27" s="343">
        <v>24</v>
      </c>
      <c r="B27" s="342" t="s">
        <v>1260</v>
      </c>
      <c r="C27" s="342" t="s">
        <v>1265</v>
      </c>
      <c r="D27" s="343" t="s">
        <v>1266</v>
      </c>
      <c r="E27" s="343" t="s">
        <v>1217</v>
      </c>
      <c r="F27" s="348"/>
      <c r="G27" s="348"/>
      <c r="H27" s="348"/>
    </row>
    <row r="28" spans="1:8" ht="28.5" customHeight="1" x14ac:dyDescent="0.25">
      <c r="A28" s="341">
        <v>25</v>
      </c>
      <c r="B28" s="342" t="s">
        <v>1260</v>
      </c>
      <c r="C28" s="342" t="s">
        <v>1267</v>
      </c>
      <c r="D28" s="343" t="s">
        <v>1268</v>
      </c>
      <c r="E28" s="343" t="s">
        <v>1217</v>
      </c>
      <c r="F28" s="348"/>
      <c r="G28" s="348"/>
      <c r="H28" s="348"/>
    </row>
    <row r="29" spans="1:8" ht="28.5" customHeight="1" x14ac:dyDescent="0.25">
      <c r="A29" s="343">
        <v>26</v>
      </c>
      <c r="B29" s="342" t="s">
        <v>1260</v>
      </c>
      <c r="C29" s="342" t="s">
        <v>1269</v>
      </c>
      <c r="D29" s="343" t="s">
        <v>1270</v>
      </c>
      <c r="E29" s="343" t="s">
        <v>1217</v>
      </c>
      <c r="F29" s="348"/>
      <c r="G29" s="348"/>
      <c r="H29" s="348"/>
    </row>
    <row r="30" spans="1:8" ht="28.5" customHeight="1" x14ac:dyDescent="0.25">
      <c r="A30" s="341">
        <v>27</v>
      </c>
      <c r="B30" s="342" t="s">
        <v>1260</v>
      </c>
      <c r="C30" s="342" t="s">
        <v>1271</v>
      </c>
      <c r="D30" s="343" t="s">
        <v>1272</v>
      </c>
      <c r="E30" s="343" t="s">
        <v>1217</v>
      </c>
      <c r="F30" s="348"/>
      <c r="G30" s="348"/>
      <c r="H30" s="348"/>
    </row>
    <row r="31" spans="1:8" ht="28.5" customHeight="1" x14ac:dyDescent="0.25">
      <c r="A31" s="343">
        <v>28</v>
      </c>
      <c r="B31" s="342" t="s">
        <v>1260</v>
      </c>
      <c r="C31" s="342" t="s">
        <v>1273</v>
      </c>
      <c r="D31" s="343" t="s">
        <v>1274</v>
      </c>
      <c r="E31" s="343" t="s">
        <v>1217</v>
      </c>
      <c r="F31" s="348"/>
      <c r="G31" s="348"/>
      <c r="H31" s="348"/>
    </row>
    <row r="32" spans="1:8" ht="28.5" customHeight="1" x14ac:dyDescent="0.25">
      <c r="A32" s="341">
        <v>29</v>
      </c>
      <c r="B32" s="342" t="s">
        <v>1260</v>
      </c>
      <c r="C32" s="342" t="s">
        <v>1279</v>
      </c>
      <c r="D32" s="343" t="s">
        <v>1280</v>
      </c>
      <c r="E32" s="343" t="s">
        <v>1172</v>
      </c>
      <c r="F32" s="348"/>
      <c r="G32" s="348"/>
      <c r="H32" s="348"/>
    </row>
    <row r="33" spans="1:8" ht="28.5" customHeight="1" x14ac:dyDescent="0.25">
      <c r="A33" s="343">
        <v>30</v>
      </c>
      <c r="B33" s="342" t="s">
        <v>1260</v>
      </c>
      <c r="C33" s="342" t="s">
        <v>1281</v>
      </c>
      <c r="D33" s="343" t="s">
        <v>1282</v>
      </c>
      <c r="E33" s="343" t="s">
        <v>1172</v>
      </c>
      <c r="F33" s="348"/>
      <c r="G33" s="348"/>
      <c r="H33" s="348"/>
    </row>
    <row r="34" spans="1:8" ht="28.5" customHeight="1" x14ac:dyDescent="0.25">
      <c r="A34" s="341">
        <v>31</v>
      </c>
      <c r="B34" s="342" t="s">
        <v>1313</v>
      </c>
      <c r="C34" s="342" t="s">
        <v>1439</v>
      </c>
      <c r="D34" s="343" t="s">
        <v>1440</v>
      </c>
      <c r="E34" s="347" t="s">
        <v>1172</v>
      </c>
      <c r="F34" s="348"/>
      <c r="G34" s="348"/>
      <c r="H34" s="348"/>
    </row>
    <row r="35" spans="1:8" ht="28.5" customHeight="1" x14ac:dyDescent="0.25">
      <c r="A35" s="343">
        <v>32</v>
      </c>
      <c r="B35" s="342" t="s">
        <v>1313</v>
      </c>
      <c r="C35" s="342" t="s">
        <v>1441</v>
      </c>
      <c r="D35" s="343" t="s">
        <v>1442</v>
      </c>
      <c r="E35" s="347" t="s">
        <v>1172</v>
      </c>
      <c r="F35" s="348"/>
      <c r="G35" s="348"/>
      <c r="H35" s="348"/>
    </row>
    <row r="36" spans="1:8" ht="28.5" customHeight="1" x14ac:dyDescent="0.25">
      <c r="A36" s="341">
        <v>33</v>
      </c>
      <c r="B36" s="342" t="s">
        <v>1319</v>
      </c>
      <c r="C36" s="342" t="s">
        <v>1443</v>
      </c>
      <c r="D36" s="343" t="s">
        <v>1444</v>
      </c>
      <c r="E36" s="347" t="s">
        <v>1154</v>
      </c>
      <c r="F36" s="348"/>
      <c r="G36" s="348"/>
      <c r="H36" s="348"/>
    </row>
    <row r="37" spans="1:8" ht="28.5" customHeight="1" x14ac:dyDescent="0.25">
      <c r="A37" s="343">
        <v>34</v>
      </c>
      <c r="B37" s="342" t="s">
        <v>1319</v>
      </c>
      <c r="C37" s="342" t="s">
        <v>1443</v>
      </c>
      <c r="D37" s="343" t="s">
        <v>1444</v>
      </c>
      <c r="E37" s="347" t="s">
        <v>1217</v>
      </c>
      <c r="F37" s="348"/>
      <c r="G37" s="348"/>
      <c r="H37" s="348"/>
    </row>
    <row r="38" spans="1:8" ht="28.5" customHeight="1" x14ac:dyDescent="0.25">
      <c r="A38" s="341">
        <v>35</v>
      </c>
      <c r="B38" s="342" t="s">
        <v>1324</v>
      </c>
      <c r="C38" s="342" t="s">
        <v>1325</v>
      </c>
      <c r="D38" s="343" t="s">
        <v>1326</v>
      </c>
      <c r="E38" s="347" t="s">
        <v>1217</v>
      </c>
      <c r="F38" s="348"/>
      <c r="G38" s="348"/>
      <c r="H38" s="348"/>
    </row>
    <row r="39" spans="1:8" ht="28.5" customHeight="1" x14ac:dyDescent="0.25">
      <c r="A39" s="343">
        <v>36</v>
      </c>
      <c r="B39" s="342" t="s">
        <v>1324</v>
      </c>
      <c r="C39" s="342" t="s">
        <v>1327</v>
      </c>
      <c r="D39" s="343" t="s">
        <v>1328</v>
      </c>
      <c r="E39" s="347" t="s">
        <v>1217</v>
      </c>
      <c r="F39" s="348"/>
      <c r="G39" s="348"/>
      <c r="H39" s="348"/>
    </row>
    <row r="40" spans="1:8" ht="28.5" customHeight="1" x14ac:dyDescent="0.25">
      <c r="A40" s="341">
        <v>37</v>
      </c>
      <c r="B40" s="342" t="s">
        <v>1324</v>
      </c>
      <c r="C40" s="342" t="s">
        <v>1329</v>
      </c>
      <c r="D40" s="343" t="s">
        <v>1330</v>
      </c>
      <c r="E40" s="347" t="s">
        <v>1217</v>
      </c>
      <c r="F40" s="348"/>
      <c r="G40" s="348"/>
      <c r="H40" s="348"/>
    </row>
    <row r="41" spans="1:8" ht="28.5" customHeight="1" x14ac:dyDescent="0.25">
      <c r="A41" s="343">
        <v>38</v>
      </c>
      <c r="B41" s="342" t="s">
        <v>1324</v>
      </c>
      <c r="C41" s="342" t="s">
        <v>1331</v>
      </c>
      <c r="D41" s="343" t="s">
        <v>1332</v>
      </c>
      <c r="E41" s="347" t="s">
        <v>1217</v>
      </c>
      <c r="F41" s="348"/>
      <c r="G41" s="348"/>
      <c r="H41" s="348"/>
    </row>
    <row r="42" spans="1:8" ht="28.5" customHeight="1" x14ac:dyDescent="0.25">
      <c r="A42" s="341">
        <v>39</v>
      </c>
      <c r="B42" s="342" t="s">
        <v>1324</v>
      </c>
      <c r="C42" s="342" t="s">
        <v>1333</v>
      </c>
      <c r="D42" s="343" t="s">
        <v>1334</v>
      </c>
      <c r="E42" s="347" t="s">
        <v>1217</v>
      </c>
      <c r="F42" s="348"/>
      <c r="G42" s="348"/>
      <c r="H42" s="348"/>
    </row>
    <row r="43" spans="1:8" ht="28.5" customHeight="1" x14ac:dyDescent="0.25">
      <c r="A43" s="343">
        <v>40</v>
      </c>
      <c r="B43" s="342" t="s">
        <v>1324</v>
      </c>
      <c r="C43" s="342" t="s">
        <v>1335</v>
      </c>
      <c r="D43" s="343" t="s">
        <v>1336</v>
      </c>
      <c r="E43" s="347" t="s">
        <v>1217</v>
      </c>
      <c r="F43" s="348"/>
      <c r="G43" s="348"/>
      <c r="H43" s="348"/>
    </row>
    <row r="44" spans="1:8" ht="28.5" customHeight="1" x14ac:dyDescent="0.25">
      <c r="A44" s="341">
        <v>41</v>
      </c>
      <c r="B44" s="342" t="s">
        <v>1324</v>
      </c>
      <c r="C44" s="342" t="s">
        <v>1337</v>
      </c>
      <c r="D44" s="343" t="s">
        <v>1338</v>
      </c>
      <c r="E44" s="347" t="s">
        <v>1217</v>
      </c>
      <c r="F44" s="348"/>
      <c r="G44" s="348"/>
      <c r="H44" s="348"/>
    </row>
    <row r="45" spans="1:8" ht="28.5" customHeight="1" x14ac:dyDescent="0.25">
      <c r="A45" s="343">
        <v>42</v>
      </c>
      <c r="B45" s="342" t="s">
        <v>1324</v>
      </c>
      <c r="C45" s="342" t="s">
        <v>1343</v>
      </c>
      <c r="D45" s="343" t="s">
        <v>1344</v>
      </c>
      <c r="E45" s="347" t="s">
        <v>1172</v>
      </c>
      <c r="F45" s="348"/>
      <c r="G45" s="348"/>
      <c r="H45" s="348"/>
    </row>
    <row r="46" spans="1:8" ht="30" x14ac:dyDescent="0.25">
      <c r="A46" s="341">
        <v>43</v>
      </c>
      <c r="B46" s="342" t="s">
        <v>1324</v>
      </c>
      <c r="C46" s="342" t="s">
        <v>1345</v>
      </c>
      <c r="D46" s="343" t="s">
        <v>1346</v>
      </c>
      <c r="E46" s="347" t="s">
        <v>1172</v>
      </c>
      <c r="F46" s="348"/>
      <c r="G46" s="348"/>
      <c r="H46" s="348"/>
    </row>
    <row r="47" spans="1:8" x14ac:dyDescent="0.25">
      <c r="A47" s="343">
        <v>44</v>
      </c>
      <c r="B47" s="342" t="s">
        <v>1352</v>
      </c>
      <c r="C47" s="342" t="s">
        <v>1445</v>
      </c>
      <c r="D47" s="343" t="s">
        <v>1446</v>
      </c>
      <c r="E47" s="347" t="s">
        <v>1172</v>
      </c>
      <c r="F47" s="348"/>
      <c r="G47" s="348"/>
      <c r="H47" s="348"/>
    </row>
    <row r="48" spans="1:8" ht="28.5" customHeight="1" x14ac:dyDescent="0.25">
      <c r="A48" s="341">
        <v>45</v>
      </c>
      <c r="B48" s="342" t="s">
        <v>1352</v>
      </c>
      <c r="C48" s="342" t="s">
        <v>1447</v>
      </c>
      <c r="D48" s="343" t="s">
        <v>1448</v>
      </c>
      <c r="E48" s="347" t="s">
        <v>1172</v>
      </c>
      <c r="F48" s="348"/>
      <c r="G48" s="348"/>
      <c r="H48" s="348"/>
    </row>
    <row r="49" spans="1:8" ht="28.5" customHeight="1" x14ac:dyDescent="0.25">
      <c r="A49" s="343">
        <v>46</v>
      </c>
      <c r="B49" s="342" t="s">
        <v>1352</v>
      </c>
      <c r="C49" s="342" t="s">
        <v>1507</v>
      </c>
      <c r="D49" s="343" t="s">
        <v>1508</v>
      </c>
      <c r="E49" s="343" t="s">
        <v>1504</v>
      </c>
      <c r="F49" s="348"/>
      <c r="G49" s="348"/>
      <c r="H49" s="348"/>
    </row>
    <row r="50" spans="1:8" x14ac:dyDescent="0.25">
      <c r="A50" s="341">
        <v>47</v>
      </c>
      <c r="B50" s="342" t="s">
        <v>1355</v>
      </c>
      <c r="C50" s="342" t="s">
        <v>1372</v>
      </c>
      <c r="D50" s="343" t="s">
        <v>1373</v>
      </c>
      <c r="E50" s="347" t="s">
        <v>1154</v>
      </c>
      <c r="F50" s="348"/>
      <c r="G50" s="348"/>
      <c r="H50" s="348"/>
    </row>
    <row r="51" spans="1:8" ht="28.5" customHeight="1" x14ac:dyDescent="0.25">
      <c r="A51" s="343">
        <v>48</v>
      </c>
      <c r="B51" s="342" t="s">
        <v>1355</v>
      </c>
      <c r="C51" s="342" t="s">
        <v>1376</v>
      </c>
      <c r="D51" s="343" t="s">
        <v>1377</v>
      </c>
      <c r="E51" s="347" t="s">
        <v>1154</v>
      </c>
      <c r="F51" s="348"/>
      <c r="G51" s="348"/>
      <c r="H51" s="348"/>
    </row>
    <row r="52" spans="1:8" ht="28.5" customHeight="1" x14ac:dyDescent="0.25">
      <c r="A52" s="341">
        <v>49</v>
      </c>
      <c r="B52" s="342" t="s">
        <v>1355</v>
      </c>
      <c r="C52" s="342" t="s">
        <v>1378</v>
      </c>
      <c r="D52" s="343" t="s">
        <v>1379</v>
      </c>
      <c r="E52" s="347" t="s">
        <v>1172</v>
      </c>
      <c r="F52" s="348"/>
      <c r="G52" s="348"/>
      <c r="H52" s="348"/>
    </row>
    <row r="53" spans="1:8" ht="28.5" customHeight="1" x14ac:dyDescent="0.25">
      <c r="A53" s="343">
        <v>50</v>
      </c>
      <c r="B53" s="342" t="s">
        <v>1395</v>
      </c>
      <c r="C53" s="342" t="s">
        <v>1449</v>
      </c>
      <c r="D53" s="343" t="s">
        <v>1450</v>
      </c>
      <c r="E53" s="347" t="s">
        <v>1172</v>
      </c>
      <c r="F53" s="348"/>
      <c r="G53" s="348"/>
      <c r="H53" s="348"/>
    </row>
    <row r="54" spans="1:8" x14ac:dyDescent="0.25">
      <c r="A54" s="341">
        <v>51</v>
      </c>
      <c r="B54" s="342" t="s">
        <v>1395</v>
      </c>
      <c r="C54" s="342" t="s">
        <v>1396</v>
      </c>
      <c r="D54" s="343" t="s">
        <v>1397</v>
      </c>
      <c r="E54" s="347" t="s">
        <v>1172</v>
      </c>
      <c r="F54" s="348"/>
      <c r="G54" s="348"/>
      <c r="H54" s="348"/>
    </row>
    <row r="55" spans="1:8" ht="28.5" customHeight="1" x14ac:dyDescent="0.25">
      <c r="A55" s="343">
        <v>52</v>
      </c>
      <c r="B55" s="342" t="s">
        <v>1395</v>
      </c>
      <c r="C55" s="342" t="s">
        <v>1509</v>
      </c>
      <c r="D55" s="343" t="s">
        <v>1510</v>
      </c>
      <c r="E55" s="343" t="s">
        <v>1504</v>
      </c>
      <c r="F55" s="348"/>
      <c r="G55" s="348"/>
      <c r="H55" s="348"/>
    </row>
    <row r="56" spans="1:8" ht="28.5" customHeight="1" x14ac:dyDescent="0.25">
      <c r="A56" s="341">
        <v>53</v>
      </c>
      <c r="B56" s="342" t="s">
        <v>1395</v>
      </c>
      <c r="C56" s="342" t="s">
        <v>1511</v>
      </c>
      <c r="D56" s="343" t="s">
        <v>1512</v>
      </c>
      <c r="E56" s="343" t="s">
        <v>1504</v>
      </c>
      <c r="F56" s="348"/>
      <c r="G56" s="348"/>
      <c r="H56" s="348"/>
    </row>
    <row r="57" spans="1:8" ht="28.5" customHeight="1" x14ac:dyDescent="0.25">
      <c r="A57" s="343">
        <v>54</v>
      </c>
      <c r="B57" s="342" t="s">
        <v>1400</v>
      </c>
      <c r="C57" s="342" t="s">
        <v>1451</v>
      </c>
      <c r="D57" s="343" t="s">
        <v>1452</v>
      </c>
      <c r="E57" s="347" t="s">
        <v>1172</v>
      </c>
      <c r="F57" s="348"/>
      <c r="G57" s="348"/>
      <c r="H57" s="348"/>
    </row>
    <row r="58" spans="1:8" x14ac:dyDescent="0.25">
      <c r="A58" s="341">
        <v>55</v>
      </c>
      <c r="B58" s="342" t="s">
        <v>1400</v>
      </c>
      <c r="C58" s="342" t="s">
        <v>1453</v>
      </c>
      <c r="D58" s="343" t="s">
        <v>1454</v>
      </c>
      <c r="E58" s="347" t="s">
        <v>1172</v>
      </c>
      <c r="F58" s="348"/>
      <c r="G58" s="348"/>
      <c r="H58" s="348"/>
    </row>
    <row r="59" spans="1:8" ht="28.5" customHeight="1" x14ac:dyDescent="0.25"/>
    <row r="60" spans="1:8" ht="28.5" customHeight="1" x14ac:dyDescent="0.25"/>
  </sheetData>
  <mergeCells count="1">
    <mergeCell ref="A1:H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43C219-ADE5-4786-9CC1-72B0D43DB90F}">
  <dimension ref="A1:H51"/>
  <sheetViews>
    <sheetView workbookViewId="0">
      <selection activeCell="F4" sqref="F4"/>
    </sheetView>
  </sheetViews>
  <sheetFormatPr defaultRowHeight="15" x14ac:dyDescent="0.25"/>
  <cols>
    <col min="1" max="1" width="5.42578125" style="355" customWidth="1"/>
    <col min="2" max="2" width="34.28515625" style="354" customWidth="1"/>
    <col min="3" max="3" width="74.7109375" style="354" customWidth="1"/>
    <col min="4" max="4" width="14.140625" style="355" bestFit="1" customWidth="1"/>
    <col min="5" max="5" width="22.42578125" style="356" customWidth="1"/>
    <col min="6" max="7" width="36.85546875" customWidth="1"/>
    <col min="8" max="8" width="39" customWidth="1"/>
  </cols>
  <sheetData>
    <row r="1" spans="1:8" s="336" customFormat="1" ht="28.5" x14ac:dyDescent="0.45">
      <c r="A1" s="521" t="s">
        <v>1513</v>
      </c>
      <c r="B1" s="521"/>
      <c r="C1" s="521"/>
      <c r="D1" s="521"/>
      <c r="E1" s="521"/>
      <c r="F1" s="521"/>
      <c r="G1" s="521"/>
      <c r="H1" s="521"/>
    </row>
    <row r="3" spans="1:8" s="340" customFormat="1" ht="94.5" customHeight="1" thickBot="1" x14ac:dyDescent="0.3">
      <c r="A3" s="338" t="s">
        <v>1408</v>
      </c>
      <c r="B3" s="338" t="s">
        <v>1135</v>
      </c>
      <c r="C3" s="338" t="s">
        <v>1136</v>
      </c>
      <c r="D3" s="339" t="s">
        <v>1137</v>
      </c>
      <c r="E3" s="338" t="s">
        <v>1138</v>
      </c>
      <c r="F3" s="338" t="s">
        <v>1670</v>
      </c>
      <c r="G3" s="338" t="s">
        <v>1140</v>
      </c>
      <c r="H3" s="338" t="s">
        <v>1141</v>
      </c>
    </row>
    <row r="4" spans="1:8" ht="30" x14ac:dyDescent="0.25">
      <c r="A4" s="341">
        <v>1</v>
      </c>
      <c r="B4" s="357" t="s">
        <v>1255</v>
      </c>
      <c r="C4" s="357" t="s">
        <v>1437</v>
      </c>
      <c r="D4" s="341" t="s">
        <v>1438</v>
      </c>
      <c r="E4" s="341" t="s">
        <v>1154</v>
      </c>
      <c r="F4" s="346"/>
      <c r="G4" s="346"/>
      <c r="H4" s="346"/>
    </row>
    <row r="5" spans="1:8" ht="45" x14ac:dyDescent="0.25">
      <c r="A5" s="343">
        <v>2</v>
      </c>
      <c r="B5" s="342" t="s">
        <v>1319</v>
      </c>
      <c r="C5" s="342" t="s">
        <v>1443</v>
      </c>
      <c r="D5" s="343" t="s">
        <v>1444</v>
      </c>
      <c r="E5" s="347" t="s">
        <v>1154</v>
      </c>
      <c r="F5" s="348"/>
      <c r="G5" s="348"/>
      <c r="H5" s="348"/>
    </row>
    <row r="6" spans="1:8" x14ac:dyDescent="0.25">
      <c r="A6" s="341">
        <v>3</v>
      </c>
      <c r="B6" s="342" t="s">
        <v>1355</v>
      </c>
      <c r="C6" s="342" t="s">
        <v>1372</v>
      </c>
      <c r="D6" s="343" t="s">
        <v>1373</v>
      </c>
      <c r="E6" s="347" t="s">
        <v>1154</v>
      </c>
      <c r="F6" s="348"/>
      <c r="G6" s="348"/>
      <c r="H6" s="348"/>
    </row>
    <row r="7" spans="1:8" ht="30" x14ac:dyDescent="0.25">
      <c r="A7" s="343">
        <v>4</v>
      </c>
      <c r="B7" s="342" t="s">
        <v>1355</v>
      </c>
      <c r="C7" s="342" t="s">
        <v>1376</v>
      </c>
      <c r="D7" s="343" t="s">
        <v>1377</v>
      </c>
      <c r="E7" s="347" t="s">
        <v>1154</v>
      </c>
      <c r="F7" s="348"/>
      <c r="G7" s="348"/>
      <c r="H7" s="348"/>
    </row>
    <row r="8" spans="1:8" ht="33" customHeight="1" x14ac:dyDescent="0.25">
      <c r="A8" s="341">
        <v>5</v>
      </c>
      <c r="B8" s="342" t="s">
        <v>1192</v>
      </c>
      <c r="C8" s="342" t="s">
        <v>1514</v>
      </c>
      <c r="D8" s="343" t="s">
        <v>1515</v>
      </c>
      <c r="E8" s="347" t="s">
        <v>1516</v>
      </c>
      <c r="F8" s="348"/>
      <c r="G8" s="348"/>
      <c r="H8" s="348"/>
    </row>
    <row r="9" spans="1:8" ht="30" x14ac:dyDescent="0.25">
      <c r="A9" s="343">
        <v>6</v>
      </c>
      <c r="B9" s="342" t="s">
        <v>1192</v>
      </c>
      <c r="C9" s="342" t="s">
        <v>1411</v>
      </c>
      <c r="D9" s="343" t="s">
        <v>1412</v>
      </c>
      <c r="E9" s="347" t="s">
        <v>1145</v>
      </c>
      <c r="F9" s="348"/>
      <c r="G9" s="348"/>
      <c r="H9" s="348"/>
    </row>
    <row r="10" spans="1:8" ht="30" x14ac:dyDescent="0.25">
      <c r="A10" s="341">
        <v>7</v>
      </c>
      <c r="B10" s="342" t="s">
        <v>1211</v>
      </c>
      <c r="C10" s="342" t="s">
        <v>1413</v>
      </c>
      <c r="D10" s="343" t="s">
        <v>1414</v>
      </c>
      <c r="E10" s="347" t="s">
        <v>1217</v>
      </c>
      <c r="F10" s="348"/>
      <c r="G10" s="348"/>
      <c r="H10" s="348"/>
    </row>
    <row r="11" spans="1:8" ht="30" customHeight="1" x14ac:dyDescent="0.25">
      <c r="A11" s="343">
        <v>8</v>
      </c>
      <c r="B11" s="342" t="s">
        <v>1211</v>
      </c>
      <c r="C11" s="342" t="s">
        <v>1415</v>
      </c>
      <c r="D11" s="343" t="s">
        <v>1416</v>
      </c>
      <c r="E11" s="347" t="s">
        <v>1217</v>
      </c>
      <c r="F11" s="348"/>
      <c r="G11" s="348"/>
      <c r="H11" s="348"/>
    </row>
    <row r="12" spans="1:8" ht="31.5" customHeight="1" x14ac:dyDescent="0.25">
      <c r="A12" s="341">
        <v>9</v>
      </c>
      <c r="B12" s="342" t="s">
        <v>1211</v>
      </c>
      <c r="C12" s="342" t="s">
        <v>1417</v>
      </c>
      <c r="D12" s="343" t="s">
        <v>1418</v>
      </c>
      <c r="E12" s="347" t="s">
        <v>1217</v>
      </c>
      <c r="F12" s="348"/>
      <c r="G12" s="348"/>
      <c r="H12" s="348"/>
    </row>
    <row r="13" spans="1:8" ht="30" x14ac:dyDescent="0.25">
      <c r="A13" s="343">
        <v>10</v>
      </c>
      <c r="B13" s="342" t="s">
        <v>1211</v>
      </c>
      <c r="C13" s="342" t="s">
        <v>1419</v>
      </c>
      <c r="D13" s="343" t="s">
        <v>1420</v>
      </c>
      <c r="E13" s="347" t="s">
        <v>1217</v>
      </c>
      <c r="F13" s="348"/>
      <c r="G13" s="348"/>
      <c r="H13" s="348"/>
    </row>
    <row r="14" spans="1:8" ht="30" x14ac:dyDescent="0.25">
      <c r="A14" s="341">
        <v>11</v>
      </c>
      <c r="B14" s="342" t="s">
        <v>1211</v>
      </c>
      <c r="C14" s="342" t="s">
        <v>1421</v>
      </c>
      <c r="D14" s="343" t="s">
        <v>1422</v>
      </c>
      <c r="E14" s="347" t="s">
        <v>1217</v>
      </c>
      <c r="F14" s="348"/>
      <c r="G14" s="348"/>
      <c r="H14" s="348"/>
    </row>
    <row r="15" spans="1:8" ht="30" x14ac:dyDescent="0.25">
      <c r="A15" s="343">
        <v>12</v>
      </c>
      <c r="B15" s="342" t="s">
        <v>1211</v>
      </c>
      <c r="C15" s="342" t="s">
        <v>1423</v>
      </c>
      <c r="D15" s="343" t="s">
        <v>1424</v>
      </c>
      <c r="E15" s="347" t="s">
        <v>1217</v>
      </c>
      <c r="F15" s="348"/>
      <c r="G15" s="348"/>
      <c r="H15" s="348"/>
    </row>
    <row r="16" spans="1:8" ht="30" x14ac:dyDescent="0.25">
      <c r="A16" s="341">
        <v>13</v>
      </c>
      <c r="B16" s="342" t="s">
        <v>1255</v>
      </c>
      <c r="C16" s="342" t="s">
        <v>1437</v>
      </c>
      <c r="D16" s="343" t="s">
        <v>1438</v>
      </c>
      <c r="E16" s="343" t="s">
        <v>1217</v>
      </c>
      <c r="F16" s="348"/>
      <c r="G16" s="348"/>
      <c r="H16" s="348"/>
    </row>
    <row r="17" spans="1:8" ht="30.75" customHeight="1" x14ac:dyDescent="0.25">
      <c r="A17" s="343">
        <v>14</v>
      </c>
      <c r="B17" s="342" t="s">
        <v>1260</v>
      </c>
      <c r="C17" s="342" t="s">
        <v>1261</v>
      </c>
      <c r="D17" s="343" t="s">
        <v>1262</v>
      </c>
      <c r="E17" s="343" t="s">
        <v>1217</v>
      </c>
      <c r="F17" s="348"/>
      <c r="G17" s="348"/>
      <c r="H17" s="348"/>
    </row>
    <row r="18" spans="1:8" ht="30.75" customHeight="1" x14ac:dyDescent="0.25">
      <c r="A18" s="341">
        <v>15</v>
      </c>
      <c r="B18" s="342" t="s">
        <v>1260</v>
      </c>
      <c r="C18" s="342" t="s">
        <v>1263</v>
      </c>
      <c r="D18" s="343" t="s">
        <v>1264</v>
      </c>
      <c r="E18" s="343" t="s">
        <v>1217</v>
      </c>
      <c r="F18" s="348"/>
      <c r="G18" s="348"/>
      <c r="H18" s="348"/>
    </row>
    <row r="19" spans="1:8" ht="45" x14ac:dyDescent="0.25">
      <c r="A19" s="343">
        <v>16</v>
      </c>
      <c r="B19" s="342" t="s">
        <v>1260</v>
      </c>
      <c r="C19" s="342" t="s">
        <v>1265</v>
      </c>
      <c r="D19" s="343" t="s">
        <v>1266</v>
      </c>
      <c r="E19" s="343" t="s">
        <v>1217</v>
      </c>
      <c r="F19" s="348"/>
      <c r="G19" s="348"/>
      <c r="H19" s="348"/>
    </row>
    <row r="20" spans="1:8" ht="30" x14ac:dyDescent="0.25">
      <c r="A20" s="341">
        <v>17</v>
      </c>
      <c r="B20" s="342" t="s">
        <v>1260</v>
      </c>
      <c r="C20" s="342" t="s">
        <v>1267</v>
      </c>
      <c r="D20" s="343" t="s">
        <v>1268</v>
      </c>
      <c r="E20" s="343" t="s">
        <v>1217</v>
      </c>
      <c r="F20" s="348"/>
      <c r="G20" s="348"/>
      <c r="H20" s="348"/>
    </row>
    <row r="21" spans="1:8" ht="30" x14ac:dyDescent="0.25">
      <c r="A21" s="343">
        <v>18</v>
      </c>
      <c r="B21" s="342" t="s">
        <v>1260</v>
      </c>
      <c r="C21" s="342" t="s">
        <v>1269</v>
      </c>
      <c r="D21" s="343" t="s">
        <v>1270</v>
      </c>
      <c r="E21" s="343" t="s">
        <v>1217</v>
      </c>
      <c r="F21" s="348"/>
      <c r="G21" s="348"/>
      <c r="H21" s="348"/>
    </row>
    <row r="22" spans="1:8" ht="30" x14ac:dyDescent="0.25">
      <c r="A22" s="341">
        <v>19</v>
      </c>
      <c r="B22" s="342" t="s">
        <v>1260</v>
      </c>
      <c r="C22" s="342" t="s">
        <v>1271</v>
      </c>
      <c r="D22" s="343" t="s">
        <v>1272</v>
      </c>
      <c r="E22" s="343" t="s">
        <v>1217</v>
      </c>
      <c r="F22" s="348"/>
      <c r="G22" s="348"/>
      <c r="H22" s="348"/>
    </row>
    <row r="23" spans="1:8" ht="47.25" customHeight="1" x14ac:dyDescent="0.25">
      <c r="A23" s="343">
        <v>20</v>
      </c>
      <c r="B23" s="342" t="s">
        <v>1260</v>
      </c>
      <c r="C23" s="342" t="s">
        <v>1273</v>
      </c>
      <c r="D23" s="343" t="s">
        <v>1274</v>
      </c>
      <c r="E23" s="343" t="s">
        <v>1217</v>
      </c>
      <c r="F23" s="348"/>
      <c r="G23" s="348"/>
      <c r="H23" s="348"/>
    </row>
    <row r="24" spans="1:8" ht="33.75" customHeight="1" x14ac:dyDescent="0.25">
      <c r="A24" s="341">
        <v>21</v>
      </c>
      <c r="B24" s="342" t="s">
        <v>1319</v>
      </c>
      <c r="C24" s="342" t="s">
        <v>1443</v>
      </c>
      <c r="D24" s="343" t="s">
        <v>1444</v>
      </c>
      <c r="E24" s="347" t="s">
        <v>1217</v>
      </c>
      <c r="F24" s="348"/>
      <c r="G24" s="348"/>
      <c r="H24" s="348"/>
    </row>
    <row r="25" spans="1:8" ht="30" x14ac:dyDescent="0.25">
      <c r="A25" s="343">
        <v>22</v>
      </c>
      <c r="B25" s="342" t="s">
        <v>1324</v>
      </c>
      <c r="C25" s="342" t="s">
        <v>1325</v>
      </c>
      <c r="D25" s="343" t="s">
        <v>1326</v>
      </c>
      <c r="E25" s="347" t="s">
        <v>1217</v>
      </c>
      <c r="F25" s="348"/>
      <c r="G25" s="348"/>
      <c r="H25" s="348"/>
    </row>
    <row r="26" spans="1:8" ht="106.5" customHeight="1" x14ac:dyDescent="0.25">
      <c r="A26" s="341">
        <v>23</v>
      </c>
      <c r="B26" s="342" t="s">
        <v>1324</v>
      </c>
      <c r="C26" s="342" t="s">
        <v>1327</v>
      </c>
      <c r="D26" s="343" t="s">
        <v>1328</v>
      </c>
      <c r="E26" s="347" t="s">
        <v>1217</v>
      </c>
      <c r="F26" s="348"/>
      <c r="G26" s="348"/>
      <c r="H26" s="348"/>
    </row>
    <row r="27" spans="1:8" ht="30.75" customHeight="1" x14ac:dyDescent="0.25">
      <c r="A27" s="343">
        <v>24</v>
      </c>
      <c r="B27" s="342" t="s">
        <v>1324</v>
      </c>
      <c r="C27" s="342" t="s">
        <v>1329</v>
      </c>
      <c r="D27" s="343" t="s">
        <v>1330</v>
      </c>
      <c r="E27" s="347" t="s">
        <v>1217</v>
      </c>
      <c r="F27" s="348"/>
      <c r="G27" s="348"/>
      <c r="H27" s="348"/>
    </row>
    <row r="28" spans="1:8" ht="30" x14ac:dyDescent="0.25">
      <c r="A28" s="341">
        <v>25</v>
      </c>
      <c r="B28" s="342" t="s">
        <v>1324</v>
      </c>
      <c r="C28" s="342" t="s">
        <v>1331</v>
      </c>
      <c r="D28" s="343" t="s">
        <v>1332</v>
      </c>
      <c r="E28" s="347" t="s">
        <v>1217</v>
      </c>
      <c r="F28" s="348"/>
      <c r="G28" s="348"/>
      <c r="H28" s="348"/>
    </row>
    <row r="29" spans="1:8" ht="30" x14ac:dyDescent="0.25">
      <c r="A29" s="343">
        <v>26</v>
      </c>
      <c r="B29" s="342" t="s">
        <v>1324</v>
      </c>
      <c r="C29" s="342" t="s">
        <v>1333</v>
      </c>
      <c r="D29" s="343" t="s">
        <v>1334</v>
      </c>
      <c r="E29" s="347" t="s">
        <v>1217</v>
      </c>
      <c r="F29" s="348"/>
      <c r="G29" s="348"/>
      <c r="H29" s="348"/>
    </row>
    <row r="30" spans="1:8" ht="45" x14ac:dyDescent="0.25">
      <c r="A30" s="341">
        <v>27</v>
      </c>
      <c r="B30" s="342" t="s">
        <v>1324</v>
      </c>
      <c r="C30" s="342" t="s">
        <v>1335</v>
      </c>
      <c r="D30" s="343" t="s">
        <v>1336</v>
      </c>
      <c r="E30" s="347" t="s">
        <v>1217</v>
      </c>
      <c r="F30" s="348"/>
      <c r="G30" s="348"/>
      <c r="H30" s="348"/>
    </row>
    <row r="31" spans="1:8" ht="32.25" customHeight="1" x14ac:dyDescent="0.25">
      <c r="A31" s="343">
        <v>28</v>
      </c>
      <c r="B31" s="342" t="s">
        <v>1324</v>
      </c>
      <c r="C31" s="342" t="s">
        <v>1337</v>
      </c>
      <c r="D31" s="343" t="s">
        <v>1338</v>
      </c>
      <c r="E31" s="347" t="s">
        <v>1217</v>
      </c>
      <c r="F31" s="348"/>
      <c r="G31" s="348"/>
      <c r="H31" s="348"/>
    </row>
    <row r="32" spans="1:8" ht="30" x14ac:dyDescent="0.25">
      <c r="A32" s="341">
        <v>29</v>
      </c>
      <c r="B32" s="342" t="s">
        <v>1214</v>
      </c>
      <c r="C32" s="342" t="s">
        <v>1429</v>
      </c>
      <c r="D32" s="343" t="s">
        <v>1430</v>
      </c>
      <c r="E32" s="343" t="s">
        <v>1189</v>
      </c>
      <c r="F32" s="348"/>
      <c r="G32" s="348"/>
      <c r="H32" s="348"/>
    </row>
    <row r="33" spans="1:8" ht="20.25" customHeight="1" x14ac:dyDescent="0.25">
      <c r="A33" s="343">
        <v>30</v>
      </c>
      <c r="B33" s="342" t="s">
        <v>1249</v>
      </c>
      <c r="C33" s="342" t="s">
        <v>1435</v>
      </c>
      <c r="D33" s="343" t="s">
        <v>1436</v>
      </c>
      <c r="E33" s="343" t="s">
        <v>1189</v>
      </c>
      <c r="F33" s="348"/>
      <c r="G33" s="348"/>
      <c r="H33" s="348"/>
    </row>
    <row r="34" spans="1:8" ht="30" x14ac:dyDescent="0.25">
      <c r="A34" s="341">
        <v>31</v>
      </c>
      <c r="B34" s="342" t="s">
        <v>1192</v>
      </c>
      <c r="C34" s="342" t="s">
        <v>1409</v>
      </c>
      <c r="D34" s="343" t="s">
        <v>1410</v>
      </c>
      <c r="E34" s="347" t="s">
        <v>1172</v>
      </c>
      <c r="F34" s="348"/>
      <c r="G34" s="348"/>
      <c r="H34" s="348"/>
    </row>
    <row r="35" spans="1:8" ht="45" x14ac:dyDescent="0.25">
      <c r="A35" s="343">
        <v>32</v>
      </c>
      <c r="B35" s="342" t="s">
        <v>1211</v>
      </c>
      <c r="C35" s="342" t="s">
        <v>1425</v>
      </c>
      <c r="D35" s="343" t="s">
        <v>1426</v>
      </c>
      <c r="E35" s="347" t="s">
        <v>1172</v>
      </c>
      <c r="F35" s="348"/>
      <c r="G35" s="348"/>
      <c r="H35" s="348"/>
    </row>
    <row r="36" spans="1:8" ht="31.5" customHeight="1" x14ac:dyDescent="0.25">
      <c r="A36" s="341">
        <v>33</v>
      </c>
      <c r="B36" s="342" t="s">
        <v>1211</v>
      </c>
      <c r="C36" s="342" t="s">
        <v>1427</v>
      </c>
      <c r="D36" s="343" t="s">
        <v>1428</v>
      </c>
      <c r="E36" s="347" t="s">
        <v>1172</v>
      </c>
      <c r="F36" s="348"/>
      <c r="G36" s="348"/>
      <c r="H36" s="348"/>
    </row>
    <row r="37" spans="1:8" ht="30" x14ac:dyDescent="0.25">
      <c r="A37" s="343">
        <v>34</v>
      </c>
      <c r="B37" s="342" t="s">
        <v>1249</v>
      </c>
      <c r="C37" s="342" t="s">
        <v>1431</v>
      </c>
      <c r="D37" s="343" t="s">
        <v>1432</v>
      </c>
      <c r="E37" s="343" t="s">
        <v>1172</v>
      </c>
      <c r="F37" s="348"/>
      <c r="G37" s="348"/>
      <c r="H37" s="348"/>
    </row>
    <row r="38" spans="1:8" ht="30" x14ac:dyDescent="0.25">
      <c r="A38" s="341">
        <v>35</v>
      </c>
      <c r="B38" s="342" t="s">
        <v>1249</v>
      </c>
      <c r="C38" s="342" t="s">
        <v>1433</v>
      </c>
      <c r="D38" s="343" t="s">
        <v>1434</v>
      </c>
      <c r="E38" s="343" t="s">
        <v>1172</v>
      </c>
      <c r="F38" s="348"/>
      <c r="G38" s="348"/>
      <c r="H38" s="348"/>
    </row>
    <row r="39" spans="1:8" ht="30" x14ac:dyDescent="0.25">
      <c r="A39" s="343">
        <v>36</v>
      </c>
      <c r="B39" s="342" t="s">
        <v>1260</v>
      </c>
      <c r="C39" s="342" t="s">
        <v>1279</v>
      </c>
      <c r="D39" s="343" t="s">
        <v>1280</v>
      </c>
      <c r="E39" s="343" t="s">
        <v>1172</v>
      </c>
      <c r="F39" s="348"/>
      <c r="G39" s="348"/>
      <c r="H39" s="348"/>
    </row>
    <row r="40" spans="1:8" ht="33" customHeight="1" x14ac:dyDescent="0.25">
      <c r="A40" s="341">
        <v>37</v>
      </c>
      <c r="B40" s="342" t="s">
        <v>1260</v>
      </c>
      <c r="C40" s="342" t="s">
        <v>1281</v>
      </c>
      <c r="D40" s="343" t="s">
        <v>1282</v>
      </c>
      <c r="E40" s="343" t="s">
        <v>1172</v>
      </c>
      <c r="F40" s="348"/>
      <c r="G40" s="348"/>
      <c r="H40" s="348"/>
    </row>
    <row r="41" spans="1:8" ht="30" x14ac:dyDescent="0.25">
      <c r="A41" s="343">
        <v>38</v>
      </c>
      <c r="B41" s="342" t="s">
        <v>1313</v>
      </c>
      <c r="C41" s="342" t="s">
        <v>1439</v>
      </c>
      <c r="D41" s="343" t="s">
        <v>1440</v>
      </c>
      <c r="E41" s="347" t="s">
        <v>1172</v>
      </c>
      <c r="F41" s="348"/>
      <c r="G41" s="348"/>
      <c r="H41" s="348"/>
    </row>
    <row r="42" spans="1:8" ht="45" x14ac:dyDescent="0.25">
      <c r="A42" s="341">
        <v>39</v>
      </c>
      <c r="B42" s="342" t="s">
        <v>1313</v>
      </c>
      <c r="C42" s="342" t="s">
        <v>1441</v>
      </c>
      <c r="D42" s="343" t="s">
        <v>1442</v>
      </c>
      <c r="E42" s="347" t="s">
        <v>1172</v>
      </c>
      <c r="F42" s="348"/>
      <c r="G42" s="348"/>
      <c r="H42" s="348"/>
    </row>
    <row r="43" spans="1:8" ht="30" x14ac:dyDescent="0.25">
      <c r="A43" s="343">
        <v>40</v>
      </c>
      <c r="B43" s="342" t="s">
        <v>1324</v>
      </c>
      <c r="C43" s="342" t="s">
        <v>1343</v>
      </c>
      <c r="D43" s="343" t="s">
        <v>1344</v>
      </c>
      <c r="E43" s="347" t="s">
        <v>1172</v>
      </c>
      <c r="F43" s="348"/>
      <c r="G43" s="348"/>
      <c r="H43" s="348"/>
    </row>
    <row r="44" spans="1:8" ht="30" x14ac:dyDescent="0.25">
      <c r="A44" s="341">
        <v>41</v>
      </c>
      <c r="B44" s="342" t="s">
        <v>1324</v>
      </c>
      <c r="C44" s="342" t="s">
        <v>1345</v>
      </c>
      <c r="D44" s="343" t="s">
        <v>1346</v>
      </c>
      <c r="E44" s="347" t="s">
        <v>1172</v>
      </c>
      <c r="F44" s="348"/>
      <c r="G44" s="348"/>
      <c r="H44" s="348"/>
    </row>
    <row r="45" spans="1:8" x14ac:dyDescent="0.25">
      <c r="A45" s="343">
        <v>42</v>
      </c>
      <c r="B45" s="342" t="s">
        <v>1352</v>
      </c>
      <c r="C45" s="342" t="s">
        <v>1445</v>
      </c>
      <c r="D45" s="343" t="s">
        <v>1446</v>
      </c>
      <c r="E45" s="347" t="s">
        <v>1172</v>
      </c>
      <c r="F45" s="348"/>
      <c r="G45" s="348"/>
      <c r="H45" s="348"/>
    </row>
    <row r="46" spans="1:8" ht="30" x14ac:dyDescent="0.25">
      <c r="A46" s="341">
        <v>43</v>
      </c>
      <c r="B46" s="342" t="s">
        <v>1352</v>
      </c>
      <c r="C46" s="342" t="s">
        <v>1447</v>
      </c>
      <c r="D46" s="343" t="s">
        <v>1448</v>
      </c>
      <c r="E46" s="347" t="s">
        <v>1172</v>
      </c>
      <c r="F46" s="348"/>
      <c r="G46" s="348"/>
      <c r="H46" s="348"/>
    </row>
    <row r="47" spans="1:8" ht="30" x14ac:dyDescent="0.25">
      <c r="A47" s="343">
        <v>44</v>
      </c>
      <c r="B47" s="342" t="s">
        <v>1355</v>
      </c>
      <c r="C47" s="342" t="s">
        <v>1378</v>
      </c>
      <c r="D47" s="343" t="s">
        <v>1379</v>
      </c>
      <c r="E47" s="347" t="s">
        <v>1172</v>
      </c>
      <c r="F47" s="348"/>
      <c r="G47" s="348"/>
      <c r="H47" s="348"/>
    </row>
    <row r="48" spans="1:8" ht="45" x14ac:dyDescent="0.25">
      <c r="A48" s="341">
        <v>45</v>
      </c>
      <c r="B48" s="342" t="s">
        <v>1395</v>
      </c>
      <c r="C48" s="342" t="s">
        <v>1449</v>
      </c>
      <c r="D48" s="343" t="s">
        <v>1450</v>
      </c>
      <c r="E48" s="347" t="s">
        <v>1172</v>
      </c>
      <c r="F48" s="348"/>
      <c r="G48" s="348"/>
      <c r="H48" s="348"/>
    </row>
    <row r="49" spans="1:8" x14ac:dyDescent="0.25">
      <c r="A49" s="343">
        <v>46</v>
      </c>
      <c r="B49" s="342" t="s">
        <v>1395</v>
      </c>
      <c r="C49" s="342" t="s">
        <v>1396</v>
      </c>
      <c r="D49" s="343" t="s">
        <v>1397</v>
      </c>
      <c r="E49" s="347" t="s">
        <v>1172</v>
      </c>
      <c r="F49" s="348"/>
      <c r="G49" s="348"/>
      <c r="H49" s="348"/>
    </row>
    <row r="50" spans="1:8" ht="30" x14ac:dyDescent="0.25">
      <c r="A50" s="341">
        <v>47</v>
      </c>
      <c r="B50" s="342" t="s">
        <v>1400</v>
      </c>
      <c r="C50" s="342" t="s">
        <v>1451</v>
      </c>
      <c r="D50" s="343" t="s">
        <v>1452</v>
      </c>
      <c r="E50" s="347" t="s">
        <v>1172</v>
      </c>
      <c r="F50" s="348"/>
      <c r="G50" s="348"/>
      <c r="H50" s="348"/>
    </row>
    <row r="51" spans="1:8" x14ac:dyDescent="0.25">
      <c r="A51" s="343">
        <v>48</v>
      </c>
      <c r="B51" s="342" t="s">
        <v>1400</v>
      </c>
      <c r="C51" s="342" t="s">
        <v>1453</v>
      </c>
      <c r="D51" s="343" t="s">
        <v>1454</v>
      </c>
      <c r="E51" s="347" t="s">
        <v>1172</v>
      </c>
      <c r="F51" s="348"/>
      <c r="G51" s="348"/>
      <c r="H51" s="348"/>
    </row>
  </sheetData>
  <mergeCells count="1">
    <mergeCell ref="A1:H1"/>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88239-833D-4856-9A54-3545A5DE65FB}">
  <dimension ref="A1:H51"/>
  <sheetViews>
    <sheetView workbookViewId="0">
      <selection activeCell="F4" sqref="F4"/>
    </sheetView>
  </sheetViews>
  <sheetFormatPr defaultRowHeight="15" x14ac:dyDescent="0.25"/>
  <cols>
    <col min="1" max="1" width="5.42578125" style="355" customWidth="1"/>
    <col min="2" max="2" width="34.28515625" style="354" customWidth="1"/>
    <col min="3" max="3" width="74.7109375" style="354" customWidth="1"/>
    <col min="4" max="4" width="14.140625" style="355" bestFit="1" customWidth="1"/>
    <col min="5" max="5" width="22.42578125" style="356" customWidth="1"/>
    <col min="6" max="6" width="38.85546875" customWidth="1"/>
    <col min="7" max="7" width="37" customWidth="1"/>
    <col min="8" max="8" width="39.28515625" customWidth="1"/>
  </cols>
  <sheetData>
    <row r="1" spans="1:8" s="336" customFormat="1" ht="28.5" x14ac:dyDescent="0.45">
      <c r="A1" s="521" t="s">
        <v>1517</v>
      </c>
      <c r="B1" s="521"/>
      <c r="C1" s="521"/>
      <c r="D1" s="521"/>
      <c r="E1" s="521"/>
      <c r="F1" s="521"/>
      <c r="G1" s="521"/>
      <c r="H1" s="521"/>
    </row>
    <row r="3" spans="1:8" s="340" customFormat="1" ht="90.75" thickBot="1" x14ac:dyDescent="0.3">
      <c r="A3" s="338" t="s">
        <v>1408</v>
      </c>
      <c r="B3" s="338" t="s">
        <v>1135</v>
      </c>
      <c r="C3" s="338" t="s">
        <v>1136</v>
      </c>
      <c r="D3" s="339" t="s">
        <v>1137</v>
      </c>
      <c r="E3" s="338" t="s">
        <v>1138</v>
      </c>
      <c r="F3" s="338" t="s">
        <v>1670</v>
      </c>
      <c r="G3" s="338" t="s">
        <v>1140</v>
      </c>
      <c r="H3" s="338" t="s">
        <v>1141</v>
      </c>
    </row>
    <row r="4" spans="1:8" ht="30" x14ac:dyDescent="0.25">
      <c r="A4" s="341">
        <v>1</v>
      </c>
      <c r="B4" s="357" t="s">
        <v>1192</v>
      </c>
      <c r="C4" s="357" t="s">
        <v>1409</v>
      </c>
      <c r="D4" s="341" t="s">
        <v>1410</v>
      </c>
      <c r="E4" s="344" t="s">
        <v>1172</v>
      </c>
      <c r="F4" s="346"/>
      <c r="G4" s="346"/>
      <c r="H4" s="346"/>
    </row>
    <row r="5" spans="1:8" ht="30" x14ac:dyDescent="0.25">
      <c r="A5" s="343">
        <v>2</v>
      </c>
      <c r="B5" s="342" t="s">
        <v>1192</v>
      </c>
      <c r="C5" s="342" t="s">
        <v>1411</v>
      </c>
      <c r="D5" s="343" t="s">
        <v>1412</v>
      </c>
      <c r="E5" s="347" t="s">
        <v>1145</v>
      </c>
      <c r="F5" s="348"/>
      <c r="G5" s="348"/>
      <c r="H5" s="348"/>
    </row>
    <row r="6" spans="1:8" ht="30" x14ac:dyDescent="0.25">
      <c r="A6" s="341">
        <v>3</v>
      </c>
      <c r="B6" s="342" t="s">
        <v>1211</v>
      </c>
      <c r="C6" s="342" t="s">
        <v>1413</v>
      </c>
      <c r="D6" s="343" t="s">
        <v>1414</v>
      </c>
      <c r="E6" s="347" t="s">
        <v>1217</v>
      </c>
      <c r="F6" s="348"/>
      <c r="G6" s="348"/>
      <c r="H6" s="348"/>
    </row>
    <row r="7" spans="1:8" ht="30" x14ac:dyDescent="0.25">
      <c r="A7" s="343">
        <v>4</v>
      </c>
      <c r="B7" s="342" t="s">
        <v>1211</v>
      </c>
      <c r="C7" s="342" t="s">
        <v>1415</v>
      </c>
      <c r="D7" s="343" t="s">
        <v>1416</v>
      </c>
      <c r="E7" s="347" t="s">
        <v>1217</v>
      </c>
      <c r="F7" s="348"/>
      <c r="G7" s="348"/>
      <c r="H7" s="348"/>
    </row>
    <row r="8" spans="1:8" ht="45" x14ac:dyDescent="0.25">
      <c r="A8" s="341">
        <v>5</v>
      </c>
      <c r="B8" s="342" t="s">
        <v>1211</v>
      </c>
      <c r="C8" s="342" t="s">
        <v>1417</v>
      </c>
      <c r="D8" s="343" t="s">
        <v>1418</v>
      </c>
      <c r="E8" s="347" t="s">
        <v>1217</v>
      </c>
      <c r="F8" s="348"/>
      <c r="G8" s="348"/>
      <c r="H8" s="348"/>
    </row>
    <row r="9" spans="1:8" ht="30" x14ac:dyDescent="0.25">
      <c r="A9" s="343">
        <v>6</v>
      </c>
      <c r="B9" s="342" t="s">
        <v>1211</v>
      </c>
      <c r="C9" s="342" t="s">
        <v>1419</v>
      </c>
      <c r="D9" s="343" t="s">
        <v>1420</v>
      </c>
      <c r="E9" s="347" t="s">
        <v>1217</v>
      </c>
      <c r="F9" s="348"/>
      <c r="G9" s="348"/>
      <c r="H9" s="348"/>
    </row>
    <row r="10" spans="1:8" ht="30" x14ac:dyDescent="0.25">
      <c r="A10" s="341">
        <v>7</v>
      </c>
      <c r="B10" s="342" t="s">
        <v>1211</v>
      </c>
      <c r="C10" s="342" t="s">
        <v>1421</v>
      </c>
      <c r="D10" s="343" t="s">
        <v>1422</v>
      </c>
      <c r="E10" s="347" t="s">
        <v>1217</v>
      </c>
      <c r="F10" s="348"/>
      <c r="G10" s="348"/>
      <c r="H10" s="348"/>
    </row>
    <row r="11" spans="1:8" ht="30" x14ac:dyDescent="0.25">
      <c r="A11" s="343">
        <v>8</v>
      </c>
      <c r="B11" s="342" t="s">
        <v>1211</v>
      </c>
      <c r="C11" s="342" t="s">
        <v>1423</v>
      </c>
      <c r="D11" s="343" t="s">
        <v>1424</v>
      </c>
      <c r="E11" s="347" t="s">
        <v>1217</v>
      </c>
      <c r="F11" s="348"/>
      <c r="G11" s="348"/>
      <c r="H11" s="348"/>
    </row>
    <row r="12" spans="1:8" ht="45" x14ac:dyDescent="0.25">
      <c r="A12" s="341">
        <v>9</v>
      </c>
      <c r="B12" s="342" t="s">
        <v>1211</v>
      </c>
      <c r="C12" s="342" t="s">
        <v>1425</v>
      </c>
      <c r="D12" s="343" t="s">
        <v>1426</v>
      </c>
      <c r="E12" s="347" t="s">
        <v>1172</v>
      </c>
      <c r="F12" s="348"/>
      <c r="G12" s="348"/>
      <c r="H12" s="348"/>
    </row>
    <row r="13" spans="1:8" ht="45" x14ac:dyDescent="0.25">
      <c r="A13" s="343">
        <v>10</v>
      </c>
      <c r="B13" s="342" t="s">
        <v>1211</v>
      </c>
      <c r="C13" s="342" t="s">
        <v>1427</v>
      </c>
      <c r="D13" s="343" t="s">
        <v>1428</v>
      </c>
      <c r="E13" s="347" t="s">
        <v>1172</v>
      </c>
      <c r="F13" s="348"/>
      <c r="G13" s="348"/>
      <c r="H13" s="348"/>
    </row>
    <row r="14" spans="1:8" ht="30" x14ac:dyDescent="0.25">
      <c r="A14" s="341">
        <v>11</v>
      </c>
      <c r="B14" s="342" t="s">
        <v>1214</v>
      </c>
      <c r="C14" s="342" t="s">
        <v>1429</v>
      </c>
      <c r="D14" s="343" t="s">
        <v>1430</v>
      </c>
      <c r="E14" s="343" t="s">
        <v>1189</v>
      </c>
      <c r="F14" s="348"/>
      <c r="G14" s="348"/>
      <c r="H14" s="348"/>
    </row>
    <row r="15" spans="1:8" ht="30" x14ac:dyDescent="0.25">
      <c r="A15" s="343">
        <v>12</v>
      </c>
      <c r="B15" s="342" t="s">
        <v>1249</v>
      </c>
      <c r="C15" s="342" t="s">
        <v>1431</v>
      </c>
      <c r="D15" s="343" t="s">
        <v>1432</v>
      </c>
      <c r="E15" s="343" t="s">
        <v>1172</v>
      </c>
      <c r="F15" s="348"/>
      <c r="G15" s="348"/>
      <c r="H15" s="348"/>
    </row>
    <row r="16" spans="1:8" ht="30" x14ac:dyDescent="0.25">
      <c r="A16" s="341">
        <v>13</v>
      </c>
      <c r="B16" s="342" t="s">
        <v>1249</v>
      </c>
      <c r="C16" s="342" t="s">
        <v>1433</v>
      </c>
      <c r="D16" s="343" t="s">
        <v>1434</v>
      </c>
      <c r="E16" s="343" t="s">
        <v>1172</v>
      </c>
      <c r="F16" s="348"/>
      <c r="G16" s="348"/>
      <c r="H16" s="348"/>
    </row>
    <row r="17" spans="1:8" x14ac:dyDescent="0.25">
      <c r="A17" s="343">
        <v>14</v>
      </c>
      <c r="B17" s="342" t="s">
        <v>1249</v>
      </c>
      <c r="C17" s="342" t="s">
        <v>1435</v>
      </c>
      <c r="D17" s="343" t="s">
        <v>1436</v>
      </c>
      <c r="E17" s="343" t="s">
        <v>1189</v>
      </c>
      <c r="F17" s="348"/>
      <c r="G17" s="348"/>
      <c r="H17" s="348"/>
    </row>
    <row r="18" spans="1:8" ht="30" x14ac:dyDescent="0.25">
      <c r="A18" s="341">
        <v>15</v>
      </c>
      <c r="B18" s="342" t="s">
        <v>1255</v>
      </c>
      <c r="C18" s="342" t="s">
        <v>1437</v>
      </c>
      <c r="D18" s="343" t="s">
        <v>1438</v>
      </c>
      <c r="E18" s="343" t="s">
        <v>1154</v>
      </c>
      <c r="F18" s="348"/>
      <c r="G18" s="348"/>
      <c r="H18" s="348"/>
    </row>
    <row r="19" spans="1:8" ht="30" x14ac:dyDescent="0.25">
      <c r="A19" s="343">
        <v>16</v>
      </c>
      <c r="B19" s="342" t="s">
        <v>1255</v>
      </c>
      <c r="C19" s="342" t="s">
        <v>1437</v>
      </c>
      <c r="D19" s="343" t="s">
        <v>1438</v>
      </c>
      <c r="E19" s="343" t="s">
        <v>1217</v>
      </c>
      <c r="F19" s="348"/>
      <c r="G19" s="348"/>
      <c r="H19" s="348"/>
    </row>
    <row r="20" spans="1:8" x14ac:dyDescent="0.25">
      <c r="A20" s="341">
        <v>17</v>
      </c>
      <c r="B20" s="342" t="s">
        <v>1260</v>
      </c>
      <c r="C20" s="342" t="s">
        <v>1261</v>
      </c>
      <c r="D20" s="343" t="s">
        <v>1262</v>
      </c>
      <c r="E20" s="343" t="s">
        <v>1217</v>
      </c>
      <c r="F20" s="348"/>
      <c r="G20" s="348"/>
      <c r="H20" s="348"/>
    </row>
    <row r="21" spans="1:8" ht="77.25" customHeight="1" x14ac:dyDescent="0.25">
      <c r="A21" s="343">
        <v>18</v>
      </c>
      <c r="B21" s="342" t="s">
        <v>1260</v>
      </c>
      <c r="C21" s="342" t="s">
        <v>1263</v>
      </c>
      <c r="D21" s="343" t="s">
        <v>1264</v>
      </c>
      <c r="E21" s="343" t="s">
        <v>1217</v>
      </c>
      <c r="F21" s="348"/>
      <c r="G21" s="348"/>
      <c r="H21" s="348"/>
    </row>
    <row r="22" spans="1:8" ht="31.5" customHeight="1" x14ac:dyDescent="0.25">
      <c r="A22" s="341">
        <v>19</v>
      </c>
      <c r="B22" s="342" t="s">
        <v>1260</v>
      </c>
      <c r="C22" s="342" t="s">
        <v>1265</v>
      </c>
      <c r="D22" s="343" t="s">
        <v>1266</v>
      </c>
      <c r="E22" s="343" t="s">
        <v>1217</v>
      </c>
      <c r="F22" s="348"/>
      <c r="G22" s="348"/>
      <c r="H22" s="348"/>
    </row>
    <row r="23" spans="1:8" ht="30" x14ac:dyDescent="0.25">
      <c r="A23" s="343">
        <v>20</v>
      </c>
      <c r="B23" s="342" t="s">
        <v>1260</v>
      </c>
      <c r="C23" s="342" t="s">
        <v>1267</v>
      </c>
      <c r="D23" s="343" t="s">
        <v>1268</v>
      </c>
      <c r="E23" s="343" t="s">
        <v>1217</v>
      </c>
      <c r="F23" s="348"/>
      <c r="G23" s="348"/>
      <c r="H23" s="348"/>
    </row>
    <row r="24" spans="1:8" ht="30" x14ac:dyDescent="0.25">
      <c r="A24" s="341">
        <v>21</v>
      </c>
      <c r="B24" s="342" t="s">
        <v>1260</v>
      </c>
      <c r="C24" s="342" t="s">
        <v>1269</v>
      </c>
      <c r="D24" s="343" t="s">
        <v>1270</v>
      </c>
      <c r="E24" s="343" t="s">
        <v>1217</v>
      </c>
      <c r="F24" s="348"/>
      <c r="G24" s="348"/>
      <c r="H24" s="348"/>
    </row>
    <row r="25" spans="1:8" ht="30" x14ac:dyDescent="0.25">
      <c r="A25" s="343">
        <v>22</v>
      </c>
      <c r="B25" s="342" t="s">
        <v>1260</v>
      </c>
      <c r="C25" s="342" t="s">
        <v>1271</v>
      </c>
      <c r="D25" s="343" t="s">
        <v>1272</v>
      </c>
      <c r="E25" s="343" t="s">
        <v>1217</v>
      </c>
      <c r="F25" s="348"/>
      <c r="G25" s="348"/>
      <c r="H25" s="348"/>
    </row>
    <row r="26" spans="1:8" ht="45" x14ac:dyDescent="0.25">
      <c r="A26" s="341">
        <v>23</v>
      </c>
      <c r="B26" s="342" t="s">
        <v>1260</v>
      </c>
      <c r="C26" s="342" t="s">
        <v>1273</v>
      </c>
      <c r="D26" s="343" t="s">
        <v>1274</v>
      </c>
      <c r="E26" s="343" t="s">
        <v>1217</v>
      </c>
      <c r="F26" s="348"/>
      <c r="G26" s="348"/>
      <c r="H26" s="348"/>
    </row>
    <row r="27" spans="1:8" ht="30" x14ac:dyDescent="0.25">
      <c r="A27" s="343">
        <v>24</v>
      </c>
      <c r="B27" s="342" t="s">
        <v>1260</v>
      </c>
      <c r="C27" s="342" t="s">
        <v>1279</v>
      </c>
      <c r="D27" s="343" t="s">
        <v>1280</v>
      </c>
      <c r="E27" s="343" t="s">
        <v>1172</v>
      </c>
      <c r="F27" s="348"/>
      <c r="G27" s="348"/>
      <c r="H27" s="348"/>
    </row>
    <row r="28" spans="1:8" ht="32.25" customHeight="1" x14ac:dyDescent="0.25">
      <c r="A28" s="341">
        <v>25</v>
      </c>
      <c r="B28" s="342" t="s">
        <v>1260</v>
      </c>
      <c r="C28" s="342" t="s">
        <v>1281</v>
      </c>
      <c r="D28" s="343" t="s">
        <v>1282</v>
      </c>
      <c r="E28" s="343" t="s">
        <v>1172</v>
      </c>
      <c r="F28" s="348"/>
      <c r="G28" s="348"/>
      <c r="H28" s="348"/>
    </row>
    <row r="29" spans="1:8" ht="30" x14ac:dyDescent="0.25">
      <c r="A29" s="343">
        <v>26</v>
      </c>
      <c r="B29" s="342" t="s">
        <v>1313</v>
      </c>
      <c r="C29" s="342" t="s">
        <v>1439</v>
      </c>
      <c r="D29" s="343" t="s">
        <v>1440</v>
      </c>
      <c r="E29" s="347" t="s">
        <v>1172</v>
      </c>
      <c r="F29" s="348"/>
      <c r="G29" s="348"/>
      <c r="H29" s="348"/>
    </row>
    <row r="30" spans="1:8" ht="45" x14ac:dyDescent="0.25">
      <c r="A30" s="341">
        <v>27</v>
      </c>
      <c r="B30" s="342" t="s">
        <v>1313</v>
      </c>
      <c r="C30" s="342" t="s">
        <v>1441</v>
      </c>
      <c r="D30" s="343" t="s">
        <v>1442</v>
      </c>
      <c r="E30" s="347" t="s">
        <v>1172</v>
      </c>
      <c r="F30" s="348"/>
      <c r="G30" s="348"/>
      <c r="H30" s="348"/>
    </row>
    <row r="31" spans="1:8" ht="45" x14ac:dyDescent="0.25">
      <c r="A31" s="343">
        <v>28</v>
      </c>
      <c r="B31" s="342" t="s">
        <v>1319</v>
      </c>
      <c r="C31" s="342" t="s">
        <v>1443</v>
      </c>
      <c r="D31" s="343" t="s">
        <v>1444</v>
      </c>
      <c r="E31" s="347" t="s">
        <v>1154</v>
      </c>
      <c r="F31" s="348"/>
      <c r="G31" s="348"/>
      <c r="H31" s="348"/>
    </row>
    <row r="32" spans="1:8" ht="45" x14ac:dyDescent="0.25">
      <c r="A32" s="341">
        <v>29</v>
      </c>
      <c r="B32" s="342" t="s">
        <v>1319</v>
      </c>
      <c r="C32" s="342" t="s">
        <v>1443</v>
      </c>
      <c r="D32" s="343" t="s">
        <v>1444</v>
      </c>
      <c r="E32" s="347" t="s">
        <v>1217</v>
      </c>
      <c r="F32" s="348"/>
      <c r="G32" s="348"/>
      <c r="H32" s="348"/>
    </row>
    <row r="33" spans="1:8" ht="30" x14ac:dyDescent="0.25">
      <c r="A33" s="343">
        <v>30</v>
      </c>
      <c r="B33" s="342" t="s">
        <v>1324</v>
      </c>
      <c r="C33" s="342" t="s">
        <v>1325</v>
      </c>
      <c r="D33" s="343" t="s">
        <v>1326</v>
      </c>
      <c r="E33" s="347" t="s">
        <v>1217</v>
      </c>
      <c r="F33" s="348"/>
      <c r="G33" s="348"/>
      <c r="H33" s="348"/>
    </row>
    <row r="34" spans="1:8" ht="108" customHeight="1" x14ac:dyDescent="0.25">
      <c r="A34" s="341">
        <v>31</v>
      </c>
      <c r="B34" s="342" t="s">
        <v>1324</v>
      </c>
      <c r="C34" s="342" t="s">
        <v>1327</v>
      </c>
      <c r="D34" s="343" t="s">
        <v>1328</v>
      </c>
      <c r="E34" s="347" t="s">
        <v>1217</v>
      </c>
      <c r="F34" s="348"/>
      <c r="G34" s="348"/>
      <c r="H34" s="348"/>
    </row>
    <row r="35" spans="1:8" ht="30" x14ac:dyDescent="0.25">
      <c r="A35" s="343">
        <v>32</v>
      </c>
      <c r="B35" s="342" t="s">
        <v>1324</v>
      </c>
      <c r="C35" s="342" t="s">
        <v>1329</v>
      </c>
      <c r="D35" s="343" t="s">
        <v>1330</v>
      </c>
      <c r="E35" s="347" t="s">
        <v>1217</v>
      </c>
      <c r="F35" s="348"/>
      <c r="G35" s="348"/>
      <c r="H35" s="348"/>
    </row>
    <row r="36" spans="1:8" ht="30" x14ac:dyDescent="0.25">
      <c r="A36" s="341">
        <v>33</v>
      </c>
      <c r="B36" s="342" t="s">
        <v>1324</v>
      </c>
      <c r="C36" s="342" t="s">
        <v>1331</v>
      </c>
      <c r="D36" s="343" t="s">
        <v>1332</v>
      </c>
      <c r="E36" s="347" t="s">
        <v>1217</v>
      </c>
      <c r="F36" s="348"/>
      <c r="G36" s="348"/>
      <c r="H36" s="348"/>
    </row>
    <row r="37" spans="1:8" ht="30" x14ac:dyDescent="0.25">
      <c r="A37" s="343">
        <v>34</v>
      </c>
      <c r="B37" s="342" t="s">
        <v>1324</v>
      </c>
      <c r="C37" s="342" t="s">
        <v>1333</v>
      </c>
      <c r="D37" s="343" t="s">
        <v>1334</v>
      </c>
      <c r="E37" s="347" t="s">
        <v>1217</v>
      </c>
      <c r="F37" s="348"/>
      <c r="G37" s="348"/>
      <c r="H37" s="348"/>
    </row>
    <row r="38" spans="1:8" ht="45" x14ac:dyDescent="0.25">
      <c r="A38" s="341">
        <v>35</v>
      </c>
      <c r="B38" s="342" t="s">
        <v>1324</v>
      </c>
      <c r="C38" s="342" t="s">
        <v>1335</v>
      </c>
      <c r="D38" s="343" t="s">
        <v>1336</v>
      </c>
      <c r="E38" s="347" t="s">
        <v>1217</v>
      </c>
      <c r="F38" s="348"/>
      <c r="G38" s="348"/>
      <c r="H38" s="348"/>
    </row>
    <row r="39" spans="1:8" ht="60" x14ac:dyDescent="0.25">
      <c r="A39" s="343">
        <v>36</v>
      </c>
      <c r="B39" s="342" t="s">
        <v>1324</v>
      </c>
      <c r="C39" s="342" t="s">
        <v>1337</v>
      </c>
      <c r="D39" s="343" t="s">
        <v>1338</v>
      </c>
      <c r="E39" s="347" t="s">
        <v>1217</v>
      </c>
      <c r="F39" s="348"/>
      <c r="G39" s="348"/>
      <c r="H39" s="348"/>
    </row>
    <row r="40" spans="1:8" ht="30" x14ac:dyDescent="0.25">
      <c r="A40" s="341">
        <v>37</v>
      </c>
      <c r="B40" s="342" t="s">
        <v>1324</v>
      </c>
      <c r="C40" s="342" t="s">
        <v>1343</v>
      </c>
      <c r="D40" s="343" t="s">
        <v>1344</v>
      </c>
      <c r="E40" s="347" t="s">
        <v>1172</v>
      </c>
      <c r="F40" s="348"/>
      <c r="G40" s="348"/>
      <c r="H40" s="348"/>
    </row>
    <row r="41" spans="1:8" ht="30" x14ac:dyDescent="0.25">
      <c r="A41" s="343">
        <v>38</v>
      </c>
      <c r="B41" s="342" t="s">
        <v>1324</v>
      </c>
      <c r="C41" s="342" t="s">
        <v>1345</v>
      </c>
      <c r="D41" s="343" t="s">
        <v>1346</v>
      </c>
      <c r="E41" s="347" t="s">
        <v>1172</v>
      </c>
      <c r="F41" s="348"/>
      <c r="G41" s="348"/>
      <c r="H41" s="348"/>
    </row>
    <row r="42" spans="1:8" x14ac:dyDescent="0.25">
      <c r="A42" s="341">
        <v>39</v>
      </c>
      <c r="B42" s="342" t="s">
        <v>1352</v>
      </c>
      <c r="C42" s="342" t="s">
        <v>1445</v>
      </c>
      <c r="D42" s="343" t="s">
        <v>1446</v>
      </c>
      <c r="E42" s="347" t="s">
        <v>1172</v>
      </c>
      <c r="F42" s="348"/>
      <c r="G42" s="348"/>
      <c r="H42" s="348"/>
    </row>
    <row r="43" spans="1:8" ht="30" x14ac:dyDescent="0.25">
      <c r="A43" s="343">
        <v>40</v>
      </c>
      <c r="B43" s="342" t="s">
        <v>1352</v>
      </c>
      <c r="C43" s="342" t="s">
        <v>1447</v>
      </c>
      <c r="D43" s="343" t="s">
        <v>1448</v>
      </c>
      <c r="E43" s="347" t="s">
        <v>1172</v>
      </c>
      <c r="F43" s="348"/>
      <c r="G43" s="348"/>
      <c r="H43" s="348"/>
    </row>
    <row r="44" spans="1:8" ht="30" x14ac:dyDescent="0.25">
      <c r="A44" s="341">
        <v>41</v>
      </c>
      <c r="B44" s="342" t="s">
        <v>1352</v>
      </c>
      <c r="C44" s="342" t="s">
        <v>1475</v>
      </c>
      <c r="D44" s="343" t="s">
        <v>1476</v>
      </c>
      <c r="E44" s="347" t="s">
        <v>1518</v>
      </c>
      <c r="F44" s="348"/>
      <c r="G44" s="348"/>
      <c r="H44" s="348"/>
    </row>
    <row r="45" spans="1:8" x14ac:dyDescent="0.25">
      <c r="A45" s="343">
        <v>42</v>
      </c>
      <c r="B45" s="342" t="s">
        <v>1355</v>
      </c>
      <c r="C45" s="342" t="s">
        <v>1372</v>
      </c>
      <c r="D45" s="343" t="s">
        <v>1373</v>
      </c>
      <c r="E45" s="347" t="s">
        <v>1154</v>
      </c>
      <c r="F45" s="348"/>
      <c r="G45" s="348"/>
      <c r="H45" s="348"/>
    </row>
    <row r="46" spans="1:8" ht="30" x14ac:dyDescent="0.25">
      <c r="A46" s="341">
        <v>43</v>
      </c>
      <c r="B46" s="342" t="s">
        <v>1355</v>
      </c>
      <c r="C46" s="342" t="s">
        <v>1376</v>
      </c>
      <c r="D46" s="343" t="s">
        <v>1377</v>
      </c>
      <c r="E46" s="347" t="s">
        <v>1154</v>
      </c>
      <c r="F46" s="348"/>
      <c r="G46" s="348"/>
      <c r="H46" s="348"/>
    </row>
    <row r="47" spans="1:8" ht="30" x14ac:dyDescent="0.25">
      <c r="A47" s="343">
        <v>44</v>
      </c>
      <c r="B47" s="342" t="s">
        <v>1355</v>
      </c>
      <c r="C47" s="342" t="s">
        <v>1378</v>
      </c>
      <c r="D47" s="343" t="s">
        <v>1379</v>
      </c>
      <c r="E47" s="347" t="s">
        <v>1172</v>
      </c>
      <c r="F47" s="348"/>
      <c r="G47" s="348"/>
      <c r="H47" s="348"/>
    </row>
    <row r="48" spans="1:8" ht="45" x14ac:dyDescent="0.25">
      <c r="A48" s="341">
        <v>45</v>
      </c>
      <c r="B48" s="342" t="s">
        <v>1395</v>
      </c>
      <c r="C48" s="342" t="s">
        <v>1449</v>
      </c>
      <c r="D48" s="343" t="s">
        <v>1450</v>
      </c>
      <c r="E48" s="347" t="s">
        <v>1172</v>
      </c>
      <c r="F48" s="348"/>
      <c r="G48" s="348"/>
      <c r="H48" s="348"/>
    </row>
    <row r="49" spans="1:8" x14ac:dyDescent="0.25">
      <c r="A49" s="343">
        <v>46</v>
      </c>
      <c r="B49" s="342" t="s">
        <v>1395</v>
      </c>
      <c r="C49" s="342" t="s">
        <v>1396</v>
      </c>
      <c r="D49" s="343" t="s">
        <v>1397</v>
      </c>
      <c r="E49" s="347" t="s">
        <v>1172</v>
      </c>
      <c r="F49" s="348"/>
      <c r="G49" s="348"/>
      <c r="H49" s="348"/>
    </row>
    <row r="50" spans="1:8" ht="30" x14ac:dyDescent="0.25">
      <c r="A50" s="341">
        <v>47</v>
      </c>
      <c r="B50" s="342" t="s">
        <v>1400</v>
      </c>
      <c r="C50" s="342" t="s">
        <v>1451</v>
      </c>
      <c r="D50" s="343" t="s">
        <v>1452</v>
      </c>
      <c r="E50" s="347" t="s">
        <v>1172</v>
      </c>
      <c r="F50" s="348"/>
      <c r="G50" s="348"/>
      <c r="H50" s="348"/>
    </row>
    <row r="51" spans="1:8" x14ac:dyDescent="0.25">
      <c r="A51" s="343">
        <v>48</v>
      </c>
      <c r="B51" s="342" t="s">
        <v>1400</v>
      </c>
      <c r="C51" s="342" t="s">
        <v>1453</v>
      </c>
      <c r="D51" s="343" t="s">
        <v>1454</v>
      </c>
      <c r="E51" s="347" t="s">
        <v>1172</v>
      </c>
      <c r="F51" s="348"/>
      <c r="G51" s="348"/>
      <c r="H51" s="348"/>
    </row>
  </sheetData>
  <mergeCells count="1">
    <mergeCell ref="A1:H1"/>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76432E-68AA-42AF-98BE-0DCCA75B9EEB}">
  <dimension ref="A1:H33"/>
  <sheetViews>
    <sheetView workbookViewId="0">
      <selection activeCell="F4" sqref="F4"/>
    </sheetView>
  </sheetViews>
  <sheetFormatPr defaultRowHeight="15" x14ac:dyDescent="0.25"/>
  <cols>
    <col min="1" max="1" width="5.5703125" style="355" customWidth="1"/>
    <col min="2" max="2" width="34.28515625" style="354" customWidth="1"/>
    <col min="3" max="3" width="74.7109375" style="354" customWidth="1"/>
    <col min="4" max="4" width="14.140625" style="355" bestFit="1" customWidth="1"/>
    <col min="5" max="5" width="24.7109375" style="356" bestFit="1" customWidth="1"/>
    <col min="6" max="6" width="38.85546875" customWidth="1"/>
    <col min="7" max="7" width="38.5703125" customWidth="1"/>
    <col min="8" max="8" width="38.42578125" customWidth="1"/>
  </cols>
  <sheetData>
    <row r="1" spans="1:8" s="336" customFormat="1" ht="28.5" x14ac:dyDescent="0.45">
      <c r="A1" s="521" t="s">
        <v>1519</v>
      </c>
      <c r="B1" s="521"/>
      <c r="C1" s="521"/>
      <c r="D1" s="521"/>
      <c r="E1" s="521"/>
      <c r="F1" s="521"/>
      <c r="G1" s="521"/>
      <c r="H1" s="521"/>
    </row>
    <row r="3" spans="1:8" s="340" customFormat="1" ht="90.75" thickBot="1" x14ac:dyDescent="0.3">
      <c r="A3" s="358" t="s">
        <v>1408</v>
      </c>
      <c r="B3" s="358" t="s">
        <v>1135</v>
      </c>
      <c r="C3" s="358" t="s">
        <v>1136</v>
      </c>
      <c r="D3" s="359" t="s">
        <v>1137</v>
      </c>
      <c r="E3" s="358" t="s">
        <v>1138</v>
      </c>
      <c r="F3" s="338" t="s">
        <v>1671</v>
      </c>
      <c r="G3" s="338" t="s">
        <v>1140</v>
      </c>
      <c r="H3" s="338" t="s">
        <v>1141</v>
      </c>
    </row>
    <row r="4" spans="1:8" ht="30" x14ac:dyDescent="0.25">
      <c r="A4" s="343">
        <v>1</v>
      </c>
      <c r="B4" s="342" t="s">
        <v>1142</v>
      </c>
      <c r="C4" s="342" t="s">
        <v>1520</v>
      </c>
      <c r="D4" s="343" t="s">
        <v>1521</v>
      </c>
      <c r="E4" s="347" t="s">
        <v>1172</v>
      </c>
      <c r="F4" s="348"/>
      <c r="G4" s="348"/>
      <c r="H4" s="348"/>
    </row>
    <row r="5" spans="1:8" ht="45" x14ac:dyDescent="0.25">
      <c r="A5" s="343">
        <v>2</v>
      </c>
      <c r="B5" s="342" t="s">
        <v>1148</v>
      </c>
      <c r="C5" s="342" t="s">
        <v>1522</v>
      </c>
      <c r="D5" s="343" t="s">
        <v>1523</v>
      </c>
      <c r="E5" s="347" t="s">
        <v>1172</v>
      </c>
      <c r="F5" s="348"/>
      <c r="G5" s="348"/>
      <c r="H5" s="348"/>
    </row>
    <row r="6" spans="1:8" ht="45" x14ac:dyDescent="0.25">
      <c r="A6" s="343">
        <v>3</v>
      </c>
      <c r="B6" s="342" t="s">
        <v>1159</v>
      </c>
      <c r="C6" s="342" t="s">
        <v>1524</v>
      </c>
      <c r="D6" s="343" t="s">
        <v>1525</v>
      </c>
      <c r="E6" s="347" t="s">
        <v>1172</v>
      </c>
      <c r="F6" s="348"/>
      <c r="G6" s="348"/>
      <c r="H6" s="348"/>
    </row>
    <row r="7" spans="1:8" x14ac:dyDescent="0.25">
      <c r="A7" s="343">
        <v>4</v>
      </c>
      <c r="B7" s="342" t="s">
        <v>1159</v>
      </c>
      <c r="C7" s="342" t="s">
        <v>1526</v>
      </c>
      <c r="D7" s="343" t="s">
        <v>1527</v>
      </c>
      <c r="E7" s="347" t="s">
        <v>1145</v>
      </c>
      <c r="F7" s="348"/>
      <c r="G7" s="348"/>
      <c r="H7" s="348"/>
    </row>
    <row r="8" spans="1:8" x14ac:dyDescent="0.25">
      <c r="A8" s="343">
        <v>5</v>
      </c>
      <c r="B8" s="342" t="s">
        <v>1159</v>
      </c>
      <c r="C8" s="342" t="s">
        <v>1528</v>
      </c>
      <c r="D8" s="343" t="s">
        <v>1529</v>
      </c>
      <c r="E8" s="347" t="s">
        <v>1145</v>
      </c>
      <c r="F8" s="348"/>
      <c r="G8" s="348"/>
      <c r="H8" s="348"/>
    </row>
    <row r="9" spans="1:8" ht="30" x14ac:dyDescent="0.25">
      <c r="A9" s="343">
        <v>6</v>
      </c>
      <c r="B9" s="342" t="s">
        <v>1530</v>
      </c>
      <c r="C9" s="342" t="s">
        <v>1531</v>
      </c>
      <c r="D9" s="343" t="s">
        <v>1532</v>
      </c>
      <c r="E9" s="347" t="s">
        <v>1172</v>
      </c>
      <c r="F9" s="348"/>
      <c r="G9" s="348"/>
      <c r="H9" s="348"/>
    </row>
    <row r="10" spans="1:8" ht="90" x14ac:dyDescent="0.25">
      <c r="A10" s="343">
        <v>7</v>
      </c>
      <c r="B10" s="342" t="s">
        <v>1530</v>
      </c>
      <c r="C10" s="342" t="s">
        <v>1533</v>
      </c>
      <c r="D10" s="343" t="s">
        <v>1534</v>
      </c>
      <c r="E10" s="347" t="s">
        <v>1145</v>
      </c>
      <c r="F10" s="348"/>
      <c r="G10" s="348"/>
      <c r="H10" s="348"/>
    </row>
    <row r="11" spans="1:8" ht="90" x14ac:dyDescent="0.25">
      <c r="A11" s="343">
        <v>8</v>
      </c>
      <c r="B11" s="342" t="s">
        <v>1530</v>
      </c>
      <c r="C11" s="342" t="s">
        <v>1533</v>
      </c>
      <c r="D11" s="343" t="s">
        <v>1534</v>
      </c>
      <c r="E11" s="347" t="s">
        <v>1189</v>
      </c>
      <c r="F11" s="348"/>
      <c r="G11" s="348"/>
      <c r="H11" s="348"/>
    </row>
    <row r="12" spans="1:8" ht="30" x14ac:dyDescent="0.25">
      <c r="A12" s="343">
        <v>9</v>
      </c>
      <c r="B12" s="342" t="s">
        <v>1175</v>
      </c>
      <c r="C12" s="342" t="s">
        <v>1535</v>
      </c>
      <c r="D12" s="343" t="s">
        <v>1536</v>
      </c>
      <c r="E12" s="343" t="s">
        <v>1189</v>
      </c>
      <c r="F12" s="348"/>
      <c r="G12" s="348"/>
      <c r="H12" s="348"/>
    </row>
    <row r="13" spans="1:8" ht="30" x14ac:dyDescent="0.25">
      <c r="A13" s="343">
        <v>10</v>
      </c>
      <c r="B13" s="342" t="s">
        <v>1192</v>
      </c>
      <c r="C13" s="342" t="s">
        <v>1537</v>
      </c>
      <c r="D13" s="343" t="s">
        <v>1538</v>
      </c>
      <c r="E13" s="347" t="s">
        <v>1145</v>
      </c>
      <c r="F13" s="348"/>
      <c r="G13" s="348"/>
      <c r="H13" s="348"/>
    </row>
    <row r="14" spans="1:8" ht="30" x14ac:dyDescent="0.25">
      <c r="A14" s="343">
        <v>11</v>
      </c>
      <c r="B14" s="342" t="s">
        <v>1192</v>
      </c>
      <c r="C14" s="342" t="s">
        <v>1537</v>
      </c>
      <c r="D14" s="343" t="s">
        <v>1538</v>
      </c>
      <c r="E14" s="347" t="s">
        <v>1172</v>
      </c>
      <c r="F14" s="348"/>
      <c r="G14" s="348"/>
      <c r="H14" s="348"/>
    </row>
    <row r="15" spans="1:8" ht="30" x14ac:dyDescent="0.25">
      <c r="A15" s="343">
        <v>12</v>
      </c>
      <c r="B15" s="342" t="s">
        <v>1211</v>
      </c>
      <c r="C15" s="342" t="s">
        <v>1539</v>
      </c>
      <c r="D15" s="343" t="s">
        <v>1540</v>
      </c>
      <c r="E15" s="347" t="s">
        <v>1145</v>
      </c>
      <c r="F15" s="348"/>
      <c r="G15" s="348"/>
      <c r="H15" s="348"/>
    </row>
    <row r="16" spans="1:8" x14ac:dyDescent="0.25">
      <c r="A16" s="343">
        <v>13</v>
      </c>
      <c r="B16" s="342" t="s">
        <v>1211</v>
      </c>
      <c r="C16" s="342" t="s">
        <v>1541</v>
      </c>
      <c r="D16" s="343" t="s">
        <v>1542</v>
      </c>
      <c r="E16" s="347" t="s">
        <v>1145</v>
      </c>
      <c r="F16" s="348"/>
      <c r="G16" s="348"/>
      <c r="H16" s="348"/>
    </row>
    <row r="17" spans="1:8" ht="30" x14ac:dyDescent="0.25">
      <c r="A17" s="343">
        <v>14</v>
      </c>
      <c r="B17" s="342" t="s">
        <v>1214</v>
      </c>
      <c r="C17" s="342" t="s">
        <v>1543</v>
      </c>
      <c r="D17" s="343" t="s">
        <v>1544</v>
      </c>
      <c r="E17" s="347" t="s">
        <v>1172</v>
      </c>
      <c r="F17" s="348"/>
      <c r="G17" s="348"/>
      <c r="H17" s="348"/>
    </row>
    <row r="18" spans="1:8" ht="45" x14ac:dyDescent="0.25">
      <c r="A18" s="343">
        <v>15</v>
      </c>
      <c r="B18" s="342" t="s">
        <v>1229</v>
      </c>
      <c r="C18" s="342" t="s">
        <v>1545</v>
      </c>
      <c r="D18" s="343" t="s">
        <v>1546</v>
      </c>
      <c r="E18" s="347" t="s">
        <v>1145</v>
      </c>
      <c r="F18" s="348"/>
      <c r="G18" s="348"/>
      <c r="H18" s="348"/>
    </row>
    <row r="19" spans="1:8" ht="45" x14ac:dyDescent="0.25">
      <c r="A19" s="343">
        <v>16</v>
      </c>
      <c r="B19" s="342" t="s">
        <v>1229</v>
      </c>
      <c r="C19" s="342" t="s">
        <v>1545</v>
      </c>
      <c r="D19" s="343" t="s">
        <v>1546</v>
      </c>
      <c r="E19" s="347" t="s">
        <v>1189</v>
      </c>
      <c r="F19" s="348"/>
      <c r="G19" s="348"/>
      <c r="H19" s="348"/>
    </row>
    <row r="20" spans="1:8" ht="45" x14ac:dyDescent="0.25">
      <c r="A20" s="343">
        <v>17</v>
      </c>
      <c r="B20" s="342" t="s">
        <v>1229</v>
      </c>
      <c r="C20" s="342" t="s">
        <v>1545</v>
      </c>
      <c r="D20" s="343" t="s">
        <v>1546</v>
      </c>
      <c r="E20" s="347" t="s">
        <v>1240</v>
      </c>
      <c r="F20" s="348"/>
      <c r="G20" s="348"/>
      <c r="H20" s="348"/>
    </row>
    <row r="21" spans="1:8" ht="30" x14ac:dyDescent="0.25">
      <c r="A21" s="343">
        <v>18</v>
      </c>
      <c r="B21" s="342" t="s">
        <v>1229</v>
      </c>
      <c r="C21" s="342" t="s">
        <v>1547</v>
      </c>
      <c r="D21" s="343" t="s">
        <v>1548</v>
      </c>
      <c r="E21" s="343" t="s">
        <v>1145</v>
      </c>
      <c r="F21" s="348"/>
      <c r="G21" s="348"/>
      <c r="H21" s="348"/>
    </row>
    <row r="22" spans="1:8" ht="30" x14ac:dyDescent="0.25">
      <c r="A22" s="343">
        <v>19</v>
      </c>
      <c r="B22" s="342" t="s">
        <v>1241</v>
      </c>
      <c r="C22" s="342" t="s">
        <v>1549</v>
      </c>
      <c r="D22" s="343" t="s">
        <v>1550</v>
      </c>
      <c r="E22" s="343" t="s">
        <v>1172</v>
      </c>
      <c r="F22" s="348"/>
      <c r="G22" s="348"/>
      <c r="H22" s="348"/>
    </row>
    <row r="23" spans="1:8" ht="30" x14ac:dyDescent="0.25">
      <c r="A23" s="343">
        <v>20</v>
      </c>
      <c r="B23" s="342" t="s">
        <v>1252</v>
      </c>
      <c r="C23" s="342" t="s">
        <v>1551</v>
      </c>
      <c r="D23" s="343" t="s">
        <v>1552</v>
      </c>
      <c r="E23" s="343" t="s">
        <v>1172</v>
      </c>
      <c r="F23" s="348"/>
      <c r="G23" s="348"/>
      <c r="H23" s="348"/>
    </row>
    <row r="24" spans="1:8" ht="30" x14ac:dyDescent="0.25">
      <c r="A24" s="343">
        <v>21</v>
      </c>
      <c r="B24" s="342" t="s">
        <v>1252</v>
      </c>
      <c r="C24" s="342" t="s">
        <v>1553</v>
      </c>
      <c r="D24" s="343" t="s">
        <v>1554</v>
      </c>
      <c r="E24" s="343" t="s">
        <v>1172</v>
      </c>
      <c r="F24" s="343"/>
      <c r="G24" s="348"/>
      <c r="H24" s="348"/>
    </row>
    <row r="25" spans="1:8" x14ac:dyDescent="0.25">
      <c r="A25" s="343">
        <v>22</v>
      </c>
      <c r="B25" s="342" t="s">
        <v>1252</v>
      </c>
      <c r="C25" s="342" t="s">
        <v>1555</v>
      </c>
      <c r="D25" s="343" t="s">
        <v>1556</v>
      </c>
      <c r="E25" s="343" t="s">
        <v>1145</v>
      </c>
      <c r="F25" s="348"/>
      <c r="G25" s="348"/>
      <c r="H25" s="348"/>
    </row>
    <row r="26" spans="1:8" ht="30" x14ac:dyDescent="0.25">
      <c r="A26" s="343">
        <v>23</v>
      </c>
      <c r="B26" s="342" t="s">
        <v>1283</v>
      </c>
      <c r="C26" s="342" t="s">
        <v>1557</v>
      </c>
      <c r="D26" s="343" t="s">
        <v>1558</v>
      </c>
      <c r="E26" s="343" t="s">
        <v>1172</v>
      </c>
      <c r="F26" s="348"/>
      <c r="G26" s="348"/>
      <c r="H26" s="348"/>
    </row>
    <row r="27" spans="1:8" ht="30" x14ac:dyDescent="0.25">
      <c r="A27" s="343">
        <v>24</v>
      </c>
      <c r="B27" s="342" t="s">
        <v>1288</v>
      </c>
      <c r="C27" s="342" t="s">
        <v>1559</v>
      </c>
      <c r="D27" s="343" t="s">
        <v>1560</v>
      </c>
      <c r="E27" s="343" t="s">
        <v>1145</v>
      </c>
      <c r="F27" s="348"/>
      <c r="G27" s="348"/>
      <c r="H27" s="348"/>
    </row>
    <row r="28" spans="1:8" ht="45" x14ac:dyDescent="0.25">
      <c r="A28" s="343">
        <v>25</v>
      </c>
      <c r="B28" s="342" t="s">
        <v>1299</v>
      </c>
      <c r="C28" s="342" t="s">
        <v>1561</v>
      </c>
      <c r="D28" s="343" t="s">
        <v>1562</v>
      </c>
      <c r="E28" s="347" t="s">
        <v>1172</v>
      </c>
      <c r="F28" s="348"/>
      <c r="G28" s="348"/>
      <c r="H28" s="348"/>
    </row>
    <row r="29" spans="1:8" ht="30" x14ac:dyDescent="0.25">
      <c r="A29" s="343">
        <v>26</v>
      </c>
      <c r="B29" s="342" t="s">
        <v>1316</v>
      </c>
      <c r="C29" s="342" t="s">
        <v>1563</v>
      </c>
      <c r="D29" s="343" t="s">
        <v>1564</v>
      </c>
      <c r="E29" s="347" t="s">
        <v>1172</v>
      </c>
      <c r="F29" s="348"/>
      <c r="G29" s="348"/>
      <c r="H29" s="348"/>
    </row>
    <row r="30" spans="1:8" ht="30" x14ac:dyDescent="0.25">
      <c r="A30" s="343">
        <v>27</v>
      </c>
      <c r="B30" s="342" t="s">
        <v>1316</v>
      </c>
      <c r="C30" s="342" t="s">
        <v>1565</v>
      </c>
      <c r="D30" s="343" t="s">
        <v>1566</v>
      </c>
      <c r="E30" s="347" t="s">
        <v>1172</v>
      </c>
      <c r="F30" s="348"/>
      <c r="G30" s="348"/>
      <c r="H30" s="348"/>
    </row>
    <row r="31" spans="1:8" ht="30" x14ac:dyDescent="0.25">
      <c r="A31" s="343">
        <v>28</v>
      </c>
      <c r="B31" s="342" t="s">
        <v>1347</v>
      </c>
      <c r="C31" s="342" t="s">
        <v>1567</v>
      </c>
      <c r="D31" s="343" t="s">
        <v>1568</v>
      </c>
      <c r="E31" s="347" t="s">
        <v>1172</v>
      </c>
      <c r="F31" s="348"/>
      <c r="G31" s="348"/>
      <c r="H31" s="348"/>
    </row>
    <row r="32" spans="1:8" ht="45" x14ac:dyDescent="0.25">
      <c r="A32" s="343">
        <v>29</v>
      </c>
      <c r="B32" s="342" t="s">
        <v>1355</v>
      </c>
      <c r="C32" s="342" t="s">
        <v>1569</v>
      </c>
      <c r="D32" s="343" t="s">
        <v>1570</v>
      </c>
      <c r="E32" s="347" t="s">
        <v>1172</v>
      </c>
      <c r="F32" s="348"/>
      <c r="G32" s="348"/>
      <c r="H32" s="348"/>
    </row>
    <row r="33" spans="1:8" ht="45" x14ac:dyDescent="0.25">
      <c r="A33" s="343">
        <v>30</v>
      </c>
      <c r="B33" s="342" t="s">
        <v>1386</v>
      </c>
      <c r="C33" s="342" t="s">
        <v>1571</v>
      </c>
      <c r="D33" s="343" t="s">
        <v>1572</v>
      </c>
      <c r="E33" s="347" t="s">
        <v>1172</v>
      </c>
      <c r="F33" s="348"/>
      <c r="G33" s="348"/>
      <c r="H33" s="348"/>
    </row>
  </sheetData>
  <mergeCells count="1">
    <mergeCell ref="A1:H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236C64-6FBD-4BEB-82D8-155D81BA057B}">
  <dimension ref="A1:H37"/>
  <sheetViews>
    <sheetView workbookViewId="0">
      <selection activeCell="F4" sqref="F4"/>
    </sheetView>
  </sheetViews>
  <sheetFormatPr defaultRowHeight="15" x14ac:dyDescent="0.25"/>
  <cols>
    <col min="1" max="1" width="5.5703125" style="355" customWidth="1"/>
    <col min="2" max="2" width="34.28515625" style="354" customWidth="1"/>
    <col min="3" max="3" width="74.7109375" style="354" customWidth="1"/>
    <col min="4" max="4" width="14.140625" style="355" bestFit="1" customWidth="1"/>
    <col min="5" max="5" width="24.7109375" style="356" bestFit="1" customWidth="1"/>
    <col min="6" max="6" width="41.7109375" customWidth="1"/>
    <col min="7" max="7" width="40.140625" customWidth="1"/>
    <col min="8" max="8" width="36.140625" customWidth="1"/>
  </cols>
  <sheetData>
    <row r="1" spans="1:8" s="336" customFormat="1" ht="28.5" x14ac:dyDescent="0.45">
      <c r="A1" s="521" t="s">
        <v>1573</v>
      </c>
      <c r="B1" s="521"/>
      <c r="C1" s="521"/>
      <c r="D1" s="521"/>
      <c r="E1" s="521"/>
      <c r="F1" s="521"/>
      <c r="G1" s="521"/>
      <c r="H1" s="521"/>
    </row>
    <row r="3" spans="1:8" s="340" customFormat="1" ht="75.75" thickBot="1" x14ac:dyDescent="0.3">
      <c r="A3" s="358" t="s">
        <v>1408</v>
      </c>
      <c r="B3" s="358" t="s">
        <v>1135</v>
      </c>
      <c r="C3" s="358" t="s">
        <v>1136</v>
      </c>
      <c r="D3" s="359" t="s">
        <v>1137</v>
      </c>
      <c r="E3" s="358" t="s">
        <v>1138</v>
      </c>
      <c r="F3" s="338" t="s">
        <v>1671</v>
      </c>
      <c r="G3" s="338" t="s">
        <v>1140</v>
      </c>
      <c r="H3" s="338" t="s">
        <v>1141</v>
      </c>
    </row>
    <row r="4" spans="1:8" ht="30" x14ac:dyDescent="0.25">
      <c r="A4" s="343">
        <v>1</v>
      </c>
      <c r="B4" s="342" t="s">
        <v>1142</v>
      </c>
      <c r="C4" s="342" t="s">
        <v>1520</v>
      </c>
      <c r="D4" s="343" t="s">
        <v>1521</v>
      </c>
      <c r="E4" s="347" t="s">
        <v>1172</v>
      </c>
      <c r="F4" s="348"/>
      <c r="G4" s="348"/>
      <c r="H4" s="348"/>
    </row>
    <row r="5" spans="1:8" ht="30" x14ac:dyDescent="0.25">
      <c r="A5" s="343">
        <v>2</v>
      </c>
      <c r="B5" s="342" t="s">
        <v>1142</v>
      </c>
      <c r="C5" s="342" t="s">
        <v>1574</v>
      </c>
      <c r="D5" s="343" t="s">
        <v>1575</v>
      </c>
      <c r="E5" s="347" t="s">
        <v>1203</v>
      </c>
      <c r="F5" s="348"/>
      <c r="G5" s="348"/>
      <c r="H5" s="348"/>
    </row>
    <row r="6" spans="1:8" ht="45" x14ac:dyDescent="0.25">
      <c r="A6" s="343">
        <v>3</v>
      </c>
      <c r="B6" s="342" t="s">
        <v>1148</v>
      </c>
      <c r="C6" s="342" t="s">
        <v>1522</v>
      </c>
      <c r="D6" s="343" t="s">
        <v>1523</v>
      </c>
      <c r="E6" s="347" t="s">
        <v>1172</v>
      </c>
      <c r="F6" s="348"/>
      <c r="G6" s="348"/>
      <c r="H6" s="348"/>
    </row>
    <row r="7" spans="1:8" ht="45" x14ac:dyDescent="0.25">
      <c r="A7" s="343">
        <v>4</v>
      </c>
      <c r="B7" s="342" t="s">
        <v>1159</v>
      </c>
      <c r="C7" s="342" t="s">
        <v>1524</v>
      </c>
      <c r="D7" s="343" t="s">
        <v>1525</v>
      </c>
      <c r="E7" s="347" t="s">
        <v>1172</v>
      </c>
      <c r="F7" s="348"/>
      <c r="G7" s="348"/>
      <c r="H7" s="348"/>
    </row>
    <row r="8" spans="1:8" ht="30" x14ac:dyDescent="0.25">
      <c r="A8" s="343">
        <v>5</v>
      </c>
      <c r="B8" s="342" t="s">
        <v>1159</v>
      </c>
      <c r="C8" s="342" t="s">
        <v>1576</v>
      </c>
      <c r="D8" s="343" t="s">
        <v>1577</v>
      </c>
      <c r="E8" s="347" t="s">
        <v>1203</v>
      </c>
      <c r="F8" s="348"/>
      <c r="G8" s="348"/>
      <c r="H8" s="348"/>
    </row>
    <row r="9" spans="1:8" x14ac:dyDescent="0.25">
      <c r="A9" s="343">
        <v>6</v>
      </c>
      <c r="B9" s="342" t="s">
        <v>1159</v>
      </c>
      <c r="C9" s="342" t="s">
        <v>1526</v>
      </c>
      <c r="D9" s="343" t="s">
        <v>1527</v>
      </c>
      <c r="E9" s="347" t="s">
        <v>1145</v>
      </c>
      <c r="F9" s="348"/>
      <c r="G9" s="348"/>
      <c r="H9" s="348"/>
    </row>
    <row r="10" spans="1:8" x14ac:dyDescent="0.25">
      <c r="A10" s="343">
        <v>7</v>
      </c>
      <c r="B10" s="342" t="s">
        <v>1159</v>
      </c>
      <c r="C10" s="342" t="s">
        <v>1528</v>
      </c>
      <c r="D10" s="343" t="s">
        <v>1529</v>
      </c>
      <c r="E10" s="347" t="s">
        <v>1145</v>
      </c>
      <c r="F10" s="348"/>
      <c r="G10" s="348"/>
      <c r="H10" s="348"/>
    </row>
    <row r="11" spans="1:8" ht="30" x14ac:dyDescent="0.25">
      <c r="A11" s="343">
        <v>8</v>
      </c>
      <c r="B11" s="342" t="s">
        <v>1530</v>
      </c>
      <c r="C11" s="342" t="s">
        <v>1531</v>
      </c>
      <c r="D11" s="343" t="s">
        <v>1532</v>
      </c>
      <c r="E11" s="347" t="s">
        <v>1172</v>
      </c>
      <c r="F11" s="348"/>
      <c r="G11" s="348"/>
      <c r="H11" s="348"/>
    </row>
    <row r="12" spans="1:8" ht="90" x14ac:dyDescent="0.25">
      <c r="A12" s="343">
        <v>9</v>
      </c>
      <c r="B12" s="342" t="s">
        <v>1530</v>
      </c>
      <c r="C12" s="342" t="s">
        <v>1533</v>
      </c>
      <c r="D12" s="343" t="s">
        <v>1534</v>
      </c>
      <c r="E12" s="347" t="s">
        <v>1145</v>
      </c>
      <c r="F12" s="348"/>
      <c r="G12" s="348"/>
      <c r="H12" s="348"/>
    </row>
    <row r="13" spans="1:8" ht="90" x14ac:dyDescent="0.25">
      <c r="A13" s="343">
        <v>10</v>
      </c>
      <c r="B13" s="342" t="s">
        <v>1530</v>
      </c>
      <c r="C13" s="342" t="s">
        <v>1533</v>
      </c>
      <c r="D13" s="343" t="s">
        <v>1534</v>
      </c>
      <c r="E13" s="347" t="s">
        <v>1189</v>
      </c>
      <c r="F13" s="348"/>
      <c r="G13" s="348"/>
      <c r="H13" s="348"/>
    </row>
    <row r="14" spans="1:8" ht="30" x14ac:dyDescent="0.25">
      <c r="A14" s="343">
        <v>11</v>
      </c>
      <c r="B14" s="342" t="s">
        <v>1175</v>
      </c>
      <c r="C14" s="342" t="s">
        <v>1535</v>
      </c>
      <c r="D14" s="343" t="s">
        <v>1536</v>
      </c>
      <c r="E14" s="343" t="s">
        <v>1189</v>
      </c>
      <c r="F14" s="348"/>
      <c r="G14" s="348"/>
      <c r="H14" s="348"/>
    </row>
    <row r="15" spans="1:8" ht="30" x14ac:dyDescent="0.25">
      <c r="A15" s="343">
        <v>12</v>
      </c>
      <c r="B15" s="342" t="s">
        <v>1192</v>
      </c>
      <c r="C15" s="342" t="s">
        <v>1537</v>
      </c>
      <c r="D15" s="343" t="s">
        <v>1538</v>
      </c>
      <c r="E15" s="347" t="s">
        <v>1145</v>
      </c>
      <c r="F15" s="348"/>
      <c r="G15" s="348"/>
      <c r="H15" s="348"/>
    </row>
    <row r="16" spans="1:8" ht="30" x14ac:dyDescent="0.25">
      <c r="A16" s="343">
        <v>13</v>
      </c>
      <c r="B16" s="342" t="s">
        <v>1192</v>
      </c>
      <c r="C16" s="342" t="s">
        <v>1537</v>
      </c>
      <c r="D16" s="343" t="s">
        <v>1538</v>
      </c>
      <c r="E16" s="347" t="s">
        <v>1172</v>
      </c>
      <c r="F16" s="348"/>
      <c r="G16" s="348"/>
      <c r="H16" s="348"/>
    </row>
    <row r="17" spans="1:8" ht="30" x14ac:dyDescent="0.25">
      <c r="A17" s="343">
        <v>14</v>
      </c>
      <c r="B17" s="342" t="s">
        <v>1211</v>
      </c>
      <c r="C17" s="342" t="s">
        <v>1539</v>
      </c>
      <c r="D17" s="343" t="s">
        <v>1540</v>
      </c>
      <c r="E17" s="347" t="s">
        <v>1145</v>
      </c>
      <c r="F17" s="348"/>
      <c r="G17" s="348"/>
      <c r="H17" s="348"/>
    </row>
    <row r="18" spans="1:8" x14ac:dyDescent="0.25">
      <c r="A18" s="343">
        <v>15</v>
      </c>
      <c r="B18" s="342" t="s">
        <v>1211</v>
      </c>
      <c r="C18" s="342" t="s">
        <v>1541</v>
      </c>
      <c r="D18" s="343" t="s">
        <v>1542</v>
      </c>
      <c r="E18" s="347" t="s">
        <v>1145</v>
      </c>
      <c r="F18" s="348"/>
      <c r="G18" s="348"/>
      <c r="H18" s="348"/>
    </row>
    <row r="19" spans="1:8" ht="30" x14ac:dyDescent="0.25">
      <c r="A19" s="343">
        <v>16</v>
      </c>
      <c r="B19" s="342" t="s">
        <v>1214</v>
      </c>
      <c r="C19" s="342" t="s">
        <v>1543</v>
      </c>
      <c r="D19" s="343" t="s">
        <v>1544</v>
      </c>
      <c r="E19" s="347" t="s">
        <v>1172</v>
      </c>
      <c r="F19" s="348"/>
      <c r="G19" s="348"/>
      <c r="H19" s="348"/>
    </row>
    <row r="20" spans="1:8" ht="45" x14ac:dyDescent="0.25">
      <c r="A20" s="343">
        <v>17</v>
      </c>
      <c r="B20" s="342" t="s">
        <v>1229</v>
      </c>
      <c r="C20" s="342" t="s">
        <v>1545</v>
      </c>
      <c r="D20" s="343" t="s">
        <v>1546</v>
      </c>
      <c r="E20" s="347" t="s">
        <v>1145</v>
      </c>
      <c r="F20" s="348"/>
      <c r="G20" s="348"/>
      <c r="H20" s="348"/>
    </row>
    <row r="21" spans="1:8" ht="45" x14ac:dyDescent="0.25">
      <c r="A21" s="343">
        <v>18</v>
      </c>
      <c r="B21" s="342" t="s">
        <v>1229</v>
      </c>
      <c r="C21" s="342" t="s">
        <v>1545</v>
      </c>
      <c r="D21" s="343" t="s">
        <v>1546</v>
      </c>
      <c r="E21" s="347" t="s">
        <v>1189</v>
      </c>
      <c r="F21" s="348"/>
      <c r="G21" s="348"/>
      <c r="H21" s="348"/>
    </row>
    <row r="22" spans="1:8" ht="45" x14ac:dyDescent="0.25">
      <c r="A22" s="343">
        <v>19</v>
      </c>
      <c r="B22" s="342" t="s">
        <v>1229</v>
      </c>
      <c r="C22" s="342" t="s">
        <v>1545</v>
      </c>
      <c r="D22" s="343" t="s">
        <v>1546</v>
      </c>
      <c r="E22" s="347" t="s">
        <v>1240</v>
      </c>
      <c r="F22" s="348"/>
      <c r="G22" s="348"/>
      <c r="H22" s="348"/>
    </row>
    <row r="23" spans="1:8" ht="30" x14ac:dyDescent="0.25">
      <c r="A23" s="343">
        <v>20</v>
      </c>
      <c r="B23" s="342" t="s">
        <v>1229</v>
      </c>
      <c r="C23" s="342" t="s">
        <v>1547</v>
      </c>
      <c r="D23" s="343" t="s">
        <v>1548</v>
      </c>
      <c r="E23" s="343" t="s">
        <v>1145</v>
      </c>
      <c r="F23" s="348"/>
      <c r="G23" s="348"/>
      <c r="H23" s="348"/>
    </row>
    <row r="24" spans="1:8" ht="30" x14ac:dyDescent="0.25">
      <c r="A24" s="343">
        <v>21</v>
      </c>
      <c r="B24" s="342" t="s">
        <v>1241</v>
      </c>
      <c r="C24" s="342" t="s">
        <v>1549</v>
      </c>
      <c r="D24" s="343" t="s">
        <v>1550</v>
      </c>
      <c r="E24" s="343" t="s">
        <v>1172</v>
      </c>
      <c r="F24" s="348"/>
      <c r="G24" s="348"/>
      <c r="H24" s="348"/>
    </row>
    <row r="25" spans="1:8" ht="30" x14ac:dyDescent="0.25">
      <c r="A25" s="343">
        <v>22</v>
      </c>
      <c r="B25" s="342" t="s">
        <v>1252</v>
      </c>
      <c r="C25" s="342" t="s">
        <v>1551</v>
      </c>
      <c r="D25" s="343" t="s">
        <v>1552</v>
      </c>
      <c r="E25" s="343" t="s">
        <v>1172</v>
      </c>
      <c r="F25" s="348"/>
      <c r="G25" s="348"/>
      <c r="H25" s="348"/>
    </row>
    <row r="26" spans="1:8" ht="30" x14ac:dyDescent="0.25">
      <c r="A26" s="343">
        <v>23</v>
      </c>
      <c r="B26" s="342" t="s">
        <v>1252</v>
      </c>
      <c r="C26" s="342" t="s">
        <v>1553</v>
      </c>
      <c r="D26" s="343" t="s">
        <v>1554</v>
      </c>
      <c r="E26" s="343" t="s">
        <v>1172</v>
      </c>
      <c r="F26" s="343"/>
      <c r="G26" s="348"/>
      <c r="H26" s="348"/>
    </row>
    <row r="27" spans="1:8" x14ac:dyDescent="0.25">
      <c r="A27" s="343">
        <v>24</v>
      </c>
      <c r="B27" s="342" t="s">
        <v>1252</v>
      </c>
      <c r="C27" s="342" t="s">
        <v>1555</v>
      </c>
      <c r="D27" s="343" t="s">
        <v>1556</v>
      </c>
      <c r="E27" s="343" t="s">
        <v>1145</v>
      </c>
      <c r="F27" s="348"/>
      <c r="G27" s="348"/>
      <c r="H27" s="348"/>
    </row>
    <row r="28" spans="1:8" ht="30" x14ac:dyDescent="0.25">
      <c r="A28" s="343">
        <v>25</v>
      </c>
      <c r="B28" s="342" t="s">
        <v>1283</v>
      </c>
      <c r="C28" s="342" t="s">
        <v>1557</v>
      </c>
      <c r="D28" s="343" t="s">
        <v>1558</v>
      </c>
      <c r="E28" s="343" t="s">
        <v>1172</v>
      </c>
      <c r="F28" s="348"/>
      <c r="G28" s="348"/>
      <c r="H28" s="348"/>
    </row>
    <row r="29" spans="1:8" ht="30" x14ac:dyDescent="0.25">
      <c r="A29" s="343">
        <v>26</v>
      </c>
      <c r="B29" s="342" t="s">
        <v>1288</v>
      </c>
      <c r="C29" s="342" t="s">
        <v>1559</v>
      </c>
      <c r="D29" s="343" t="s">
        <v>1560</v>
      </c>
      <c r="E29" s="343" t="s">
        <v>1145</v>
      </c>
      <c r="F29" s="348"/>
      <c r="G29" s="348"/>
      <c r="H29" s="348"/>
    </row>
    <row r="30" spans="1:8" ht="45" x14ac:dyDescent="0.25">
      <c r="A30" s="343">
        <v>27</v>
      </c>
      <c r="B30" s="342" t="s">
        <v>1299</v>
      </c>
      <c r="C30" s="342" t="s">
        <v>1561</v>
      </c>
      <c r="D30" s="343" t="s">
        <v>1562</v>
      </c>
      <c r="E30" s="347" t="s">
        <v>1172</v>
      </c>
      <c r="F30" s="348"/>
      <c r="G30" s="348"/>
      <c r="H30" s="348"/>
    </row>
    <row r="31" spans="1:8" ht="30" x14ac:dyDescent="0.25">
      <c r="A31" s="343">
        <v>28</v>
      </c>
      <c r="B31" s="342" t="s">
        <v>1316</v>
      </c>
      <c r="C31" s="342" t="s">
        <v>1563</v>
      </c>
      <c r="D31" s="343" t="s">
        <v>1564</v>
      </c>
      <c r="E31" s="347" t="s">
        <v>1172</v>
      </c>
      <c r="F31" s="348"/>
      <c r="G31" s="348"/>
      <c r="H31" s="348"/>
    </row>
    <row r="32" spans="1:8" ht="30" x14ac:dyDescent="0.25">
      <c r="A32" s="343">
        <v>29</v>
      </c>
      <c r="B32" s="342" t="s">
        <v>1316</v>
      </c>
      <c r="C32" s="342" t="s">
        <v>1565</v>
      </c>
      <c r="D32" s="343" t="s">
        <v>1566</v>
      </c>
      <c r="E32" s="347" t="s">
        <v>1172</v>
      </c>
      <c r="F32" s="348"/>
      <c r="G32" s="348"/>
      <c r="H32" s="348"/>
    </row>
    <row r="33" spans="1:8" ht="30" x14ac:dyDescent="0.25">
      <c r="A33" s="343">
        <v>30</v>
      </c>
      <c r="B33" s="342" t="s">
        <v>1347</v>
      </c>
      <c r="C33" s="342" t="s">
        <v>1567</v>
      </c>
      <c r="D33" s="343" t="s">
        <v>1568</v>
      </c>
      <c r="E33" s="347" t="s">
        <v>1172</v>
      </c>
      <c r="F33" s="348"/>
      <c r="G33" s="348"/>
      <c r="H33" s="348"/>
    </row>
    <row r="34" spans="1:8" ht="30" x14ac:dyDescent="0.25">
      <c r="A34" s="343">
        <v>31</v>
      </c>
      <c r="B34" s="342" t="s">
        <v>1352</v>
      </c>
      <c r="C34" s="342" t="s">
        <v>1578</v>
      </c>
      <c r="D34" s="343" t="s">
        <v>1579</v>
      </c>
      <c r="E34" s="343" t="s">
        <v>1203</v>
      </c>
      <c r="F34" s="348"/>
      <c r="G34" s="348"/>
      <c r="H34" s="348"/>
    </row>
    <row r="35" spans="1:8" ht="45" x14ac:dyDescent="0.25">
      <c r="A35" s="343">
        <v>32</v>
      </c>
      <c r="B35" s="342" t="s">
        <v>1355</v>
      </c>
      <c r="C35" s="342" t="s">
        <v>1569</v>
      </c>
      <c r="D35" s="343" t="s">
        <v>1570</v>
      </c>
      <c r="E35" s="347" t="s">
        <v>1172</v>
      </c>
      <c r="F35" s="348"/>
      <c r="G35" s="348"/>
      <c r="H35" s="348"/>
    </row>
    <row r="36" spans="1:8" ht="45" x14ac:dyDescent="0.25">
      <c r="A36" s="343">
        <v>33</v>
      </c>
      <c r="B36" s="342" t="s">
        <v>1355</v>
      </c>
      <c r="C36" s="342" t="s">
        <v>1580</v>
      </c>
      <c r="D36" s="343" t="s">
        <v>1581</v>
      </c>
      <c r="E36" s="343" t="s">
        <v>1203</v>
      </c>
      <c r="F36" s="348"/>
      <c r="G36" s="348"/>
      <c r="H36" s="348"/>
    </row>
    <row r="37" spans="1:8" ht="45" x14ac:dyDescent="0.25">
      <c r="A37" s="343">
        <v>34</v>
      </c>
      <c r="B37" s="342" t="s">
        <v>1386</v>
      </c>
      <c r="C37" s="342" t="s">
        <v>1571</v>
      </c>
      <c r="D37" s="343" t="s">
        <v>1572</v>
      </c>
      <c r="E37" s="347" t="s">
        <v>1172</v>
      </c>
      <c r="F37" s="348"/>
      <c r="G37" s="348"/>
      <c r="H37" s="348"/>
    </row>
  </sheetData>
  <mergeCells count="1">
    <mergeCell ref="A1:H1"/>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406A9-7663-426C-8BB6-CC543C18E55D}">
  <dimension ref="A1:H38"/>
  <sheetViews>
    <sheetView workbookViewId="0">
      <selection activeCell="F4" sqref="F4"/>
    </sheetView>
  </sheetViews>
  <sheetFormatPr defaultRowHeight="15" x14ac:dyDescent="0.25"/>
  <cols>
    <col min="1" max="1" width="5.5703125" style="355" customWidth="1"/>
    <col min="2" max="2" width="34.28515625" style="354" customWidth="1"/>
    <col min="3" max="3" width="74.7109375" style="354" customWidth="1"/>
    <col min="4" max="4" width="14.140625" style="355" bestFit="1" customWidth="1"/>
    <col min="5" max="5" width="24.7109375" style="356" bestFit="1" customWidth="1"/>
    <col min="6" max="6" width="41.140625" customWidth="1"/>
    <col min="7" max="7" width="39.5703125" customWidth="1"/>
    <col min="8" max="8" width="38.28515625" customWidth="1"/>
  </cols>
  <sheetData>
    <row r="1" spans="1:8" s="336" customFormat="1" ht="28.5" x14ac:dyDescent="0.45">
      <c r="A1" s="521" t="s">
        <v>1582</v>
      </c>
      <c r="B1" s="521"/>
      <c r="C1" s="521"/>
      <c r="D1" s="521"/>
      <c r="E1" s="521"/>
      <c r="F1" s="521"/>
      <c r="G1" s="521"/>
      <c r="H1" s="521"/>
    </row>
    <row r="3" spans="1:8" s="340" customFormat="1" ht="75.75" thickBot="1" x14ac:dyDescent="0.3">
      <c r="A3" s="338" t="s">
        <v>1408</v>
      </c>
      <c r="B3" s="338" t="s">
        <v>1135</v>
      </c>
      <c r="C3" s="338" t="s">
        <v>1136</v>
      </c>
      <c r="D3" s="339" t="s">
        <v>1137</v>
      </c>
      <c r="E3" s="338" t="s">
        <v>1138</v>
      </c>
      <c r="F3" s="338" t="s">
        <v>1671</v>
      </c>
      <c r="G3" s="338" t="s">
        <v>1140</v>
      </c>
      <c r="H3" s="338" t="s">
        <v>1141</v>
      </c>
    </row>
    <row r="4" spans="1:8" ht="30" x14ac:dyDescent="0.25">
      <c r="A4" s="341">
        <v>1</v>
      </c>
      <c r="B4" s="357" t="s">
        <v>1142</v>
      </c>
      <c r="C4" s="357" t="s">
        <v>1520</v>
      </c>
      <c r="D4" s="341" t="s">
        <v>1521</v>
      </c>
      <c r="E4" s="344" t="s">
        <v>1172</v>
      </c>
      <c r="F4" s="348"/>
      <c r="G4" s="348"/>
      <c r="H4" s="348"/>
    </row>
    <row r="5" spans="1:8" ht="30" x14ac:dyDescent="0.25">
      <c r="A5" s="343">
        <v>2</v>
      </c>
      <c r="B5" s="342" t="s">
        <v>1142</v>
      </c>
      <c r="C5" s="342" t="s">
        <v>1583</v>
      </c>
      <c r="D5" s="343" t="s">
        <v>1584</v>
      </c>
      <c r="E5" s="347" t="s">
        <v>1480</v>
      </c>
      <c r="F5" s="348"/>
      <c r="G5" s="348"/>
      <c r="H5" s="348"/>
    </row>
    <row r="6" spans="1:8" ht="30" x14ac:dyDescent="0.25">
      <c r="A6" s="343">
        <v>3</v>
      </c>
      <c r="B6" s="342" t="s">
        <v>1142</v>
      </c>
      <c r="C6" s="342" t="s">
        <v>1585</v>
      </c>
      <c r="D6" s="343" t="s">
        <v>1586</v>
      </c>
      <c r="E6" s="347" t="s">
        <v>1480</v>
      </c>
      <c r="F6" s="348"/>
      <c r="G6" s="348"/>
      <c r="H6" s="348"/>
    </row>
    <row r="7" spans="1:8" ht="45" x14ac:dyDescent="0.25">
      <c r="A7" s="343">
        <v>4</v>
      </c>
      <c r="B7" s="342" t="s">
        <v>1148</v>
      </c>
      <c r="C7" s="342" t="s">
        <v>1522</v>
      </c>
      <c r="D7" s="343" t="s">
        <v>1523</v>
      </c>
      <c r="E7" s="347" t="s">
        <v>1172</v>
      </c>
      <c r="F7" s="348"/>
      <c r="G7" s="348"/>
      <c r="H7" s="348"/>
    </row>
    <row r="8" spans="1:8" ht="45" x14ac:dyDescent="0.25">
      <c r="A8" s="343">
        <v>5</v>
      </c>
      <c r="B8" s="342" t="s">
        <v>1148</v>
      </c>
      <c r="C8" s="342" t="s">
        <v>1587</v>
      </c>
      <c r="D8" s="343" t="s">
        <v>1588</v>
      </c>
      <c r="E8" s="347" t="s">
        <v>1480</v>
      </c>
      <c r="F8" s="348"/>
      <c r="G8" s="348"/>
      <c r="H8" s="348"/>
    </row>
    <row r="9" spans="1:8" ht="45" x14ac:dyDescent="0.25">
      <c r="A9" s="343">
        <v>6</v>
      </c>
      <c r="B9" s="342" t="s">
        <v>1148</v>
      </c>
      <c r="C9" s="342" t="s">
        <v>1589</v>
      </c>
      <c r="D9" s="343" t="s">
        <v>1590</v>
      </c>
      <c r="E9" s="347" t="s">
        <v>1480</v>
      </c>
      <c r="F9" s="348"/>
      <c r="G9" s="348"/>
      <c r="H9" s="348"/>
    </row>
    <row r="10" spans="1:8" ht="45" x14ac:dyDescent="0.25">
      <c r="A10" s="343">
        <v>7</v>
      </c>
      <c r="B10" s="342" t="s">
        <v>1159</v>
      </c>
      <c r="C10" s="342" t="s">
        <v>1524</v>
      </c>
      <c r="D10" s="343" t="s">
        <v>1525</v>
      </c>
      <c r="E10" s="347" t="s">
        <v>1172</v>
      </c>
      <c r="F10" s="348"/>
      <c r="G10" s="348"/>
      <c r="H10" s="348"/>
    </row>
    <row r="11" spans="1:8" x14ac:dyDescent="0.25">
      <c r="A11" s="343">
        <v>8</v>
      </c>
      <c r="B11" s="342" t="s">
        <v>1159</v>
      </c>
      <c r="C11" s="342" t="s">
        <v>1526</v>
      </c>
      <c r="D11" s="343" t="s">
        <v>1527</v>
      </c>
      <c r="E11" s="347" t="s">
        <v>1145</v>
      </c>
      <c r="F11" s="348"/>
      <c r="G11" s="348"/>
      <c r="H11" s="348"/>
    </row>
    <row r="12" spans="1:8" x14ac:dyDescent="0.25">
      <c r="A12" s="343">
        <v>9</v>
      </c>
      <c r="B12" s="342" t="s">
        <v>1159</v>
      </c>
      <c r="C12" s="342" t="s">
        <v>1528</v>
      </c>
      <c r="D12" s="343" t="s">
        <v>1529</v>
      </c>
      <c r="E12" s="347" t="s">
        <v>1145</v>
      </c>
      <c r="F12" s="348"/>
      <c r="G12" s="348"/>
      <c r="H12" s="348"/>
    </row>
    <row r="13" spans="1:8" ht="30" x14ac:dyDescent="0.25">
      <c r="A13" s="343">
        <v>10</v>
      </c>
      <c r="B13" s="342" t="s">
        <v>1530</v>
      </c>
      <c r="C13" s="342" t="s">
        <v>1531</v>
      </c>
      <c r="D13" s="343" t="s">
        <v>1532</v>
      </c>
      <c r="E13" s="347" t="s">
        <v>1172</v>
      </c>
      <c r="F13" s="348"/>
      <c r="G13" s="348"/>
      <c r="H13" s="348"/>
    </row>
    <row r="14" spans="1:8" ht="90" x14ac:dyDescent="0.25">
      <c r="A14" s="343">
        <v>11</v>
      </c>
      <c r="B14" s="342" t="s">
        <v>1530</v>
      </c>
      <c r="C14" s="342" t="s">
        <v>1533</v>
      </c>
      <c r="D14" s="343" t="s">
        <v>1534</v>
      </c>
      <c r="E14" s="347" t="s">
        <v>1145</v>
      </c>
      <c r="F14" s="348"/>
      <c r="G14" s="348"/>
      <c r="H14" s="348"/>
    </row>
    <row r="15" spans="1:8" ht="90" x14ac:dyDescent="0.25">
      <c r="A15" s="343">
        <v>12</v>
      </c>
      <c r="B15" s="342" t="s">
        <v>1530</v>
      </c>
      <c r="C15" s="342" t="s">
        <v>1533</v>
      </c>
      <c r="D15" s="343" t="s">
        <v>1534</v>
      </c>
      <c r="E15" s="347" t="s">
        <v>1189</v>
      </c>
      <c r="F15" s="348"/>
      <c r="G15" s="348"/>
      <c r="H15" s="348"/>
    </row>
    <row r="16" spans="1:8" ht="30" x14ac:dyDescent="0.25">
      <c r="A16" s="343">
        <v>13</v>
      </c>
      <c r="B16" s="342" t="s">
        <v>1175</v>
      </c>
      <c r="C16" s="342" t="s">
        <v>1535</v>
      </c>
      <c r="D16" s="343" t="s">
        <v>1536</v>
      </c>
      <c r="E16" s="343" t="s">
        <v>1189</v>
      </c>
      <c r="F16" s="348"/>
      <c r="G16" s="348"/>
      <c r="H16" s="348"/>
    </row>
    <row r="17" spans="1:8" ht="30" x14ac:dyDescent="0.25">
      <c r="A17" s="343">
        <v>14</v>
      </c>
      <c r="B17" s="342" t="s">
        <v>1192</v>
      </c>
      <c r="C17" s="342" t="s">
        <v>1537</v>
      </c>
      <c r="D17" s="343" t="s">
        <v>1538</v>
      </c>
      <c r="E17" s="347" t="s">
        <v>1145</v>
      </c>
      <c r="F17" s="348"/>
      <c r="G17" s="348"/>
      <c r="H17" s="348"/>
    </row>
    <row r="18" spans="1:8" ht="30" x14ac:dyDescent="0.25">
      <c r="A18" s="343">
        <v>15</v>
      </c>
      <c r="B18" s="342" t="s">
        <v>1192</v>
      </c>
      <c r="C18" s="342" t="s">
        <v>1537</v>
      </c>
      <c r="D18" s="343" t="s">
        <v>1538</v>
      </c>
      <c r="E18" s="347" t="s">
        <v>1172</v>
      </c>
      <c r="F18" s="348"/>
      <c r="G18" s="348"/>
      <c r="H18" s="348"/>
    </row>
    <row r="19" spans="1:8" ht="30" x14ac:dyDescent="0.25">
      <c r="A19" s="343">
        <v>16</v>
      </c>
      <c r="B19" s="342" t="s">
        <v>1211</v>
      </c>
      <c r="C19" s="342" t="s">
        <v>1539</v>
      </c>
      <c r="D19" s="343" t="s">
        <v>1540</v>
      </c>
      <c r="E19" s="347" t="s">
        <v>1145</v>
      </c>
      <c r="F19" s="348"/>
      <c r="G19" s="348"/>
      <c r="H19" s="348"/>
    </row>
    <row r="20" spans="1:8" x14ac:dyDescent="0.25">
      <c r="A20" s="343">
        <v>17</v>
      </c>
      <c r="B20" s="342" t="s">
        <v>1211</v>
      </c>
      <c r="C20" s="342" t="s">
        <v>1541</v>
      </c>
      <c r="D20" s="343" t="s">
        <v>1542</v>
      </c>
      <c r="E20" s="347" t="s">
        <v>1145</v>
      </c>
      <c r="F20" s="348"/>
      <c r="G20" s="348"/>
      <c r="H20" s="348"/>
    </row>
    <row r="21" spans="1:8" ht="30" x14ac:dyDescent="0.25">
      <c r="A21" s="343">
        <v>18</v>
      </c>
      <c r="B21" s="342" t="s">
        <v>1214</v>
      </c>
      <c r="C21" s="342" t="s">
        <v>1543</v>
      </c>
      <c r="D21" s="343" t="s">
        <v>1544</v>
      </c>
      <c r="E21" s="347" t="s">
        <v>1172</v>
      </c>
      <c r="F21" s="348"/>
      <c r="G21" s="348"/>
      <c r="H21" s="348"/>
    </row>
    <row r="22" spans="1:8" ht="45" x14ac:dyDescent="0.25">
      <c r="A22" s="343">
        <v>19</v>
      </c>
      <c r="B22" s="342" t="s">
        <v>1229</v>
      </c>
      <c r="C22" s="342" t="s">
        <v>1545</v>
      </c>
      <c r="D22" s="343" t="s">
        <v>1546</v>
      </c>
      <c r="E22" s="347" t="s">
        <v>1145</v>
      </c>
      <c r="F22" s="348"/>
      <c r="G22" s="348"/>
      <c r="H22" s="348"/>
    </row>
    <row r="23" spans="1:8" ht="45" x14ac:dyDescent="0.25">
      <c r="A23" s="343">
        <v>20</v>
      </c>
      <c r="B23" s="342" t="s">
        <v>1229</v>
      </c>
      <c r="C23" s="342" t="s">
        <v>1545</v>
      </c>
      <c r="D23" s="343" t="s">
        <v>1546</v>
      </c>
      <c r="E23" s="347" t="s">
        <v>1189</v>
      </c>
      <c r="F23" s="348"/>
      <c r="G23" s="348"/>
      <c r="H23" s="348"/>
    </row>
    <row r="24" spans="1:8" ht="45" x14ac:dyDescent="0.25">
      <c r="A24" s="343">
        <v>21</v>
      </c>
      <c r="B24" s="342" t="s">
        <v>1229</v>
      </c>
      <c r="C24" s="342" t="s">
        <v>1545</v>
      </c>
      <c r="D24" s="343" t="s">
        <v>1546</v>
      </c>
      <c r="E24" s="347" t="s">
        <v>1240</v>
      </c>
      <c r="F24" s="348"/>
      <c r="G24" s="348"/>
      <c r="H24" s="348"/>
    </row>
    <row r="25" spans="1:8" ht="30" x14ac:dyDescent="0.25">
      <c r="A25" s="343">
        <v>22</v>
      </c>
      <c r="B25" s="342" t="s">
        <v>1229</v>
      </c>
      <c r="C25" s="342" t="s">
        <v>1547</v>
      </c>
      <c r="D25" s="343" t="s">
        <v>1548</v>
      </c>
      <c r="E25" s="343" t="s">
        <v>1145</v>
      </c>
      <c r="F25" s="348"/>
      <c r="G25" s="348"/>
      <c r="H25" s="348"/>
    </row>
    <row r="26" spans="1:8" ht="30" x14ac:dyDescent="0.25">
      <c r="A26" s="343">
        <v>23</v>
      </c>
      <c r="B26" s="342" t="s">
        <v>1241</v>
      </c>
      <c r="C26" s="342" t="s">
        <v>1549</v>
      </c>
      <c r="D26" s="343" t="s">
        <v>1550</v>
      </c>
      <c r="E26" s="343" t="s">
        <v>1172</v>
      </c>
      <c r="F26" s="348"/>
      <c r="G26" s="348"/>
      <c r="H26" s="348"/>
    </row>
    <row r="27" spans="1:8" ht="30" x14ac:dyDescent="0.25">
      <c r="A27" s="343">
        <v>24</v>
      </c>
      <c r="B27" s="342" t="s">
        <v>1252</v>
      </c>
      <c r="C27" s="342" t="s">
        <v>1551</v>
      </c>
      <c r="D27" s="343" t="s">
        <v>1552</v>
      </c>
      <c r="E27" s="343" t="s">
        <v>1172</v>
      </c>
      <c r="F27" s="348"/>
      <c r="G27" s="348"/>
      <c r="H27" s="348"/>
    </row>
    <row r="28" spans="1:8" ht="30" x14ac:dyDescent="0.25">
      <c r="A28" s="343">
        <v>25</v>
      </c>
      <c r="B28" s="342" t="s">
        <v>1252</v>
      </c>
      <c r="C28" s="342" t="s">
        <v>1553</v>
      </c>
      <c r="D28" s="343" t="s">
        <v>1554</v>
      </c>
      <c r="E28" s="343" t="s">
        <v>1172</v>
      </c>
      <c r="F28" s="343"/>
      <c r="G28" s="348"/>
      <c r="H28" s="348"/>
    </row>
    <row r="29" spans="1:8" x14ac:dyDescent="0.25">
      <c r="A29" s="343">
        <v>26</v>
      </c>
      <c r="B29" s="342" t="s">
        <v>1252</v>
      </c>
      <c r="C29" s="342" t="s">
        <v>1555</v>
      </c>
      <c r="D29" s="343" t="s">
        <v>1556</v>
      </c>
      <c r="E29" s="343" t="s">
        <v>1145</v>
      </c>
      <c r="F29" s="348"/>
      <c r="G29" s="348"/>
      <c r="H29" s="348"/>
    </row>
    <row r="30" spans="1:8" ht="30" x14ac:dyDescent="0.25">
      <c r="A30" s="343">
        <v>27</v>
      </c>
      <c r="B30" s="342" t="s">
        <v>1283</v>
      </c>
      <c r="C30" s="342" t="s">
        <v>1557</v>
      </c>
      <c r="D30" s="343" t="s">
        <v>1558</v>
      </c>
      <c r="E30" s="343" t="s">
        <v>1172</v>
      </c>
      <c r="F30" s="348"/>
      <c r="G30" s="348"/>
      <c r="H30" s="348"/>
    </row>
    <row r="31" spans="1:8" ht="30" x14ac:dyDescent="0.25">
      <c r="A31" s="343">
        <v>28</v>
      </c>
      <c r="B31" s="342" t="s">
        <v>1288</v>
      </c>
      <c r="C31" s="342" t="s">
        <v>1559</v>
      </c>
      <c r="D31" s="343" t="s">
        <v>1560</v>
      </c>
      <c r="E31" s="343" t="s">
        <v>1145</v>
      </c>
      <c r="F31" s="348"/>
      <c r="G31" s="348"/>
      <c r="H31" s="348"/>
    </row>
    <row r="32" spans="1:8" ht="45" x14ac:dyDescent="0.25">
      <c r="A32" s="343">
        <v>29</v>
      </c>
      <c r="B32" s="342" t="s">
        <v>1299</v>
      </c>
      <c r="C32" s="342" t="s">
        <v>1561</v>
      </c>
      <c r="D32" s="343" t="s">
        <v>1562</v>
      </c>
      <c r="E32" s="347" t="s">
        <v>1172</v>
      </c>
      <c r="F32" s="348"/>
      <c r="G32" s="348"/>
      <c r="H32" s="348"/>
    </row>
    <row r="33" spans="1:8" ht="30" x14ac:dyDescent="0.25">
      <c r="A33" s="343">
        <v>30</v>
      </c>
      <c r="B33" s="342" t="s">
        <v>1316</v>
      </c>
      <c r="C33" s="342" t="s">
        <v>1563</v>
      </c>
      <c r="D33" s="343" t="s">
        <v>1564</v>
      </c>
      <c r="E33" s="347" t="s">
        <v>1172</v>
      </c>
      <c r="F33" s="348"/>
      <c r="G33" s="348"/>
      <c r="H33" s="348"/>
    </row>
    <row r="34" spans="1:8" ht="30" x14ac:dyDescent="0.25">
      <c r="A34" s="343">
        <v>31</v>
      </c>
      <c r="B34" s="342" t="s">
        <v>1316</v>
      </c>
      <c r="C34" s="342" t="s">
        <v>1565</v>
      </c>
      <c r="D34" s="343" t="s">
        <v>1566</v>
      </c>
      <c r="E34" s="347" t="s">
        <v>1172</v>
      </c>
      <c r="F34" s="348"/>
      <c r="G34" s="348"/>
      <c r="H34" s="348"/>
    </row>
    <row r="35" spans="1:8" ht="30" x14ac:dyDescent="0.25">
      <c r="A35" s="343">
        <v>32</v>
      </c>
      <c r="B35" s="342" t="s">
        <v>1347</v>
      </c>
      <c r="C35" s="342" t="s">
        <v>1567</v>
      </c>
      <c r="D35" s="343" t="s">
        <v>1568</v>
      </c>
      <c r="E35" s="347" t="s">
        <v>1172</v>
      </c>
      <c r="F35" s="348"/>
      <c r="G35" s="348"/>
      <c r="H35" s="348"/>
    </row>
    <row r="36" spans="1:8" ht="60" x14ac:dyDescent="0.25">
      <c r="A36" s="343">
        <v>33</v>
      </c>
      <c r="B36" s="342" t="s">
        <v>1352</v>
      </c>
      <c r="C36" s="342" t="s">
        <v>1591</v>
      </c>
      <c r="D36" s="343" t="s">
        <v>1592</v>
      </c>
      <c r="E36" s="343" t="s">
        <v>1480</v>
      </c>
      <c r="F36" s="348"/>
      <c r="G36" s="348"/>
      <c r="H36" s="348"/>
    </row>
    <row r="37" spans="1:8" ht="45" x14ac:dyDescent="0.25">
      <c r="A37" s="343">
        <v>34</v>
      </c>
      <c r="B37" s="342" t="s">
        <v>1355</v>
      </c>
      <c r="C37" s="342" t="s">
        <v>1569</v>
      </c>
      <c r="D37" s="343" t="s">
        <v>1570</v>
      </c>
      <c r="E37" s="347" t="s">
        <v>1172</v>
      </c>
      <c r="F37" s="348"/>
      <c r="G37" s="348"/>
      <c r="H37" s="348"/>
    </row>
    <row r="38" spans="1:8" ht="45" x14ac:dyDescent="0.25">
      <c r="A38" s="343">
        <v>35</v>
      </c>
      <c r="B38" s="342" t="s">
        <v>1386</v>
      </c>
      <c r="C38" s="342" t="s">
        <v>1571</v>
      </c>
      <c r="D38" s="343" t="s">
        <v>1572</v>
      </c>
      <c r="E38" s="347" t="s">
        <v>1172</v>
      </c>
      <c r="F38" s="348"/>
      <c r="G38" s="348"/>
      <c r="H38" s="348"/>
    </row>
  </sheetData>
  <mergeCells count="1">
    <mergeCell ref="A1:H1"/>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71C5F8-3C36-4338-BDEA-DD877BB2918C}">
  <dimension ref="A1:H34"/>
  <sheetViews>
    <sheetView workbookViewId="0">
      <selection activeCell="F4" sqref="F4"/>
    </sheetView>
  </sheetViews>
  <sheetFormatPr defaultRowHeight="15" x14ac:dyDescent="0.25"/>
  <cols>
    <col min="1" max="1" width="5.5703125" style="355" customWidth="1"/>
    <col min="2" max="2" width="34.28515625" style="354" customWidth="1"/>
    <col min="3" max="3" width="74.7109375" style="354" customWidth="1"/>
    <col min="4" max="4" width="14.140625" style="355" bestFit="1" customWidth="1"/>
    <col min="5" max="5" width="24.7109375" style="356" bestFit="1" customWidth="1"/>
    <col min="6" max="6" width="39.140625" customWidth="1"/>
    <col min="7" max="7" width="37" customWidth="1"/>
    <col min="8" max="8" width="39" customWidth="1"/>
  </cols>
  <sheetData>
    <row r="1" spans="1:8" s="336" customFormat="1" ht="28.5" x14ac:dyDescent="0.45">
      <c r="A1" s="521" t="s">
        <v>1593</v>
      </c>
      <c r="B1" s="521"/>
      <c r="C1" s="521"/>
      <c r="D1" s="521"/>
      <c r="E1" s="521"/>
      <c r="F1" s="521"/>
      <c r="G1" s="521"/>
      <c r="H1" s="521"/>
    </row>
    <row r="3" spans="1:8" s="340" customFormat="1" ht="90.75" thickBot="1" x14ac:dyDescent="0.3">
      <c r="A3" s="338" t="s">
        <v>1408</v>
      </c>
      <c r="B3" s="338" t="s">
        <v>1135</v>
      </c>
      <c r="C3" s="338" t="s">
        <v>1136</v>
      </c>
      <c r="D3" s="339" t="s">
        <v>1137</v>
      </c>
      <c r="E3" s="338" t="s">
        <v>1138</v>
      </c>
      <c r="F3" s="338" t="s">
        <v>1671</v>
      </c>
      <c r="G3" s="338" t="s">
        <v>1140</v>
      </c>
      <c r="H3" s="338" t="s">
        <v>1141</v>
      </c>
    </row>
    <row r="4" spans="1:8" ht="30" x14ac:dyDescent="0.25">
      <c r="A4" s="341">
        <v>1</v>
      </c>
      <c r="B4" s="357" t="s">
        <v>1142</v>
      </c>
      <c r="C4" s="357" t="s">
        <v>1520</v>
      </c>
      <c r="D4" s="341" t="s">
        <v>1521</v>
      </c>
      <c r="E4" s="344" t="s">
        <v>1172</v>
      </c>
      <c r="F4" s="348"/>
      <c r="G4" s="348"/>
      <c r="H4" s="348"/>
    </row>
    <row r="5" spans="1:8" ht="45" x14ac:dyDescent="0.25">
      <c r="A5" s="343">
        <v>2</v>
      </c>
      <c r="B5" s="342" t="s">
        <v>1148</v>
      </c>
      <c r="C5" s="342" t="s">
        <v>1522</v>
      </c>
      <c r="D5" s="343" t="s">
        <v>1523</v>
      </c>
      <c r="E5" s="347" t="s">
        <v>1172</v>
      </c>
      <c r="F5" s="348"/>
      <c r="G5" s="348"/>
      <c r="H5" s="348"/>
    </row>
    <row r="6" spans="1:8" ht="45" x14ac:dyDescent="0.25">
      <c r="A6" s="343">
        <v>3</v>
      </c>
      <c r="B6" s="342" t="s">
        <v>1159</v>
      </c>
      <c r="C6" s="342" t="s">
        <v>1524</v>
      </c>
      <c r="D6" s="343" t="s">
        <v>1525</v>
      </c>
      <c r="E6" s="347" t="s">
        <v>1172</v>
      </c>
      <c r="F6" s="348"/>
      <c r="G6" s="348"/>
      <c r="H6" s="348"/>
    </row>
    <row r="7" spans="1:8" x14ac:dyDescent="0.25">
      <c r="A7" s="343">
        <v>4</v>
      </c>
      <c r="B7" s="342" t="s">
        <v>1159</v>
      </c>
      <c r="C7" s="342" t="s">
        <v>1526</v>
      </c>
      <c r="D7" s="343" t="s">
        <v>1527</v>
      </c>
      <c r="E7" s="347" t="s">
        <v>1145</v>
      </c>
      <c r="F7" s="348"/>
      <c r="G7" s="348"/>
      <c r="H7" s="348"/>
    </row>
    <row r="8" spans="1:8" x14ac:dyDescent="0.25">
      <c r="A8" s="343">
        <v>5</v>
      </c>
      <c r="B8" s="342" t="s">
        <v>1159</v>
      </c>
      <c r="C8" s="342" t="s">
        <v>1528</v>
      </c>
      <c r="D8" s="343" t="s">
        <v>1529</v>
      </c>
      <c r="E8" s="347" t="s">
        <v>1145</v>
      </c>
      <c r="F8" s="348"/>
      <c r="G8" s="348"/>
      <c r="H8" s="348"/>
    </row>
    <row r="9" spans="1:8" ht="30" x14ac:dyDescent="0.25">
      <c r="A9" s="343">
        <v>6</v>
      </c>
      <c r="B9" s="342" t="s">
        <v>1530</v>
      </c>
      <c r="C9" s="342" t="s">
        <v>1531</v>
      </c>
      <c r="D9" s="343" t="s">
        <v>1532</v>
      </c>
      <c r="E9" s="347" t="s">
        <v>1172</v>
      </c>
      <c r="F9" s="348"/>
      <c r="G9" s="348"/>
      <c r="H9" s="348"/>
    </row>
    <row r="10" spans="1:8" ht="90" x14ac:dyDescent="0.25">
      <c r="A10" s="343">
        <v>7</v>
      </c>
      <c r="B10" s="342" t="s">
        <v>1530</v>
      </c>
      <c r="C10" s="342" t="s">
        <v>1533</v>
      </c>
      <c r="D10" s="343" t="s">
        <v>1534</v>
      </c>
      <c r="E10" s="347" t="s">
        <v>1145</v>
      </c>
      <c r="F10" s="348"/>
      <c r="G10" s="348"/>
      <c r="H10" s="348"/>
    </row>
    <row r="11" spans="1:8" ht="90" x14ac:dyDescent="0.25">
      <c r="A11" s="343">
        <v>8</v>
      </c>
      <c r="B11" s="342" t="s">
        <v>1530</v>
      </c>
      <c r="C11" s="342" t="s">
        <v>1533</v>
      </c>
      <c r="D11" s="343" t="s">
        <v>1534</v>
      </c>
      <c r="E11" s="347" t="s">
        <v>1189</v>
      </c>
      <c r="F11" s="348"/>
      <c r="G11" s="348"/>
      <c r="H11" s="348"/>
    </row>
    <row r="12" spans="1:8" ht="30" x14ac:dyDescent="0.25">
      <c r="A12" s="343">
        <v>9</v>
      </c>
      <c r="B12" s="342" t="s">
        <v>1175</v>
      </c>
      <c r="C12" s="342" t="s">
        <v>1535</v>
      </c>
      <c r="D12" s="343" t="s">
        <v>1536</v>
      </c>
      <c r="E12" s="343" t="s">
        <v>1189</v>
      </c>
      <c r="F12" s="348"/>
      <c r="G12" s="348"/>
      <c r="H12" s="348"/>
    </row>
    <row r="13" spans="1:8" ht="30" x14ac:dyDescent="0.25">
      <c r="A13" s="343">
        <v>10</v>
      </c>
      <c r="B13" s="342" t="s">
        <v>1192</v>
      </c>
      <c r="C13" s="342" t="s">
        <v>1537</v>
      </c>
      <c r="D13" s="343" t="s">
        <v>1538</v>
      </c>
      <c r="E13" s="347" t="s">
        <v>1145</v>
      </c>
      <c r="F13" s="348"/>
      <c r="G13" s="348"/>
      <c r="H13" s="348"/>
    </row>
    <row r="14" spans="1:8" ht="30" x14ac:dyDescent="0.25">
      <c r="A14" s="343">
        <v>11</v>
      </c>
      <c r="B14" s="342" t="s">
        <v>1192</v>
      </c>
      <c r="C14" s="342" t="s">
        <v>1537</v>
      </c>
      <c r="D14" s="343" t="s">
        <v>1538</v>
      </c>
      <c r="E14" s="347" t="s">
        <v>1172</v>
      </c>
      <c r="F14" s="348"/>
      <c r="G14" s="348"/>
      <c r="H14" s="348"/>
    </row>
    <row r="15" spans="1:8" ht="30" x14ac:dyDescent="0.25">
      <c r="A15" s="343">
        <v>12</v>
      </c>
      <c r="B15" s="342" t="s">
        <v>1211</v>
      </c>
      <c r="C15" s="342" t="s">
        <v>1539</v>
      </c>
      <c r="D15" s="343" t="s">
        <v>1540</v>
      </c>
      <c r="E15" s="347" t="s">
        <v>1145</v>
      </c>
      <c r="F15" s="348"/>
      <c r="G15" s="348"/>
      <c r="H15" s="348"/>
    </row>
    <row r="16" spans="1:8" x14ac:dyDescent="0.25">
      <c r="A16" s="343">
        <v>13</v>
      </c>
      <c r="B16" s="342" t="s">
        <v>1211</v>
      </c>
      <c r="C16" s="342" t="s">
        <v>1541</v>
      </c>
      <c r="D16" s="343" t="s">
        <v>1542</v>
      </c>
      <c r="E16" s="347" t="s">
        <v>1145</v>
      </c>
      <c r="F16" s="348"/>
      <c r="G16" s="348"/>
      <c r="H16" s="348"/>
    </row>
    <row r="17" spans="1:8" ht="30" x14ac:dyDescent="0.25">
      <c r="A17" s="343">
        <v>14</v>
      </c>
      <c r="B17" s="342" t="s">
        <v>1214</v>
      </c>
      <c r="C17" s="342" t="s">
        <v>1543</v>
      </c>
      <c r="D17" s="343" t="s">
        <v>1544</v>
      </c>
      <c r="E17" s="347" t="s">
        <v>1172</v>
      </c>
      <c r="F17" s="348"/>
      <c r="G17" s="348"/>
      <c r="H17" s="348"/>
    </row>
    <row r="18" spans="1:8" ht="45" x14ac:dyDescent="0.25">
      <c r="A18" s="343">
        <v>15</v>
      </c>
      <c r="B18" s="342" t="s">
        <v>1229</v>
      </c>
      <c r="C18" s="342" t="s">
        <v>1545</v>
      </c>
      <c r="D18" s="343" t="s">
        <v>1546</v>
      </c>
      <c r="E18" s="347" t="s">
        <v>1145</v>
      </c>
      <c r="F18" s="348"/>
      <c r="G18" s="348"/>
      <c r="H18" s="348"/>
    </row>
    <row r="19" spans="1:8" ht="45" x14ac:dyDescent="0.25">
      <c r="A19" s="343">
        <v>16</v>
      </c>
      <c r="B19" s="342" t="s">
        <v>1229</v>
      </c>
      <c r="C19" s="342" t="s">
        <v>1545</v>
      </c>
      <c r="D19" s="343" t="s">
        <v>1546</v>
      </c>
      <c r="E19" s="347" t="s">
        <v>1189</v>
      </c>
      <c r="F19" s="348"/>
      <c r="G19" s="348"/>
      <c r="H19" s="348"/>
    </row>
    <row r="20" spans="1:8" ht="45" x14ac:dyDescent="0.25">
      <c r="A20" s="343">
        <v>17</v>
      </c>
      <c r="B20" s="342" t="s">
        <v>1229</v>
      </c>
      <c r="C20" s="342" t="s">
        <v>1545</v>
      </c>
      <c r="D20" s="343" t="s">
        <v>1546</v>
      </c>
      <c r="E20" s="347" t="s">
        <v>1240</v>
      </c>
      <c r="F20" s="348"/>
      <c r="G20" s="348"/>
      <c r="H20" s="348"/>
    </row>
    <row r="21" spans="1:8" ht="30" x14ac:dyDescent="0.25">
      <c r="A21" s="343">
        <v>18</v>
      </c>
      <c r="B21" s="342" t="s">
        <v>1229</v>
      </c>
      <c r="C21" s="342" t="s">
        <v>1547</v>
      </c>
      <c r="D21" s="343" t="s">
        <v>1548</v>
      </c>
      <c r="E21" s="343" t="s">
        <v>1145</v>
      </c>
      <c r="F21" s="348"/>
      <c r="G21" s="348"/>
      <c r="H21" s="348"/>
    </row>
    <row r="22" spans="1:8" ht="30" x14ac:dyDescent="0.25">
      <c r="A22" s="343">
        <v>19</v>
      </c>
      <c r="B22" s="342" t="s">
        <v>1241</v>
      </c>
      <c r="C22" s="342" t="s">
        <v>1549</v>
      </c>
      <c r="D22" s="343" t="s">
        <v>1550</v>
      </c>
      <c r="E22" s="343" t="s">
        <v>1172</v>
      </c>
      <c r="F22" s="348"/>
      <c r="G22" s="348"/>
      <c r="H22" s="348"/>
    </row>
    <row r="23" spans="1:8" ht="30" x14ac:dyDescent="0.25">
      <c r="A23" s="343">
        <v>20</v>
      </c>
      <c r="B23" s="342" t="s">
        <v>1252</v>
      </c>
      <c r="C23" s="342" t="s">
        <v>1551</v>
      </c>
      <c r="D23" s="343" t="s">
        <v>1552</v>
      </c>
      <c r="E23" s="343" t="s">
        <v>1172</v>
      </c>
      <c r="F23" s="348"/>
      <c r="G23" s="348"/>
      <c r="H23" s="348"/>
    </row>
    <row r="24" spans="1:8" ht="30" x14ac:dyDescent="0.25">
      <c r="A24" s="343">
        <v>21</v>
      </c>
      <c r="B24" s="342" t="s">
        <v>1252</v>
      </c>
      <c r="C24" s="342" t="s">
        <v>1553</v>
      </c>
      <c r="D24" s="343" t="s">
        <v>1554</v>
      </c>
      <c r="E24" s="343" t="s">
        <v>1172</v>
      </c>
      <c r="F24" s="343"/>
      <c r="G24" s="348"/>
      <c r="H24" s="348"/>
    </row>
    <row r="25" spans="1:8" x14ac:dyDescent="0.25">
      <c r="A25" s="343">
        <v>22</v>
      </c>
      <c r="B25" s="342" t="s">
        <v>1252</v>
      </c>
      <c r="C25" s="342" t="s">
        <v>1555</v>
      </c>
      <c r="D25" s="343" t="s">
        <v>1556</v>
      </c>
      <c r="E25" s="343" t="s">
        <v>1145</v>
      </c>
      <c r="F25" s="348"/>
      <c r="G25" s="348"/>
      <c r="H25" s="348"/>
    </row>
    <row r="26" spans="1:8" ht="30" x14ac:dyDescent="0.25">
      <c r="A26" s="343">
        <v>23</v>
      </c>
      <c r="B26" s="342" t="s">
        <v>1283</v>
      </c>
      <c r="C26" s="342" t="s">
        <v>1557</v>
      </c>
      <c r="D26" s="343" t="s">
        <v>1558</v>
      </c>
      <c r="E26" s="343" t="s">
        <v>1172</v>
      </c>
      <c r="F26" s="348"/>
      <c r="G26" s="348"/>
      <c r="H26" s="348"/>
    </row>
    <row r="27" spans="1:8" ht="30" x14ac:dyDescent="0.25">
      <c r="A27" s="343">
        <v>24</v>
      </c>
      <c r="B27" s="342" t="s">
        <v>1288</v>
      </c>
      <c r="C27" s="342" t="s">
        <v>1559</v>
      </c>
      <c r="D27" s="343" t="s">
        <v>1560</v>
      </c>
      <c r="E27" s="343" t="s">
        <v>1145</v>
      </c>
      <c r="F27" s="348"/>
      <c r="G27" s="348"/>
      <c r="H27" s="348"/>
    </row>
    <row r="28" spans="1:8" ht="45" x14ac:dyDescent="0.25">
      <c r="A28" s="343">
        <v>25</v>
      </c>
      <c r="B28" s="342" t="s">
        <v>1299</v>
      </c>
      <c r="C28" s="342" t="s">
        <v>1561</v>
      </c>
      <c r="D28" s="343" t="s">
        <v>1562</v>
      </c>
      <c r="E28" s="347" t="s">
        <v>1172</v>
      </c>
      <c r="F28" s="348"/>
      <c r="G28" s="348"/>
      <c r="H28" s="348"/>
    </row>
    <row r="29" spans="1:8" ht="30" x14ac:dyDescent="0.25">
      <c r="A29" s="343">
        <v>26</v>
      </c>
      <c r="B29" s="342" t="s">
        <v>1316</v>
      </c>
      <c r="C29" s="342" t="s">
        <v>1563</v>
      </c>
      <c r="D29" s="343" t="s">
        <v>1564</v>
      </c>
      <c r="E29" s="347" t="s">
        <v>1172</v>
      </c>
      <c r="F29" s="348"/>
      <c r="G29" s="348"/>
      <c r="H29" s="348"/>
    </row>
    <row r="30" spans="1:8" ht="30" x14ac:dyDescent="0.25">
      <c r="A30" s="343">
        <v>27</v>
      </c>
      <c r="B30" s="342" t="s">
        <v>1316</v>
      </c>
      <c r="C30" s="342" t="s">
        <v>1565</v>
      </c>
      <c r="D30" s="343" t="s">
        <v>1566</v>
      </c>
      <c r="E30" s="347" t="s">
        <v>1172</v>
      </c>
      <c r="F30" s="348"/>
      <c r="G30" s="348"/>
      <c r="H30" s="348"/>
    </row>
    <row r="31" spans="1:8" ht="30" x14ac:dyDescent="0.25">
      <c r="A31" s="343">
        <v>28</v>
      </c>
      <c r="B31" s="342" t="s">
        <v>1347</v>
      </c>
      <c r="C31" s="342" t="s">
        <v>1567</v>
      </c>
      <c r="D31" s="343" t="s">
        <v>1568</v>
      </c>
      <c r="E31" s="347" t="s">
        <v>1172</v>
      </c>
      <c r="F31" s="348"/>
      <c r="G31" s="348"/>
      <c r="H31" s="348"/>
    </row>
    <row r="32" spans="1:8" ht="60" x14ac:dyDescent="0.25">
      <c r="A32" s="343">
        <v>29</v>
      </c>
      <c r="B32" s="342" t="s">
        <v>1352</v>
      </c>
      <c r="C32" s="342" t="s">
        <v>1591</v>
      </c>
      <c r="D32" s="343" t="s">
        <v>1592</v>
      </c>
      <c r="E32" s="343" t="s">
        <v>1490</v>
      </c>
      <c r="F32" s="348"/>
      <c r="G32" s="348"/>
      <c r="H32" s="348"/>
    </row>
    <row r="33" spans="1:8" ht="45" x14ac:dyDescent="0.25">
      <c r="A33" s="343">
        <v>30</v>
      </c>
      <c r="B33" s="342" t="s">
        <v>1355</v>
      </c>
      <c r="C33" s="342" t="s">
        <v>1569</v>
      </c>
      <c r="D33" s="343" t="s">
        <v>1570</v>
      </c>
      <c r="E33" s="347" t="s">
        <v>1172</v>
      </c>
      <c r="F33" s="348"/>
      <c r="G33" s="348"/>
      <c r="H33" s="348"/>
    </row>
    <row r="34" spans="1:8" ht="45" x14ac:dyDescent="0.25">
      <c r="A34" s="343">
        <v>31</v>
      </c>
      <c r="B34" s="342" t="s">
        <v>1386</v>
      </c>
      <c r="C34" s="342" t="s">
        <v>1571</v>
      </c>
      <c r="D34" s="343" t="s">
        <v>1572</v>
      </c>
      <c r="E34" s="347" t="s">
        <v>1172</v>
      </c>
      <c r="F34" s="348"/>
      <c r="G34" s="348"/>
      <c r="H34" s="348"/>
    </row>
  </sheetData>
  <mergeCells count="1">
    <mergeCell ref="A1:H1"/>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E47B47-1899-4C3E-9282-33F9F46D5E78}">
  <dimension ref="A1:H55"/>
  <sheetViews>
    <sheetView workbookViewId="0">
      <selection activeCell="F4" sqref="F4"/>
    </sheetView>
  </sheetViews>
  <sheetFormatPr defaultRowHeight="15" x14ac:dyDescent="0.25"/>
  <cols>
    <col min="1" max="1" width="5.5703125" style="355" customWidth="1"/>
    <col min="2" max="2" width="34.28515625" style="354" customWidth="1"/>
    <col min="3" max="3" width="74.7109375" style="354" customWidth="1"/>
    <col min="4" max="4" width="14.140625" style="355" bestFit="1" customWidth="1"/>
    <col min="5" max="5" width="24.7109375" style="356" bestFit="1" customWidth="1"/>
    <col min="6" max="6" width="39.85546875" customWidth="1"/>
    <col min="7" max="7" width="38.28515625" customWidth="1"/>
    <col min="8" max="8" width="39.42578125" customWidth="1"/>
  </cols>
  <sheetData>
    <row r="1" spans="1:8" s="336" customFormat="1" ht="28.5" x14ac:dyDescent="0.45">
      <c r="A1" s="521" t="s">
        <v>1594</v>
      </c>
      <c r="B1" s="521"/>
      <c r="C1" s="521"/>
      <c r="D1" s="521"/>
      <c r="E1" s="521"/>
      <c r="F1" s="521"/>
      <c r="G1" s="521"/>
      <c r="H1" s="521"/>
    </row>
    <row r="3" spans="1:8" s="340" customFormat="1" ht="90.75" thickBot="1" x14ac:dyDescent="0.3">
      <c r="A3" s="338" t="s">
        <v>1408</v>
      </c>
      <c r="B3" s="338" t="s">
        <v>1135</v>
      </c>
      <c r="C3" s="338" t="s">
        <v>1136</v>
      </c>
      <c r="D3" s="339" t="s">
        <v>1137</v>
      </c>
      <c r="E3" s="338" t="s">
        <v>1138</v>
      </c>
      <c r="F3" s="338" t="s">
        <v>1671</v>
      </c>
      <c r="G3" s="338" t="s">
        <v>1140</v>
      </c>
      <c r="H3" s="338" t="s">
        <v>1141</v>
      </c>
    </row>
    <row r="4" spans="1:8" ht="30" x14ac:dyDescent="0.25">
      <c r="A4" s="341">
        <v>1</v>
      </c>
      <c r="B4" s="357" t="s">
        <v>1142</v>
      </c>
      <c r="C4" s="357" t="s">
        <v>1520</v>
      </c>
      <c r="D4" s="341" t="s">
        <v>1521</v>
      </c>
      <c r="E4" s="344" t="s">
        <v>1172</v>
      </c>
      <c r="F4" s="348"/>
      <c r="G4" s="348"/>
      <c r="H4" s="348"/>
    </row>
    <row r="5" spans="1:8" ht="45" x14ac:dyDescent="0.25">
      <c r="A5" s="343">
        <v>2</v>
      </c>
      <c r="B5" s="342" t="s">
        <v>1148</v>
      </c>
      <c r="C5" s="342" t="s">
        <v>1522</v>
      </c>
      <c r="D5" s="343" t="s">
        <v>1523</v>
      </c>
      <c r="E5" s="347" t="s">
        <v>1172</v>
      </c>
      <c r="F5" s="348"/>
      <c r="G5" s="348"/>
      <c r="H5" s="348"/>
    </row>
    <row r="6" spans="1:8" ht="30" x14ac:dyDescent="0.25">
      <c r="A6" s="343">
        <v>3</v>
      </c>
      <c r="B6" s="342" t="s">
        <v>1148</v>
      </c>
      <c r="C6" s="342" t="s">
        <v>1595</v>
      </c>
      <c r="D6" s="343" t="s">
        <v>1596</v>
      </c>
      <c r="E6" s="347" t="s">
        <v>1494</v>
      </c>
      <c r="F6" s="348"/>
      <c r="G6" s="348"/>
      <c r="H6" s="348"/>
    </row>
    <row r="7" spans="1:8" ht="45" x14ac:dyDescent="0.25">
      <c r="A7" s="343">
        <v>4</v>
      </c>
      <c r="B7" s="342" t="s">
        <v>1148</v>
      </c>
      <c r="C7" s="342" t="s">
        <v>1597</v>
      </c>
      <c r="D7" s="343" t="s">
        <v>1598</v>
      </c>
      <c r="E7" s="347" t="s">
        <v>1494</v>
      </c>
      <c r="F7" s="348"/>
      <c r="G7" s="348"/>
      <c r="H7" s="348"/>
    </row>
    <row r="8" spans="1:8" ht="45" x14ac:dyDescent="0.25">
      <c r="A8" s="343">
        <v>5</v>
      </c>
      <c r="B8" s="342" t="s">
        <v>1159</v>
      </c>
      <c r="C8" s="342" t="s">
        <v>1524</v>
      </c>
      <c r="D8" s="343" t="s">
        <v>1525</v>
      </c>
      <c r="E8" s="347" t="s">
        <v>1172</v>
      </c>
      <c r="F8" s="348"/>
      <c r="G8" s="348"/>
      <c r="H8" s="348"/>
    </row>
    <row r="9" spans="1:8" ht="30" x14ac:dyDescent="0.25">
      <c r="A9" s="343">
        <v>6</v>
      </c>
      <c r="B9" s="342" t="s">
        <v>1159</v>
      </c>
      <c r="C9" s="342" t="s">
        <v>1599</v>
      </c>
      <c r="D9" s="343" t="s">
        <v>1600</v>
      </c>
      <c r="E9" s="347" t="s">
        <v>1494</v>
      </c>
      <c r="F9" s="348"/>
      <c r="G9" s="348"/>
      <c r="H9" s="348"/>
    </row>
    <row r="10" spans="1:8" ht="30" x14ac:dyDescent="0.25">
      <c r="A10" s="343">
        <v>7</v>
      </c>
      <c r="B10" s="342" t="s">
        <v>1159</v>
      </c>
      <c r="C10" s="342" t="s">
        <v>1601</v>
      </c>
      <c r="D10" s="343" t="s">
        <v>1602</v>
      </c>
      <c r="E10" s="347" t="s">
        <v>1494</v>
      </c>
      <c r="F10" s="348"/>
      <c r="G10" s="348"/>
      <c r="H10" s="348"/>
    </row>
    <row r="11" spans="1:8" ht="30" x14ac:dyDescent="0.25">
      <c r="A11" s="343">
        <v>8</v>
      </c>
      <c r="B11" s="342" t="s">
        <v>1159</v>
      </c>
      <c r="C11" s="342" t="s">
        <v>1603</v>
      </c>
      <c r="D11" s="343" t="s">
        <v>1604</v>
      </c>
      <c r="E11" s="347" t="s">
        <v>1494</v>
      </c>
      <c r="F11" s="348"/>
      <c r="G11" s="348"/>
      <c r="H11" s="348"/>
    </row>
    <row r="12" spans="1:8" ht="30" x14ac:dyDescent="0.25">
      <c r="A12" s="343">
        <v>9</v>
      </c>
      <c r="B12" s="342" t="s">
        <v>1159</v>
      </c>
      <c r="C12" s="342" t="s">
        <v>1605</v>
      </c>
      <c r="D12" s="343" t="s">
        <v>1606</v>
      </c>
      <c r="E12" s="347" t="s">
        <v>1494</v>
      </c>
      <c r="F12" s="348"/>
      <c r="G12" s="348"/>
      <c r="H12" s="348"/>
    </row>
    <row r="13" spans="1:8" x14ac:dyDescent="0.25">
      <c r="A13" s="343">
        <v>10</v>
      </c>
      <c r="B13" s="342" t="s">
        <v>1159</v>
      </c>
      <c r="C13" s="342" t="s">
        <v>1526</v>
      </c>
      <c r="D13" s="343" t="s">
        <v>1527</v>
      </c>
      <c r="E13" s="347" t="s">
        <v>1145</v>
      </c>
      <c r="F13" s="348"/>
      <c r="G13" s="348"/>
      <c r="H13" s="348"/>
    </row>
    <row r="14" spans="1:8" x14ac:dyDescent="0.25">
      <c r="A14" s="343">
        <v>11</v>
      </c>
      <c r="B14" s="342" t="s">
        <v>1159</v>
      </c>
      <c r="C14" s="342" t="s">
        <v>1528</v>
      </c>
      <c r="D14" s="343" t="s">
        <v>1529</v>
      </c>
      <c r="E14" s="347" t="s">
        <v>1145</v>
      </c>
      <c r="F14" s="348"/>
      <c r="G14" s="348"/>
      <c r="H14" s="348"/>
    </row>
    <row r="15" spans="1:8" ht="30" x14ac:dyDescent="0.25">
      <c r="A15" s="343">
        <v>12</v>
      </c>
      <c r="B15" s="342" t="s">
        <v>1530</v>
      </c>
      <c r="C15" s="342" t="s">
        <v>1531</v>
      </c>
      <c r="D15" s="343" t="s">
        <v>1532</v>
      </c>
      <c r="E15" s="347" t="s">
        <v>1172</v>
      </c>
      <c r="F15" s="348"/>
      <c r="G15" s="348"/>
      <c r="H15" s="348"/>
    </row>
    <row r="16" spans="1:8" ht="45" x14ac:dyDescent="0.25">
      <c r="A16" s="343">
        <v>13</v>
      </c>
      <c r="B16" s="342" t="s">
        <v>1530</v>
      </c>
      <c r="C16" s="342" t="s">
        <v>1607</v>
      </c>
      <c r="D16" s="343" t="s">
        <v>1608</v>
      </c>
      <c r="E16" s="347" t="s">
        <v>1494</v>
      </c>
      <c r="F16" s="348"/>
      <c r="G16" s="348"/>
      <c r="H16" s="348"/>
    </row>
    <row r="17" spans="1:8" ht="90" x14ac:dyDescent="0.25">
      <c r="A17" s="343">
        <v>14</v>
      </c>
      <c r="B17" s="342" t="s">
        <v>1530</v>
      </c>
      <c r="C17" s="342" t="s">
        <v>1533</v>
      </c>
      <c r="D17" s="343" t="s">
        <v>1534</v>
      </c>
      <c r="E17" s="347" t="s">
        <v>1494</v>
      </c>
      <c r="F17" s="348"/>
      <c r="G17" s="348"/>
      <c r="H17" s="348"/>
    </row>
    <row r="18" spans="1:8" ht="90" x14ac:dyDescent="0.25">
      <c r="A18" s="343">
        <v>15</v>
      </c>
      <c r="B18" s="342" t="s">
        <v>1530</v>
      </c>
      <c r="C18" s="342" t="s">
        <v>1533</v>
      </c>
      <c r="D18" s="343" t="s">
        <v>1534</v>
      </c>
      <c r="E18" s="347" t="s">
        <v>1145</v>
      </c>
      <c r="F18" s="348"/>
      <c r="G18" s="348"/>
      <c r="H18" s="348"/>
    </row>
    <row r="19" spans="1:8" ht="90" x14ac:dyDescent="0.25">
      <c r="A19" s="343">
        <v>16</v>
      </c>
      <c r="B19" s="342" t="s">
        <v>1530</v>
      </c>
      <c r="C19" s="342" t="s">
        <v>1533</v>
      </c>
      <c r="D19" s="343" t="s">
        <v>1534</v>
      </c>
      <c r="E19" s="347" t="s">
        <v>1189</v>
      </c>
      <c r="F19" s="348"/>
      <c r="G19" s="348"/>
      <c r="H19" s="348"/>
    </row>
    <row r="20" spans="1:8" ht="90" x14ac:dyDescent="0.25">
      <c r="A20" s="343">
        <v>17</v>
      </c>
      <c r="B20" s="342" t="s">
        <v>1530</v>
      </c>
      <c r="C20" s="342" t="s">
        <v>1609</v>
      </c>
      <c r="D20" s="343" t="s">
        <v>1610</v>
      </c>
      <c r="E20" s="347" t="s">
        <v>1494</v>
      </c>
      <c r="F20" s="348"/>
      <c r="G20" s="348"/>
      <c r="H20" s="348"/>
    </row>
    <row r="21" spans="1:8" ht="105" x14ac:dyDescent="0.25">
      <c r="A21" s="343">
        <v>18</v>
      </c>
      <c r="B21" s="342" t="s">
        <v>1530</v>
      </c>
      <c r="C21" s="342" t="s">
        <v>1611</v>
      </c>
      <c r="D21" s="343" t="s">
        <v>1612</v>
      </c>
      <c r="E21" s="347" t="s">
        <v>1494</v>
      </c>
      <c r="F21" s="348"/>
      <c r="G21" s="348"/>
      <c r="H21" s="348"/>
    </row>
    <row r="22" spans="1:8" ht="30" x14ac:dyDescent="0.25">
      <c r="A22" s="343">
        <v>19</v>
      </c>
      <c r="B22" s="342" t="s">
        <v>1175</v>
      </c>
      <c r="C22" s="342" t="s">
        <v>1613</v>
      </c>
      <c r="D22" s="343" t="s">
        <v>1614</v>
      </c>
      <c r="E22" s="343" t="s">
        <v>1494</v>
      </c>
      <c r="F22" s="348"/>
      <c r="G22" s="348"/>
      <c r="H22" s="348"/>
    </row>
    <row r="23" spans="1:8" ht="30" x14ac:dyDescent="0.25">
      <c r="A23" s="343">
        <v>20</v>
      </c>
      <c r="B23" s="342" t="s">
        <v>1175</v>
      </c>
      <c r="C23" s="342" t="s">
        <v>1615</v>
      </c>
      <c r="D23" s="343" t="s">
        <v>1616</v>
      </c>
      <c r="E23" s="343" t="s">
        <v>1494</v>
      </c>
      <c r="F23" s="348"/>
      <c r="G23" s="348"/>
      <c r="H23" s="348"/>
    </row>
    <row r="24" spans="1:8" ht="30" x14ac:dyDescent="0.25">
      <c r="A24" s="343">
        <v>21</v>
      </c>
      <c r="B24" s="342" t="s">
        <v>1175</v>
      </c>
      <c r="C24" s="342" t="s">
        <v>1535</v>
      </c>
      <c r="D24" s="343" t="s">
        <v>1536</v>
      </c>
      <c r="E24" s="343" t="s">
        <v>1189</v>
      </c>
      <c r="F24" s="348"/>
      <c r="G24" s="348"/>
      <c r="H24" s="348"/>
    </row>
    <row r="25" spans="1:8" ht="30" x14ac:dyDescent="0.25">
      <c r="A25" s="343">
        <v>22</v>
      </c>
      <c r="B25" s="342" t="s">
        <v>1192</v>
      </c>
      <c r="C25" s="342" t="s">
        <v>1537</v>
      </c>
      <c r="D25" s="343" t="s">
        <v>1538</v>
      </c>
      <c r="E25" s="347" t="s">
        <v>1145</v>
      </c>
      <c r="F25" s="348"/>
      <c r="G25" s="348"/>
      <c r="H25" s="348"/>
    </row>
    <row r="26" spans="1:8" ht="30" x14ac:dyDescent="0.25">
      <c r="A26" s="343">
        <v>23</v>
      </c>
      <c r="B26" s="342" t="s">
        <v>1192</v>
      </c>
      <c r="C26" s="342" t="s">
        <v>1537</v>
      </c>
      <c r="D26" s="343" t="s">
        <v>1538</v>
      </c>
      <c r="E26" s="347" t="s">
        <v>1172</v>
      </c>
      <c r="F26" s="348"/>
      <c r="G26" s="348"/>
      <c r="H26" s="348"/>
    </row>
    <row r="27" spans="1:8" ht="30" x14ac:dyDescent="0.25">
      <c r="A27" s="343">
        <v>24</v>
      </c>
      <c r="B27" s="342" t="s">
        <v>1211</v>
      </c>
      <c r="C27" s="342" t="s">
        <v>1539</v>
      </c>
      <c r="D27" s="343" t="s">
        <v>1540</v>
      </c>
      <c r="E27" s="347" t="s">
        <v>1145</v>
      </c>
      <c r="F27" s="348"/>
      <c r="G27" s="348"/>
      <c r="H27" s="348"/>
    </row>
    <row r="28" spans="1:8" x14ac:dyDescent="0.25">
      <c r="A28" s="343">
        <v>25</v>
      </c>
      <c r="B28" s="342" t="s">
        <v>1211</v>
      </c>
      <c r="C28" s="342" t="s">
        <v>1541</v>
      </c>
      <c r="D28" s="343" t="s">
        <v>1542</v>
      </c>
      <c r="E28" s="347" t="s">
        <v>1145</v>
      </c>
      <c r="F28" s="348"/>
      <c r="G28" s="348"/>
      <c r="H28" s="348"/>
    </row>
    <row r="29" spans="1:8" ht="30" x14ac:dyDescent="0.25">
      <c r="A29" s="343">
        <v>26</v>
      </c>
      <c r="B29" s="342" t="s">
        <v>1214</v>
      </c>
      <c r="C29" s="342" t="s">
        <v>1543</v>
      </c>
      <c r="D29" s="343" t="s">
        <v>1544</v>
      </c>
      <c r="E29" s="347" t="s">
        <v>1172</v>
      </c>
      <c r="F29" s="348"/>
      <c r="G29" s="348"/>
      <c r="H29" s="348"/>
    </row>
    <row r="30" spans="1:8" ht="45" x14ac:dyDescent="0.25">
      <c r="A30" s="343">
        <v>27</v>
      </c>
      <c r="B30" s="342" t="s">
        <v>1229</v>
      </c>
      <c r="C30" s="342" t="s">
        <v>1545</v>
      </c>
      <c r="D30" s="343" t="s">
        <v>1546</v>
      </c>
      <c r="E30" s="347" t="s">
        <v>1494</v>
      </c>
      <c r="F30" s="348"/>
      <c r="G30" s="348"/>
      <c r="H30" s="348"/>
    </row>
    <row r="31" spans="1:8" ht="45" x14ac:dyDescent="0.25">
      <c r="A31" s="343">
        <v>28</v>
      </c>
      <c r="B31" s="342" t="s">
        <v>1229</v>
      </c>
      <c r="C31" s="342" t="s">
        <v>1545</v>
      </c>
      <c r="D31" s="343" t="s">
        <v>1546</v>
      </c>
      <c r="E31" s="347" t="s">
        <v>1145</v>
      </c>
      <c r="F31" s="348"/>
      <c r="G31" s="348"/>
      <c r="H31" s="348"/>
    </row>
    <row r="32" spans="1:8" ht="45" x14ac:dyDescent="0.25">
      <c r="A32" s="343">
        <v>29</v>
      </c>
      <c r="B32" s="342" t="s">
        <v>1229</v>
      </c>
      <c r="C32" s="342" t="s">
        <v>1545</v>
      </c>
      <c r="D32" s="343" t="s">
        <v>1546</v>
      </c>
      <c r="E32" s="347" t="s">
        <v>1189</v>
      </c>
      <c r="F32" s="348"/>
      <c r="G32" s="348"/>
      <c r="H32" s="348"/>
    </row>
    <row r="33" spans="1:8" ht="29.25" customHeight="1" x14ac:dyDescent="0.25">
      <c r="A33" s="343">
        <v>30</v>
      </c>
      <c r="B33" s="342" t="s">
        <v>1229</v>
      </c>
      <c r="C33" s="342" t="s">
        <v>1545</v>
      </c>
      <c r="D33" s="343" t="s">
        <v>1546</v>
      </c>
      <c r="E33" s="347" t="s">
        <v>1240</v>
      </c>
      <c r="F33" s="348"/>
      <c r="G33" s="348"/>
      <c r="H33" s="348"/>
    </row>
    <row r="34" spans="1:8" ht="30" x14ac:dyDescent="0.25">
      <c r="A34" s="343">
        <v>31</v>
      </c>
      <c r="B34" s="342" t="s">
        <v>1229</v>
      </c>
      <c r="C34" s="342" t="s">
        <v>1547</v>
      </c>
      <c r="D34" s="343" t="s">
        <v>1548</v>
      </c>
      <c r="E34" s="343" t="s">
        <v>1494</v>
      </c>
      <c r="F34" s="348"/>
      <c r="G34" s="348"/>
      <c r="H34" s="348"/>
    </row>
    <row r="35" spans="1:8" ht="30" x14ac:dyDescent="0.25">
      <c r="A35" s="343">
        <v>32</v>
      </c>
      <c r="B35" s="342" t="s">
        <v>1229</v>
      </c>
      <c r="C35" s="342" t="s">
        <v>1547</v>
      </c>
      <c r="D35" s="343" t="s">
        <v>1548</v>
      </c>
      <c r="E35" s="343" t="s">
        <v>1145</v>
      </c>
      <c r="F35" s="348"/>
      <c r="G35" s="348"/>
      <c r="H35" s="348"/>
    </row>
    <row r="36" spans="1:8" ht="30" x14ac:dyDescent="0.25">
      <c r="A36" s="343">
        <v>33</v>
      </c>
      <c r="B36" s="342" t="s">
        <v>1241</v>
      </c>
      <c r="C36" s="342" t="s">
        <v>1549</v>
      </c>
      <c r="D36" s="343" t="s">
        <v>1550</v>
      </c>
      <c r="E36" s="343" t="s">
        <v>1172</v>
      </c>
      <c r="F36" s="348"/>
      <c r="G36" s="348"/>
      <c r="H36" s="348"/>
    </row>
    <row r="37" spans="1:8" ht="30" x14ac:dyDescent="0.25">
      <c r="A37" s="343">
        <v>34</v>
      </c>
      <c r="B37" s="342" t="s">
        <v>1241</v>
      </c>
      <c r="C37" s="342" t="s">
        <v>1617</v>
      </c>
      <c r="D37" s="343" t="s">
        <v>1618</v>
      </c>
      <c r="E37" s="343" t="s">
        <v>1494</v>
      </c>
      <c r="F37" s="348"/>
      <c r="G37" s="348"/>
      <c r="H37" s="348"/>
    </row>
    <row r="38" spans="1:8" ht="30" x14ac:dyDescent="0.25">
      <c r="A38" s="343">
        <v>35</v>
      </c>
      <c r="B38" s="342" t="s">
        <v>1252</v>
      </c>
      <c r="C38" s="342" t="s">
        <v>1551</v>
      </c>
      <c r="D38" s="343" t="s">
        <v>1552</v>
      </c>
      <c r="E38" s="343" t="s">
        <v>1172</v>
      </c>
      <c r="F38" s="348"/>
      <c r="G38" s="348"/>
      <c r="H38" s="348"/>
    </row>
    <row r="39" spans="1:8" ht="30" x14ac:dyDescent="0.25">
      <c r="A39" s="343">
        <v>36</v>
      </c>
      <c r="B39" s="342" t="s">
        <v>1252</v>
      </c>
      <c r="C39" s="342" t="s">
        <v>1553</v>
      </c>
      <c r="D39" s="343" t="s">
        <v>1554</v>
      </c>
      <c r="E39" s="343" t="s">
        <v>1172</v>
      </c>
      <c r="F39" s="343"/>
      <c r="G39" s="348"/>
      <c r="H39" s="348"/>
    </row>
    <row r="40" spans="1:8" x14ac:dyDescent="0.25">
      <c r="A40" s="343">
        <v>37</v>
      </c>
      <c r="B40" s="342" t="s">
        <v>1252</v>
      </c>
      <c r="C40" s="342" t="s">
        <v>1555</v>
      </c>
      <c r="D40" s="343" t="s">
        <v>1556</v>
      </c>
      <c r="E40" s="343" t="s">
        <v>1145</v>
      </c>
      <c r="F40" s="348"/>
      <c r="G40" s="348"/>
      <c r="H40" s="348"/>
    </row>
    <row r="41" spans="1:8" ht="30" x14ac:dyDescent="0.25">
      <c r="A41" s="343">
        <v>38</v>
      </c>
      <c r="B41" s="342" t="s">
        <v>1283</v>
      </c>
      <c r="C41" s="342" t="s">
        <v>1557</v>
      </c>
      <c r="D41" s="343" t="s">
        <v>1558</v>
      </c>
      <c r="E41" s="343" t="s">
        <v>1172</v>
      </c>
      <c r="F41" s="348"/>
      <c r="G41" s="348"/>
      <c r="H41" s="348"/>
    </row>
    <row r="42" spans="1:8" ht="30" x14ac:dyDescent="0.25">
      <c r="A42" s="343">
        <v>39</v>
      </c>
      <c r="B42" s="342" t="s">
        <v>1283</v>
      </c>
      <c r="C42" s="342" t="s">
        <v>1619</v>
      </c>
      <c r="D42" s="343" t="s">
        <v>1620</v>
      </c>
      <c r="E42" s="343" t="s">
        <v>1494</v>
      </c>
      <c r="F42" s="348"/>
      <c r="G42" s="348"/>
      <c r="H42" s="348"/>
    </row>
    <row r="43" spans="1:8" ht="30" x14ac:dyDescent="0.25">
      <c r="A43" s="343">
        <v>40</v>
      </c>
      <c r="B43" s="342" t="s">
        <v>1288</v>
      </c>
      <c r="C43" s="342" t="s">
        <v>1621</v>
      </c>
      <c r="D43" s="343" t="s">
        <v>1622</v>
      </c>
      <c r="E43" s="347" t="s">
        <v>1494</v>
      </c>
      <c r="F43" s="348"/>
      <c r="G43" s="348"/>
      <c r="H43" s="348"/>
    </row>
    <row r="44" spans="1:8" ht="30" x14ac:dyDescent="0.25">
      <c r="A44" s="343">
        <v>41</v>
      </c>
      <c r="B44" s="342" t="s">
        <v>1288</v>
      </c>
      <c r="C44" s="342" t="s">
        <v>1559</v>
      </c>
      <c r="D44" s="343" t="s">
        <v>1560</v>
      </c>
      <c r="E44" s="343" t="s">
        <v>1494</v>
      </c>
      <c r="F44" s="348"/>
      <c r="G44" s="348"/>
      <c r="H44" s="348"/>
    </row>
    <row r="45" spans="1:8" ht="30" x14ac:dyDescent="0.25">
      <c r="A45" s="343">
        <v>42</v>
      </c>
      <c r="B45" s="342" t="s">
        <v>1288</v>
      </c>
      <c r="C45" s="342" t="s">
        <v>1559</v>
      </c>
      <c r="D45" s="343" t="s">
        <v>1560</v>
      </c>
      <c r="E45" s="343" t="s">
        <v>1145</v>
      </c>
      <c r="F45" s="348"/>
      <c r="G45" s="348"/>
      <c r="H45" s="348"/>
    </row>
    <row r="46" spans="1:8" ht="45" x14ac:dyDescent="0.25">
      <c r="A46" s="343">
        <v>43</v>
      </c>
      <c r="B46" s="342" t="s">
        <v>1299</v>
      </c>
      <c r="C46" s="342" t="s">
        <v>1561</v>
      </c>
      <c r="D46" s="343" t="s">
        <v>1562</v>
      </c>
      <c r="E46" s="347" t="s">
        <v>1172</v>
      </c>
      <c r="F46" s="348"/>
      <c r="G46" s="348"/>
      <c r="H46" s="348"/>
    </row>
    <row r="47" spans="1:8" ht="51" customHeight="1" x14ac:dyDescent="0.25">
      <c r="A47" s="343">
        <v>44</v>
      </c>
      <c r="B47" s="342" t="s">
        <v>1299</v>
      </c>
      <c r="C47" s="342" t="s">
        <v>1623</v>
      </c>
      <c r="D47" s="343" t="s">
        <v>1624</v>
      </c>
      <c r="E47" s="343" t="s">
        <v>1494</v>
      </c>
      <c r="F47" s="348"/>
      <c r="G47" s="348"/>
      <c r="H47" s="348"/>
    </row>
    <row r="48" spans="1:8" ht="30" x14ac:dyDescent="0.25">
      <c r="A48" s="343">
        <v>45</v>
      </c>
      <c r="B48" s="342" t="s">
        <v>1316</v>
      </c>
      <c r="C48" s="342" t="s">
        <v>1563</v>
      </c>
      <c r="D48" s="343" t="s">
        <v>1564</v>
      </c>
      <c r="E48" s="347" t="s">
        <v>1172</v>
      </c>
      <c r="F48" s="348"/>
      <c r="G48" s="348"/>
      <c r="H48" s="348"/>
    </row>
    <row r="49" spans="1:8" ht="30" x14ac:dyDescent="0.25">
      <c r="A49" s="343">
        <v>46</v>
      </c>
      <c r="B49" s="342" t="s">
        <v>1316</v>
      </c>
      <c r="C49" s="342" t="s">
        <v>1565</v>
      </c>
      <c r="D49" s="343" t="s">
        <v>1566</v>
      </c>
      <c r="E49" s="347" t="s">
        <v>1172</v>
      </c>
      <c r="F49" s="348"/>
      <c r="G49" s="348"/>
      <c r="H49" s="348"/>
    </row>
    <row r="50" spans="1:8" ht="30" x14ac:dyDescent="0.25">
      <c r="A50" s="343">
        <v>47</v>
      </c>
      <c r="B50" s="342" t="s">
        <v>1347</v>
      </c>
      <c r="C50" s="342" t="s">
        <v>1567</v>
      </c>
      <c r="D50" s="343" t="s">
        <v>1568</v>
      </c>
      <c r="E50" s="347" t="s">
        <v>1172</v>
      </c>
      <c r="F50" s="348"/>
      <c r="G50" s="348"/>
      <c r="H50" s="348"/>
    </row>
    <row r="51" spans="1:8" ht="30" x14ac:dyDescent="0.25">
      <c r="A51" s="343">
        <v>48</v>
      </c>
      <c r="B51" s="342" t="s">
        <v>1347</v>
      </c>
      <c r="C51" s="342" t="s">
        <v>1625</v>
      </c>
      <c r="D51" s="343" t="s">
        <v>1626</v>
      </c>
      <c r="E51" s="343" t="s">
        <v>1494</v>
      </c>
      <c r="F51" s="348"/>
      <c r="G51" s="348"/>
      <c r="H51" s="348"/>
    </row>
    <row r="52" spans="1:8" ht="45" x14ac:dyDescent="0.25">
      <c r="A52" s="343">
        <v>49</v>
      </c>
      <c r="B52" s="342" t="s">
        <v>1352</v>
      </c>
      <c r="C52" s="342" t="s">
        <v>1627</v>
      </c>
      <c r="D52" s="343" t="s">
        <v>1628</v>
      </c>
      <c r="E52" s="347" t="s">
        <v>1494</v>
      </c>
      <c r="F52" s="348"/>
      <c r="G52" s="348"/>
      <c r="H52" s="348"/>
    </row>
    <row r="53" spans="1:8" ht="45" x14ac:dyDescent="0.25">
      <c r="A53" s="343">
        <v>50</v>
      </c>
      <c r="B53" s="342" t="s">
        <v>1355</v>
      </c>
      <c r="C53" s="342" t="s">
        <v>1569</v>
      </c>
      <c r="D53" s="343" t="s">
        <v>1570</v>
      </c>
      <c r="E53" s="347" t="s">
        <v>1172</v>
      </c>
      <c r="F53" s="348"/>
      <c r="G53" s="348"/>
      <c r="H53" s="348"/>
    </row>
    <row r="54" spans="1:8" ht="45" x14ac:dyDescent="0.25">
      <c r="A54" s="343">
        <v>51</v>
      </c>
      <c r="B54" s="342" t="s">
        <v>1355</v>
      </c>
      <c r="C54" s="342" t="s">
        <v>1629</v>
      </c>
      <c r="D54" s="343" t="s">
        <v>1630</v>
      </c>
      <c r="E54" s="343" t="s">
        <v>1494</v>
      </c>
      <c r="F54" s="348"/>
      <c r="G54" s="348"/>
      <c r="H54" s="348"/>
    </row>
    <row r="55" spans="1:8" ht="30.75" customHeight="1" x14ac:dyDescent="0.25">
      <c r="A55" s="343">
        <v>52</v>
      </c>
      <c r="B55" s="342" t="s">
        <v>1386</v>
      </c>
      <c r="C55" s="342" t="s">
        <v>1571</v>
      </c>
      <c r="D55" s="343" t="s">
        <v>1572</v>
      </c>
      <c r="E55" s="347" t="s">
        <v>1172</v>
      </c>
      <c r="F55" s="348"/>
      <c r="G55" s="348"/>
      <c r="H55" s="348"/>
    </row>
  </sheetData>
  <mergeCells count="1">
    <mergeCell ref="A1:H1"/>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24CCDF-C66F-44BD-94FE-FAC6763B9F97}">
  <dimension ref="A1:H44"/>
  <sheetViews>
    <sheetView workbookViewId="0">
      <selection activeCell="F4" sqref="F4"/>
    </sheetView>
  </sheetViews>
  <sheetFormatPr defaultRowHeight="15" x14ac:dyDescent="0.25"/>
  <cols>
    <col min="1" max="1" width="5.5703125" style="355" customWidth="1"/>
    <col min="2" max="2" width="34.28515625" style="354" customWidth="1"/>
    <col min="3" max="3" width="74.7109375" style="354" customWidth="1"/>
    <col min="4" max="4" width="14.140625" style="355" bestFit="1" customWidth="1"/>
    <col min="5" max="5" width="24.7109375" style="356" bestFit="1" customWidth="1"/>
    <col min="6" max="6" width="39.42578125" customWidth="1"/>
    <col min="7" max="7" width="36.42578125" customWidth="1"/>
    <col min="8" max="8" width="40.28515625" customWidth="1"/>
  </cols>
  <sheetData>
    <row r="1" spans="1:8" s="336" customFormat="1" ht="28.5" x14ac:dyDescent="0.45">
      <c r="A1" s="521" t="s">
        <v>1631</v>
      </c>
      <c r="B1" s="521"/>
      <c r="C1" s="521"/>
      <c r="D1" s="521"/>
      <c r="E1" s="521"/>
      <c r="F1" s="521"/>
      <c r="G1" s="521"/>
      <c r="H1" s="521"/>
    </row>
    <row r="3" spans="1:8" s="340" customFormat="1" ht="105.75" thickBot="1" x14ac:dyDescent="0.3">
      <c r="A3" s="338" t="s">
        <v>1408</v>
      </c>
      <c r="B3" s="338" t="s">
        <v>1135</v>
      </c>
      <c r="C3" s="338" t="s">
        <v>1136</v>
      </c>
      <c r="D3" s="339" t="s">
        <v>1137</v>
      </c>
      <c r="E3" s="338" t="s">
        <v>1138</v>
      </c>
      <c r="F3" s="338" t="s">
        <v>1671</v>
      </c>
      <c r="G3" s="338" t="s">
        <v>1140</v>
      </c>
      <c r="H3" s="338" t="s">
        <v>1141</v>
      </c>
    </row>
    <row r="4" spans="1:8" ht="30" x14ac:dyDescent="0.25">
      <c r="A4" s="341">
        <v>1</v>
      </c>
      <c r="B4" s="357" t="s">
        <v>1142</v>
      </c>
      <c r="C4" s="357" t="s">
        <v>1520</v>
      </c>
      <c r="D4" s="341" t="s">
        <v>1521</v>
      </c>
      <c r="E4" s="344" t="s">
        <v>1172</v>
      </c>
      <c r="F4" s="348"/>
      <c r="G4" s="348"/>
      <c r="H4" s="348"/>
    </row>
    <row r="5" spans="1:8" ht="30" x14ac:dyDescent="0.25">
      <c r="A5" s="343">
        <v>2</v>
      </c>
      <c r="B5" s="342" t="s">
        <v>1142</v>
      </c>
      <c r="C5" s="342" t="s">
        <v>1632</v>
      </c>
      <c r="D5" s="343" t="s">
        <v>1633</v>
      </c>
      <c r="E5" s="347" t="s">
        <v>1504</v>
      </c>
      <c r="F5" s="348"/>
      <c r="G5" s="348"/>
      <c r="H5" s="348"/>
    </row>
    <row r="6" spans="1:8" ht="30" x14ac:dyDescent="0.25">
      <c r="A6" s="343">
        <v>3</v>
      </c>
      <c r="B6" s="342" t="s">
        <v>1142</v>
      </c>
      <c r="C6" s="342" t="s">
        <v>1634</v>
      </c>
      <c r="D6" s="343" t="s">
        <v>1635</v>
      </c>
      <c r="E6" s="347" t="s">
        <v>1504</v>
      </c>
      <c r="F6" s="348"/>
      <c r="G6" s="348"/>
      <c r="H6" s="348"/>
    </row>
    <row r="7" spans="1:8" ht="45" x14ac:dyDescent="0.25">
      <c r="A7" s="343">
        <v>4</v>
      </c>
      <c r="B7" s="342" t="s">
        <v>1148</v>
      </c>
      <c r="C7" s="342" t="s">
        <v>1522</v>
      </c>
      <c r="D7" s="343" t="s">
        <v>1523</v>
      </c>
      <c r="E7" s="347" t="s">
        <v>1172</v>
      </c>
      <c r="F7" s="348"/>
      <c r="G7" s="348"/>
      <c r="H7" s="348"/>
    </row>
    <row r="8" spans="1:8" ht="45" x14ac:dyDescent="0.25">
      <c r="A8" s="343">
        <v>5</v>
      </c>
      <c r="B8" s="342" t="s">
        <v>1159</v>
      </c>
      <c r="C8" s="342" t="s">
        <v>1524</v>
      </c>
      <c r="D8" s="343" t="s">
        <v>1525</v>
      </c>
      <c r="E8" s="347" t="s">
        <v>1172</v>
      </c>
      <c r="F8" s="348"/>
      <c r="G8" s="348"/>
      <c r="H8" s="348"/>
    </row>
    <row r="9" spans="1:8" x14ac:dyDescent="0.25">
      <c r="A9" s="343">
        <v>6</v>
      </c>
      <c r="B9" s="342" t="s">
        <v>1159</v>
      </c>
      <c r="C9" s="342" t="s">
        <v>1526</v>
      </c>
      <c r="D9" s="343" t="s">
        <v>1527</v>
      </c>
      <c r="E9" s="347" t="s">
        <v>1145</v>
      </c>
      <c r="F9" s="348"/>
      <c r="G9" s="348"/>
      <c r="H9" s="348"/>
    </row>
    <row r="10" spans="1:8" x14ac:dyDescent="0.25">
      <c r="A10" s="343">
        <v>7</v>
      </c>
      <c r="B10" s="342" t="s">
        <v>1159</v>
      </c>
      <c r="C10" s="342" t="s">
        <v>1528</v>
      </c>
      <c r="D10" s="343" t="s">
        <v>1529</v>
      </c>
      <c r="E10" s="347" t="s">
        <v>1145</v>
      </c>
      <c r="F10" s="348"/>
      <c r="G10" s="348"/>
      <c r="H10" s="348"/>
    </row>
    <row r="11" spans="1:8" ht="30" x14ac:dyDescent="0.25">
      <c r="A11" s="343">
        <v>8</v>
      </c>
      <c r="B11" s="342" t="s">
        <v>1530</v>
      </c>
      <c r="C11" s="342" t="s">
        <v>1531</v>
      </c>
      <c r="D11" s="343" t="s">
        <v>1532</v>
      </c>
      <c r="E11" s="347" t="s">
        <v>1172</v>
      </c>
      <c r="F11" s="348"/>
      <c r="G11" s="348"/>
      <c r="H11" s="348"/>
    </row>
    <row r="12" spans="1:8" ht="90" x14ac:dyDescent="0.25">
      <c r="A12" s="343">
        <v>9</v>
      </c>
      <c r="B12" s="342" t="s">
        <v>1530</v>
      </c>
      <c r="C12" s="342" t="s">
        <v>1533</v>
      </c>
      <c r="D12" s="343" t="s">
        <v>1534</v>
      </c>
      <c r="E12" s="347" t="s">
        <v>1145</v>
      </c>
      <c r="F12" s="348"/>
      <c r="G12" s="348"/>
      <c r="H12" s="348"/>
    </row>
    <row r="13" spans="1:8" ht="90" x14ac:dyDescent="0.25">
      <c r="A13" s="343">
        <v>10</v>
      </c>
      <c r="B13" s="342" t="s">
        <v>1530</v>
      </c>
      <c r="C13" s="342" t="s">
        <v>1533</v>
      </c>
      <c r="D13" s="343" t="s">
        <v>1534</v>
      </c>
      <c r="E13" s="347" t="s">
        <v>1189</v>
      </c>
      <c r="F13" s="348"/>
      <c r="G13" s="348"/>
      <c r="H13" s="348"/>
    </row>
    <row r="14" spans="1:8" ht="30" x14ac:dyDescent="0.25">
      <c r="A14" s="343">
        <v>11</v>
      </c>
      <c r="B14" s="342" t="s">
        <v>1175</v>
      </c>
      <c r="C14" s="342" t="s">
        <v>1535</v>
      </c>
      <c r="D14" s="343" t="s">
        <v>1536</v>
      </c>
      <c r="E14" s="343" t="s">
        <v>1189</v>
      </c>
      <c r="F14" s="348"/>
      <c r="G14" s="348"/>
      <c r="H14" s="348"/>
    </row>
    <row r="15" spans="1:8" ht="30" x14ac:dyDescent="0.25">
      <c r="A15" s="343">
        <v>12</v>
      </c>
      <c r="B15" s="342" t="s">
        <v>1192</v>
      </c>
      <c r="C15" s="342" t="s">
        <v>1537</v>
      </c>
      <c r="D15" s="343" t="s">
        <v>1538</v>
      </c>
      <c r="E15" s="347" t="s">
        <v>1145</v>
      </c>
      <c r="F15" s="348"/>
      <c r="G15" s="348"/>
      <c r="H15" s="348"/>
    </row>
    <row r="16" spans="1:8" ht="30" x14ac:dyDescent="0.25">
      <c r="A16" s="343">
        <v>13</v>
      </c>
      <c r="B16" s="342" t="s">
        <v>1192</v>
      </c>
      <c r="C16" s="342" t="s">
        <v>1537</v>
      </c>
      <c r="D16" s="343" t="s">
        <v>1538</v>
      </c>
      <c r="E16" s="347" t="s">
        <v>1172</v>
      </c>
      <c r="F16" s="348"/>
      <c r="G16" s="348"/>
      <c r="H16" s="348"/>
    </row>
    <row r="17" spans="1:8" ht="30" x14ac:dyDescent="0.25">
      <c r="A17" s="343">
        <v>14</v>
      </c>
      <c r="B17" s="342" t="s">
        <v>1211</v>
      </c>
      <c r="C17" s="342" t="s">
        <v>1539</v>
      </c>
      <c r="D17" s="343" t="s">
        <v>1540</v>
      </c>
      <c r="E17" s="347" t="s">
        <v>1145</v>
      </c>
      <c r="F17" s="348"/>
      <c r="G17" s="348"/>
      <c r="H17" s="348"/>
    </row>
    <row r="18" spans="1:8" x14ac:dyDescent="0.25">
      <c r="A18" s="343">
        <v>15</v>
      </c>
      <c r="B18" s="342" t="s">
        <v>1211</v>
      </c>
      <c r="C18" s="342" t="s">
        <v>1541</v>
      </c>
      <c r="D18" s="343" t="s">
        <v>1542</v>
      </c>
      <c r="E18" s="347" t="s">
        <v>1145</v>
      </c>
      <c r="F18" s="348"/>
      <c r="G18" s="348"/>
      <c r="H18" s="348"/>
    </row>
    <row r="19" spans="1:8" ht="30" x14ac:dyDescent="0.25">
      <c r="A19" s="343">
        <v>16</v>
      </c>
      <c r="B19" s="342" t="s">
        <v>1214</v>
      </c>
      <c r="C19" s="342" t="s">
        <v>1543</v>
      </c>
      <c r="D19" s="343" t="s">
        <v>1544</v>
      </c>
      <c r="E19" s="347" t="s">
        <v>1172</v>
      </c>
      <c r="F19" s="348"/>
      <c r="G19" s="348"/>
      <c r="H19" s="348"/>
    </row>
    <row r="20" spans="1:8" ht="45" x14ac:dyDescent="0.25">
      <c r="A20" s="343">
        <v>17</v>
      </c>
      <c r="B20" s="342" t="s">
        <v>1229</v>
      </c>
      <c r="C20" s="342" t="s">
        <v>1545</v>
      </c>
      <c r="D20" s="343" t="s">
        <v>1546</v>
      </c>
      <c r="E20" s="347" t="s">
        <v>1145</v>
      </c>
      <c r="F20" s="348"/>
      <c r="G20" s="348"/>
      <c r="H20" s="348"/>
    </row>
    <row r="21" spans="1:8" ht="45" x14ac:dyDescent="0.25">
      <c r="A21" s="343">
        <v>18</v>
      </c>
      <c r="B21" s="342" t="s">
        <v>1229</v>
      </c>
      <c r="C21" s="342" t="s">
        <v>1545</v>
      </c>
      <c r="D21" s="343" t="s">
        <v>1546</v>
      </c>
      <c r="E21" s="347" t="s">
        <v>1189</v>
      </c>
      <c r="F21" s="348"/>
      <c r="G21" s="348"/>
      <c r="H21" s="348"/>
    </row>
    <row r="22" spans="1:8" ht="45" x14ac:dyDescent="0.25">
      <c r="A22" s="343">
        <v>19</v>
      </c>
      <c r="B22" s="342" t="s">
        <v>1229</v>
      </c>
      <c r="C22" s="342" t="s">
        <v>1545</v>
      </c>
      <c r="D22" s="343" t="s">
        <v>1546</v>
      </c>
      <c r="E22" s="347" t="s">
        <v>1240</v>
      </c>
      <c r="F22" s="348"/>
      <c r="G22" s="348"/>
      <c r="H22" s="348"/>
    </row>
    <row r="23" spans="1:8" ht="30" x14ac:dyDescent="0.25">
      <c r="A23" s="343">
        <v>20</v>
      </c>
      <c r="B23" s="342" t="s">
        <v>1229</v>
      </c>
      <c r="C23" s="342" t="s">
        <v>1547</v>
      </c>
      <c r="D23" s="343" t="s">
        <v>1548</v>
      </c>
      <c r="E23" s="343" t="s">
        <v>1145</v>
      </c>
      <c r="F23" s="348"/>
      <c r="G23" s="348"/>
      <c r="H23" s="348"/>
    </row>
    <row r="24" spans="1:8" ht="45" x14ac:dyDescent="0.25">
      <c r="A24" s="343">
        <v>21</v>
      </c>
      <c r="B24" s="342" t="s">
        <v>1229</v>
      </c>
      <c r="C24" s="342" t="s">
        <v>1636</v>
      </c>
      <c r="D24" s="343" t="s">
        <v>1637</v>
      </c>
      <c r="E24" s="343" t="s">
        <v>1504</v>
      </c>
      <c r="F24" s="348"/>
      <c r="G24" s="348"/>
      <c r="H24" s="348"/>
    </row>
    <row r="25" spans="1:8" ht="30" x14ac:dyDescent="0.25">
      <c r="A25" s="343">
        <v>22</v>
      </c>
      <c r="B25" s="342" t="s">
        <v>1229</v>
      </c>
      <c r="C25" s="342" t="s">
        <v>1638</v>
      </c>
      <c r="D25" s="343" t="s">
        <v>1639</v>
      </c>
      <c r="E25" s="343" t="s">
        <v>1504</v>
      </c>
      <c r="F25" s="348"/>
      <c r="G25" s="348"/>
      <c r="H25" s="348"/>
    </row>
    <row r="26" spans="1:8" ht="30" x14ac:dyDescent="0.25">
      <c r="A26" s="343">
        <v>23</v>
      </c>
      <c r="B26" s="342" t="s">
        <v>1241</v>
      </c>
      <c r="C26" s="342" t="s">
        <v>1549</v>
      </c>
      <c r="D26" s="343" t="s">
        <v>1550</v>
      </c>
      <c r="E26" s="343" t="s">
        <v>1172</v>
      </c>
      <c r="F26" s="348"/>
      <c r="G26" s="348"/>
      <c r="H26" s="348"/>
    </row>
    <row r="27" spans="1:8" ht="30" x14ac:dyDescent="0.25">
      <c r="A27" s="343">
        <v>24</v>
      </c>
      <c r="B27" s="342" t="s">
        <v>1252</v>
      </c>
      <c r="C27" s="342" t="s">
        <v>1551</v>
      </c>
      <c r="D27" s="343" t="s">
        <v>1552</v>
      </c>
      <c r="E27" s="343" t="s">
        <v>1172</v>
      </c>
      <c r="F27" s="348"/>
      <c r="G27" s="348"/>
      <c r="H27" s="348"/>
    </row>
    <row r="28" spans="1:8" ht="30" x14ac:dyDescent="0.25">
      <c r="A28" s="343">
        <v>25</v>
      </c>
      <c r="B28" s="342" t="s">
        <v>1252</v>
      </c>
      <c r="C28" s="342" t="s">
        <v>1553</v>
      </c>
      <c r="D28" s="343" t="s">
        <v>1554</v>
      </c>
      <c r="E28" s="343" t="s">
        <v>1172</v>
      </c>
      <c r="F28" s="343"/>
      <c r="G28" s="348"/>
      <c r="H28" s="348"/>
    </row>
    <row r="29" spans="1:8" x14ac:dyDescent="0.25">
      <c r="A29" s="343">
        <v>26</v>
      </c>
      <c r="B29" s="342" t="s">
        <v>1252</v>
      </c>
      <c r="C29" s="342" t="s">
        <v>1555</v>
      </c>
      <c r="D29" s="343" t="s">
        <v>1556</v>
      </c>
      <c r="E29" s="343" t="s">
        <v>1145</v>
      </c>
      <c r="F29" s="348"/>
      <c r="G29" s="348"/>
      <c r="H29" s="348"/>
    </row>
    <row r="30" spans="1:8" ht="30" x14ac:dyDescent="0.25">
      <c r="A30" s="343">
        <v>27</v>
      </c>
      <c r="B30" s="342" t="s">
        <v>1255</v>
      </c>
      <c r="C30" s="342" t="s">
        <v>1640</v>
      </c>
      <c r="D30" s="343" t="s">
        <v>1641</v>
      </c>
      <c r="E30" s="343" t="s">
        <v>1504</v>
      </c>
      <c r="F30" s="348"/>
      <c r="G30" s="348"/>
      <c r="H30" s="348"/>
    </row>
    <row r="31" spans="1:8" ht="30" x14ac:dyDescent="0.25">
      <c r="A31" s="343">
        <v>28</v>
      </c>
      <c r="B31" s="342" t="s">
        <v>1283</v>
      </c>
      <c r="C31" s="342" t="s">
        <v>1557</v>
      </c>
      <c r="D31" s="343" t="s">
        <v>1558</v>
      </c>
      <c r="E31" s="343" t="s">
        <v>1172</v>
      </c>
      <c r="F31" s="348"/>
      <c r="G31" s="348"/>
      <c r="H31" s="348"/>
    </row>
    <row r="32" spans="1:8" ht="45" x14ac:dyDescent="0.25">
      <c r="A32" s="343">
        <v>29</v>
      </c>
      <c r="B32" s="342" t="s">
        <v>1283</v>
      </c>
      <c r="C32" s="342" t="s">
        <v>1642</v>
      </c>
      <c r="D32" s="343" t="s">
        <v>1643</v>
      </c>
      <c r="E32" s="343" t="s">
        <v>1504</v>
      </c>
      <c r="F32" s="348"/>
      <c r="G32" s="348"/>
      <c r="H32" s="348"/>
    </row>
    <row r="33" spans="1:8" ht="30" x14ac:dyDescent="0.25">
      <c r="A33" s="343">
        <v>30</v>
      </c>
      <c r="B33" s="342" t="s">
        <v>1288</v>
      </c>
      <c r="C33" s="342" t="s">
        <v>1559</v>
      </c>
      <c r="D33" s="343" t="s">
        <v>1560</v>
      </c>
      <c r="E33" s="343" t="s">
        <v>1145</v>
      </c>
      <c r="F33" s="348"/>
      <c r="G33" s="348"/>
      <c r="H33" s="348"/>
    </row>
    <row r="34" spans="1:8" ht="30" x14ac:dyDescent="0.25">
      <c r="A34" s="343">
        <v>31</v>
      </c>
      <c r="B34" s="342" t="s">
        <v>1288</v>
      </c>
      <c r="C34" s="342" t="s">
        <v>1644</v>
      </c>
      <c r="D34" s="343" t="s">
        <v>1645</v>
      </c>
      <c r="E34" s="347" t="s">
        <v>1504</v>
      </c>
      <c r="F34" s="348"/>
      <c r="G34" s="348"/>
      <c r="H34" s="348"/>
    </row>
    <row r="35" spans="1:8" ht="45" x14ac:dyDescent="0.25">
      <c r="A35" s="343">
        <v>32</v>
      </c>
      <c r="B35" s="342" t="s">
        <v>1288</v>
      </c>
      <c r="C35" s="342" t="s">
        <v>1646</v>
      </c>
      <c r="D35" s="343" t="s">
        <v>1647</v>
      </c>
      <c r="E35" s="347" t="s">
        <v>1504</v>
      </c>
      <c r="F35" s="348"/>
      <c r="G35" s="348"/>
      <c r="H35" s="348"/>
    </row>
    <row r="36" spans="1:8" ht="45" x14ac:dyDescent="0.25">
      <c r="A36" s="343">
        <v>33</v>
      </c>
      <c r="B36" s="342" t="s">
        <v>1299</v>
      </c>
      <c r="C36" s="342" t="s">
        <v>1561</v>
      </c>
      <c r="D36" s="343" t="s">
        <v>1562</v>
      </c>
      <c r="E36" s="347" t="s">
        <v>1172</v>
      </c>
      <c r="F36" s="348"/>
      <c r="G36" s="348"/>
      <c r="H36" s="348"/>
    </row>
    <row r="37" spans="1:8" ht="30" x14ac:dyDescent="0.25">
      <c r="A37" s="343">
        <v>34</v>
      </c>
      <c r="B37" s="342" t="s">
        <v>1316</v>
      </c>
      <c r="C37" s="342" t="s">
        <v>1563</v>
      </c>
      <c r="D37" s="343" t="s">
        <v>1564</v>
      </c>
      <c r="E37" s="347" t="s">
        <v>1172</v>
      </c>
      <c r="F37" s="348"/>
      <c r="G37" s="348"/>
      <c r="H37" s="348"/>
    </row>
    <row r="38" spans="1:8" ht="30" x14ac:dyDescent="0.25">
      <c r="A38" s="343">
        <v>35</v>
      </c>
      <c r="B38" s="342" t="s">
        <v>1316</v>
      </c>
      <c r="C38" s="342" t="s">
        <v>1565</v>
      </c>
      <c r="D38" s="343" t="s">
        <v>1566</v>
      </c>
      <c r="E38" s="347" t="s">
        <v>1172</v>
      </c>
      <c r="F38" s="348"/>
      <c r="G38" s="348"/>
      <c r="H38" s="348"/>
    </row>
    <row r="39" spans="1:8" ht="30" x14ac:dyDescent="0.25">
      <c r="A39" s="343">
        <v>36</v>
      </c>
      <c r="B39" s="342" t="s">
        <v>1319</v>
      </c>
      <c r="C39" s="342" t="s">
        <v>1648</v>
      </c>
      <c r="D39" s="343" t="s">
        <v>1649</v>
      </c>
      <c r="E39" s="343" t="s">
        <v>1504</v>
      </c>
      <c r="F39" s="348"/>
      <c r="G39" s="348"/>
      <c r="H39" s="348"/>
    </row>
    <row r="40" spans="1:8" ht="30" x14ac:dyDescent="0.25">
      <c r="A40" s="343">
        <v>37</v>
      </c>
      <c r="B40" s="342" t="s">
        <v>1347</v>
      </c>
      <c r="C40" s="342" t="s">
        <v>1567</v>
      </c>
      <c r="D40" s="343" t="s">
        <v>1568</v>
      </c>
      <c r="E40" s="347" t="s">
        <v>1172</v>
      </c>
      <c r="F40" s="348"/>
      <c r="G40" s="348"/>
      <c r="H40" s="348"/>
    </row>
    <row r="41" spans="1:8" ht="45" x14ac:dyDescent="0.25">
      <c r="A41" s="343">
        <v>38</v>
      </c>
      <c r="B41" s="342" t="s">
        <v>1347</v>
      </c>
      <c r="C41" s="342" t="s">
        <v>1650</v>
      </c>
      <c r="D41" s="343" t="s">
        <v>1651</v>
      </c>
      <c r="E41" s="343" t="s">
        <v>1504</v>
      </c>
      <c r="F41" s="348"/>
      <c r="G41" s="348"/>
      <c r="H41" s="348"/>
    </row>
    <row r="42" spans="1:8" ht="45" x14ac:dyDescent="0.25">
      <c r="A42" s="343">
        <v>39</v>
      </c>
      <c r="B42" s="342" t="s">
        <v>1352</v>
      </c>
      <c r="C42" s="342" t="s">
        <v>1627</v>
      </c>
      <c r="D42" s="343" t="s">
        <v>1628</v>
      </c>
      <c r="E42" s="347" t="s">
        <v>1504</v>
      </c>
      <c r="F42" s="348"/>
      <c r="G42" s="348"/>
      <c r="H42" s="348"/>
    </row>
    <row r="43" spans="1:8" ht="45" x14ac:dyDescent="0.25">
      <c r="A43" s="343">
        <v>40</v>
      </c>
      <c r="B43" s="342" t="s">
        <v>1355</v>
      </c>
      <c r="C43" s="342" t="s">
        <v>1569</v>
      </c>
      <c r="D43" s="343" t="s">
        <v>1570</v>
      </c>
      <c r="E43" s="347" t="s">
        <v>1172</v>
      </c>
      <c r="F43" s="348"/>
      <c r="G43" s="348"/>
      <c r="H43" s="348"/>
    </row>
    <row r="44" spans="1:8" ht="45" x14ac:dyDescent="0.25">
      <c r="A44" s="343">
        <v>41</v>
      </c>
      <c r="B44" s="342" t="s">
        <v>1386</v>
      </c>
      <c r="C44" s="342" t="s">
        <v>1571</v>
      </c>
      <c r="D44" s="343" t="s">
        <v>1572</v>
      </c>
      <c r="E44" s="347" t="s">
        <v>1172</v>
      </c>
      <c r="F44" s="348"/>
      <c r="G44" s="348"/>
      <c r="H44" s="348"/>
    </row>
  </sheetData>
  <mergeCells count="1">
    <mergeCell ref="A1:H1"/>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BFC5E-2752-4AB9-B3B3-117746CB2D97}">
  <dimension ref="A1:H40"/>
  <sheetViews>
    <sheetView workbookViewId="0">
      <selection activeCell="F4" sqref="F4"/>
    </sheetView>
  </sheetViews>
  <sheetFormatPr defaultRowHeight="15" x14ac:dyDescent="0.25"/>
  <cols>
    <col min="1" max="1" width="5.5703125" style="355" customWidth="1"/>
    <col min="2" max="2" width="34.28515625" style="354" customWidth="1"/>
    <col min="3" max="3" width="74.7109375" style="354" customWidth="1"/>
    <col min="4" max="4" width="14.140625" style="355" bestFit="1" customWidth="1"/>
    <col min="5" max="5" width="24.7109375" style="356" bestFit="1" customWidth="1"/>
    <col min="6" max="6" width="38.28515625" customWidth="1"/>
    <col min="7" max="7" width="38.42578125" customWidth="1"/>
    <col min="8" max="8" width="38.7109375" customWidth="1"/>
  </cols>
  <sheetData>
    <row r="1" spans="1:8" s="336" customFormat="1" ht="28.5" x14ac:dyDescent="0.45">
      <c r="A1" s="521" t="s">
        <v>1652</v>
      </c>
      <c r="B1" s="521"/>
      <c r="C1" s="521"/>
      <c r="D1" s="521"/>
      <c r="E1" s="521"/>
      <c r="F1" s="521"/>
      <c r="G1" s="521"/>
      <c r="H1" s="521"/>
    </row>
    <row r="3" spans="1:8" s="340" customFormat="1" ht="90.75" thickBot="1" x14ac:dyDescent="0.3">
      <c r="A3" s="338" t="s">
        <v>1408</v>
      </c>
      <c r="B3" s="338" t="s">
        <v>1135</v>
      </c>
      <c r="C3" s="338" t="s">
        <v>1136</v>
      </c>
      <c r="D3" s="339" t="s">
        <v>1137</v>
      </c>
      <c r="E3" s="338" t="s">
        <v>1138</v>
      </c>
      <c r="F3" s="338" t="s">
        <v>1671</v>
      </c>
      <c r="G3" s="338" t="s">
        <v>1140</v>
      </c>
      <c r="H3" s="338" t="s">
        <v>1141</v>
      </c>
    </row>
    <row r="4" spans="1:8" ht="30" x14ac:dyDescent="0.25">
      <c r="A4" s="341">
        <v>1</v>
      </c>
      <c r="B4" s="357" t="s">
        <v>1142</v>
      </c>
      <c r="C4" s="357" t="s">
        <v>1520</v>
      </c>
      <c r="D4" s="341" t="s">
        <v>1521</v>
      </c>
      <c r="E4" s="344" t="s">
        <v>1172</v>
      </c>
      <c r="F4" s="348"/>
      <c r="G4" s="348"/>
      <c r="H4" s="348"/>
    </row>
    <row r="5" spans="1:8" ht="30" x14ac:dyDescent="0.25">
      <c r="A5" s="343">
        <v>2</v>
      </c>
      <c r="B5" s="342" t="s">
        <v>1142</v>
      </c>
      <c r="C5" s="342" t="s">
        <v>1653</v>
      </c>
      <c r="D5" s="343" t="s">
        <v>1654</v>
      </c>
      <c r="E5" s="347" t="s">
        <v>1516</v>
      </c>
      <c r="F5" s="348"/>
      <c r="G5" s="348"/>
      <c r="H5" s="348"/>
    </row>
    <row r="6" spans="1:8" ht="45" x14ac:dyDescent="0.25">
      <c r="A6" s="343">
        <v>3</v>
      </c>
      <c r="B6" s="342" t="s">
        <v>1148</v>
      </c>
      <c r="C6" s="342" t="s">
        <v>1522</v>
      </c>
      <c r="D6" s="343" t="s">
        <v>1523</v>
      </c>
      <c r="E6" s="347" t="s">
        <v>1172</v>
      </c>
      <c r="F6" s="348"/>
      <c r="G6" s="348"/>
      <c r="H6" s="348"/>
    </row>
    <row r="7" spans="1:8" x14ac:dyDescent="0.25">
      <c r="A7" s="343">
        <v>4</v>
      </c>
      <c r="B7" s="342" t="s">
        <v>1148</v>
      </c>
      <c r="C7" s="342" t="s">
        <v>1655</v>
      </c>
      <c r="D7" s="343" t="s">
        <v>1656</v>
      </c>
      <c r="E7" s="347" t="s">
        <v>1516</v>
      </c>
      <c r="F7" s="348"/>
      <c r="G7" s="348"/>
      <c r="H7" s="348"/>
    </row>
    <row r="8" spans="1:8" ht="45" x14ac:dyDescent="0.25">
      <c r="A8" s="343">
        <v>5</v>
      </c>
      <c r="B8" s="342" t="s">
        <v>1159</v>
      </c>
      <c r="C8" s="342" t="s">
        <v>1524</v>
      </c>
      <c r="D8" s="343" t="s">
        <v>1525</v>
      </c>
      <c r="E8" s="347" t="s">
        <v>1172</v>
      </c>
      <c r="F8" s="348"/>
      <c r="G8" s="348"/>
      <c r="H8" s="348"/>
    </row>
    <row r="9" spans="1:8" ht="30" x14ac:dyDescent="0.25">
      <c r="A9" s="343">
        <v>6</v>
      </c>
      <c r="B9" s="342" t="s">
        <v>1159</v>
      </c>
      <c r="C9" s="342" t="s">
        <v>1657</v>
      </c>
      <c r="D9" s="343" t="s">
        <v>1658</v>
      </c>
      <c r="E9" s="347" t="s">
        <v>1516</v>
      </c>
      <c r="F9" s="348"/>
      <c r="G9" s="348"/>
      <c r="H9" s="348"/>
    </row>
    <row r="10" spans="1:8" ht="75" x14ac:dyDescent="0.25">
      <c r="A10" s="343">
        <v>7</v>
      </c>
      <c r="B10" s="342" t="s">
        <v>1159</v>
      </c>
      <c r="C10" s="342" t="s">
        <v>1659</v>
      </c>
      <c r="D10" s="343" t="s">
        <v>1660</v>
      </c>
      <c r="E10" s="347" t="s">
        <v>1516</v>
      </c>
      <c r="F10" s="348"/>
      <c r="G10" s="348"/>
      <c r="H10" s="348"/>
    </row>
    <row r="11" spans="1:8" ht="30" x14ac:dyDescent="0.25">
      <c r="A11" s="343">
        <v>8</v>
      </c>
      <c r="B11" s="342" t="s">
        <v>1159</v>
      </c>
      <c r="C11" s="342" t="s">
        <v>1661</v>
      </c>
      <c r="D11" s="343" t="s">
        <v>1662</v>
      </c>
      <c r="E11" s="347" t="s">
        <v>1516</v>
      </c>
      <c r="F11" s="348"/>
      <c r="G11" s="348"/>
      <c r="H11" s="348"/>
    </row>
    <row r="12" spans="1:8" x14ac:dyDescent="0.25">
      <c r="A12" s="343">
        <v>9</v>
      </c>
      <c r="B12" s="342" t="s">
        <v>1159</v>
      </c>
      <c r="C12" s="342" t="s">
        <v>1526</v>
      </c>
      <c r="D12" s="343" t="s">
        <v>1527</v>
      </c>
      <c r="E12" s="347" t="s">
        <v>1145</v>
      </c>
      <c r="F12" s="348"/>
      <c r="G12" s="348"/>
      <c r="H12" s="348"/>
    </row>
    <row r="13" spans="1:8" x14ac:dyDescent="0.25">
      <c r="A13" s="343">
        <v>10</v>
      </c>
      <c r="B13" s="342" t="s">
        <v>1159</v>
      </c>
      <c r="C13" s="342" t="s">
        <v>1528</v>
      </c>
      <c r="D13" s="343" t="s">
        <v>1529</v>
      </c>
      <c r="E13" s="347" t="s">
        <v>1145</v>
      </c>
      <c r="F13" s="348"/>
      <c r="G13" s="348"/>
      <c r="H13" s="348"/>
    </row>
    <row r="14" spans="1:8" ht="30" x14ac:dyDescent="0.25">
      <c r="A14" s="343">
        <v>11</v>
      </c>
      <c r="B14" s="342" t="s">
        <v>1530</v>
      </c>
      <c r="C14" s="342" t="s">
        <v>1531</v>
      </c>
      <c r="D14" s="343" t="s">
        <v>1532</v>
      </c>
      <c r="E14" s="347" t="s">
        <v>1172</v>
      </c>
      <c r="F14" s="348"/>
      <c r="G14" s="348"/>
      <c r="H14" s="348"/>
    </row>
    <row r="15" spans="1:8" ht="90" x14ac:dyDescent="0.25">
      <c r="A15" s="343">
        <v>12</v>
      </c>
      <c r="B15" s="342" t="s">
        <v>1530</v>
      </c>
      <c r="C15" s="342" t="s">
        <v>1533</v>
      </c>
      <c r="D15" s="343" t="s">
        <v>1534</v>
      </c>
      <c r="E15" s="347" t="s">
        <v>1145</v>
      </c>
      <c r="F15" s="348"/>
      <c r="G15" s="348"/>
      <c r="H15" s="348"/>
    </row>
    <row r="16" spans="1:8" ht="90" x14ac:dyDescent="0.25">
      <c r="A16" s="343">
        <v>13</v>
      </c>
      <c r="B16" s="342" t="s">
        <v>1530</v>
      </c>
      <c r="C16" s="342" t="s">
        <v>1533</v>
      </c>
      <c r="D16" s="343" t="s">
        <v>1534</v>
      </c>
      <c r="E16" s="347" t="s">
        <v>1189</v>
      </c>
      <c r="F16" s="348"/>
      <c r="G16" s="348"/>
      <c r="H16" s="348"/>
    </row>
    <row r="17" spans="1:8" ht="30" x14ac:dyDescent="0.25">
      <c r="A17" s="343">
        <v>14</v>
      </c>
      <c r="B17" s="342" t="s">
        <v>1175</v>
      </c>
      <c r="C17" s="342" t="s">
        <v>1663</v>
      </c>
      <c r="D17" s="343" t="s">
        <v>1664</v>
      </c>
      <c r="E17" s="343" t="s">
        <v>1516</v>
      </c>
      <c r="F17" s="348"/>
      <c r="G17" s="348"/>
      <c r="H17" s="348"/>
    </row>
    <row r="18" spans="1:8" x14ac:dyDescent="0.25">
      <c r="A18" s="343">
        <v>15</v>
      </c>
      <c r="B18" s="342" t="s">
        <v>1175</v>
      </c>
      <c r="C18" s="342" t="s">
        <v>1665</v>
      </c>
      <c r="D18" s="343" t="s">
        <v>1666</v>
      </c>
      <c r="E18" s="343" t="s">
        <v>1516</v>
      </c>
      <c r="F18" s="348"/>
      <c r="G18" s="348"/>
      <c r="H18" s="348"/>
    </row>
    <row r="19" spans="1:8" ht="30" x14ac:dyDescent="0.25">
      <c r="A19" s="343">
        <v>16</v>
      </c>
      <c r="B19" s="342" t="s">
        <v>1175</v>
      </c>
      <c r="C19" s="342" t="s">
        <v>1535</v>
      </c>
      <c r="D19" s="343" t="s">
        <v>1536</v>
      </c>
      <c r="E19" s="343" t="s">
        <v>1189</v>
      </c>
      <c r="F19" s="348"/>
      <c r="G19" s="348"/>
      <c r="H19" s="348"/>
    </row>
    <row r="20" spans="1:8" ht="30" x14ac:dyDescent="0.25">
      <c r="A20" s="343">
        <v>17</v>
      </c>
      <c r="B20" s="342" t="s">
        <v>1192</v>
      </c>
      <c r="C20" s="342" t="s">
        <v>1537</v>
      </c>
      <c r="D20" s="343" t="s">
        <v>1538</v>
      </c>
      <c r="E20" s="347" t="s">
        <v>1145</v>
      </c>
      <c r="F20" s="348"/>
      <c r="G20" s="348"/>
      <c r="H20" s="348"/>
    </row>
    <row r="21" spans="1:8" ht="30" x14ac:dyDescent="0.25">
      <c r="A21" s="343">
        <v>18</v>
      </c>
      <c r="B21" s="342" t="s">
        <v>1192</v>
      </c>
      <c r="C21" s="342" t="s">
        <v>1537</v>
      </c>
      <c r="D21" s="343" t="s">
        <v>1538</v>
      </c>
      <c r="E21" s="347" t="s">
        <v>1172</v>
      </c>
      <c r="F21" s="348"/>
      <c r="G21" s="348"/>
      <c r="H21" s="348"/>
    </row>
    <row r="22" spans="1:8" ht="30" x14ac:dyDescent="0.25">
      <c r="A22" s="343">
        <v>19</v>
      </c>
      <c r="B22" s="342" t="s">
        <v>1211</v>
      </c>
      <c r="C22" s="342" t="s">
        <v>1539</v>
      </c>
      <c r="D22" s="343" t="s">
        <v>1540</v>
      </c>
      <c r="E22" s="347" t="s">
        <v>1145</v>
      </c>
      <c r="F22" s="348"/>
      <c r="G22" s="348"/>
      <c r="H22" s="348"/>
    </row>
    <row r="23" spans="1:8" x14ac:dyDescent="0.25">
      <c r="A23" s="343">
        <v>20</v>
      </c>
      <c r="B23" s="342" t="s">
        <v>1211</v>
      </c>
      <c r="C23" s="342" t="s">
        <v>1541</v>
      </c>
      <c r="D23" s="343" t="s">
        <v>1542</v>
      </c>
      <c r="E23" s="347" t="s">
        <v>1145</v>
      </c>
      <c r="F23" s="348"/>
      <c r="G23" s="348"/>
      <c r="H23" s="348"/>
    </row>
    <row r="24" spans="1:8" ht="30" x14ac:dyDescent="0.25">
      <c r="A24" s="343">
        <v>21</v>
      </c>
      <c r="B24" s="342" t="s">
        <v>1214</v>
      </c>
      <c r="C24" s="342" t="s">
        <v>1543</v>
      </c>
      <c r="D24" s="343" t="s">
        <v>1544</v>
      </c>
      <c r="E24" s="347" t="s">
        <v>1172</v>
      </c>
      <c r="F24" s="348"/>
      <c r="G24" s="348"/>
      <c r="H24" s="348"/>
    </row>
    <row r="25" spans="1:8" ht="45" x14ac:dyDescent="0.25">
      <c r="A25" s="343">
        <v>22</v>
      </c>
      <c r="B25" s="342" t="s">
        <v>1229</v>
      </c>
      <c r="C25" s="342" t="s">
        <v>1545</v>
      </c>
      <c r="D25" s="343" t="s">
        <v>1546</v>
      </c>
      <c r="E25" s="347" t="s">
        <v>1145</v>
      </c>
      <c r="F25" s="348"/>
      <c r="G25" s="348"/>
      <c r="H25" s="348"/>
    </row>
    <row r="26" spans="1:8" ht="45" x14ac:dyDescent="0.25">
      <c r="A26" s="343">
        <v>23</v>
      </c>
      <c r="B26" s="342" t="s">
        <v>1229</v>
      </c>
      <c r="C26" s="342" t="s">
        <v>1545</v>
      </c>
      <c r="D26" s="343" t="s">
        <v>1546</v>
      </c>
      <c r="E26" s="347" t="s">
        <v>1189</v>
      </c>
      <c r="F26" s="348"/>
      <c r="G26" s="348"/>
      <c r="H26" s="348"/>
    </row>
    <row r="27" spans="1:8" ht="45" x14ac:dyDescent="0.25">
      <c r="A27" s="343">
        <v>24</v>
      </c>
      <c r="B27" s="342" t="s">
        <v>1229</v>
      </c>
      <c r="C27" s="342" t="s">
        <v>1545</v>
      </c>
      <c r="D27" s="343" t="s">
        <v>1546</v>
      </c>
      <c r="E27" s="347" t="s">
        <v>1240</v>
      </c>
      <c r="F27" s="348"/>
      <c r="G27" s="348"/>
      <c r="H27" s="348"/>
    </row>
    <row r="28" spans="1:8" ht="30" x14ac:dyDescent="0.25">
      <c r="A28" s="343">
        <v>25</v>
      </c>
      <c r="B28" s="342" t="s">
        <v>1229</v>
      </c>
      <c r="C28" s="342" t="s">
        <v>1547</v>
      </c>
      <c r="D28" s="343" t="s">
        <v>1548</v>
      </c>
      <c r="E28" s="343" t="s">
        <v>1145</v>
      </c>
      <c r="F28" s="348"/>
      <c r="G28" s="348"/>
      <c r="H28" s="348"/>
    </row>
    <row r="29" spans="1:8" ht="30" x14ac:dyDescent="0.25">
      <c r="A29" s="343">
        <v>26</v>
      </c>
      <c r="B29" s="342" t="s">
        <v>1241</v>
      </c>
      <c r="C29" s="342" t="s">
        <v>1549</v>
      </c>
      <c r="D29" s="343" t="s">
        <v>1550</v>
      </c>
      <c r="E29" s="343" t="s">
        <v>1172</v>
      </c>
      <c r="F29" s="348"/>
      <c r="G29" s="348"/>
      <c r="H29" s="348"/>
    </row>
    <row r="30" spans="1:8" ht="30" x14ac:dyDescent="0.25">
      <c r="A30" s="343">
        <v>27</v>
      </c>
      <c r="B30" s="342" t="s">
        <v>1252</v>
      </c>
      <c r="C30" s="342" t="s">
        <v>1551</v>
      </c>
      <c r="D30" s="343" t="s">
        <v>1552</v>
      </c>
      <c r="E30" s="343" t="s">
        <v>1172</v>
      </c>
      <c r="F30" s="348"/>
      <c r="G30" s="348"/>
      <c r="H30" s="348"/>
    </row>
    <row r="31" spans="1:8" ht="30" x14ac:dyDescent="0.25">
      <c r="A31" s="343">
        <v>28</v>
      </c>
      <c r="B31" s="342" t="s">
        <v>1252</v>
      </c>
      <c r="C31" s="342" t="s">
        <v>1553</v>
      </c>
      <c r="D31" s="343" t="s">
        <v>1554</v>
      </c>
      <c r="E31" s="343" t="s">
        <v>1172</v>
      </c>
      <c r="F31" s="343"/>
      <c r="G31" s="348"/>
      <c r="H31" s="348"/>
    </row>
    <row r="32" spans="1:8" x14ac:dyDescent="0.25">
      <c r="A32" s="343">
        <v>29</v>
      </c>
      <c r="B32" s="342" t="s">
        <v>1252</v>
      </c>
      <c r="C32" s="342" t="s">
        <v>1555</v>
      </c>
      <c r="D32" s="343" t="s">
        <v>1556</v>
      </c>
      <c r="E32" s="343" t="s">
        <v>1145</v>
      </c>
      <c r="F32" s="348"/>
      <c r="G32" s="348"/>
      <c r="H32" s="348"/>
    </row>
    <row r="33" spans="1:8" ht="30" x14ac:dyDescent="0.25">
      <c r="A33" s="343">
        <v>30</v>
      </c>
      <c r="B33" s="342" t="s">
        <v>1283</v>
      </c>
      <c r="C33" s="342" t="s">
        <v>1557</v>
      </c>
      <c r="D33" s="343" t="s">
        <v>1558</v>
      </c>
      <c r="E33" s="343" t="s">
        <v>1172</v>
      </c>
      <c r="F33" s="348"/>
      <c r="G33" s="348"/>
      <c r="H33" s="348"/>
    </row>
    <row r="34" spans="1:8" ht="30" x14ac:dyDescent="0.25">
      <c r="A34" s="343">
        <v>31</v>
      </c>
      <c r="B34" s="342" t="s">
        <v>1288</v>
      </c>
      <c r="C34" s="342" t="s">
        <v>1559</v>
      </c>
      <c r="D34" s="343" t="s">
        <v>1560</v>
      </c>
      <c r="E34" s="343" t="s">
        <v>1145</v>
      </c>
      <c r="F34" s="348"/>
      <c r="G34" s="348"/>
      <c r="H34" s="348"/>
    </row>
    <row r="35" spans="1:8" ht="45" x14ac:dyDescent="0.25">
      <c r="A35" s="343">
        <v>32</v>
      </c>
      <c r="B35" s="342" t="s">
        <v>1299</v>
      </c>
      <c r="C35" s="342" t="s">
        <v>1561</v>
      </c>
      <c r="D35" s="343" t="s">
        <v>1562</v>
      </c>
      <c r="E35" s="347" t="s">
        <v>1172</v>
      </c>
      <c r="F35" s="348"/>
      <c r="G35" s="348"/>
      <c r="H35" s="348"/>
    </row>
    <row r="36" spans="1:8" ht="30" x14ac:dyDescent="0.25">
      <c r="A36" s="343">
        <v>33</v>
      </c>
      <c r="B36" s="342" t="s">
        <v>1316</v>
      </c>
      <c r="C36" s="342" t="s">
        <v>1563</v>
      </c>
      <c r="D36" s="343" t="s">
        <v>1564</v>
      </c>
      <c r="E36" s="347" t="s">
        <v>1172</v>
      </c>
      <c r="F36" s="348"/>
      <c r="G36" s="348"/>
      <c r="H36" s="348"/>
    </row>
    <row r="37" spans="1:8" ht="30" x14ac:dyDescent="0.25">
      <c r="A37" s="343">
        <v>34</v>
      </c>
      <c r="B37" s="342" t="s">
        <v>1316</v>
      </c>
      <c r="C37" s="342" t="s">
        <v>1565</v>
      </c>
      <c r="D37" s="343" t="s">
        <v>1566</v>
      </c>
      <c r="E37" s="347" t="s">
        <v>1172</v>
      </c>
      <c r="F37" s="348"/>
      <c r="G37" s="348"/>
      <c r="H37" s="348"/>
    </row>
    <row r="38" spans="1:8" ht="30" x14ac:dyDescent="0.25">
      <c r="A38" s="343">
        <v>35</v>
      </c>
      <c r="B38" s="342" t="s">
        <v>1347</v>
      </c>
      <c r="C38" s="342" t="s">
        <v>1567</v>
      </c>
      <c r="D38" s="343" t="s">
        <v>1568</v>
      </c>
      <c r="E38" s="347" t="s">
        <v>1172</v>
      </c>
      <c r="F38" s="348"/>
      <c r="G38" s="348"/>
      <c r="H38" s="348"/>
    </row>
    <row r="39" spans="1:8" ht="45" x14ac:dyDescent="0.25">
      <c r="A39" s="343">
        <v>36</v>
      </c>
      <c r="B39" s="342" t="s">
        <v>1355</v>
      </c>
      <c r="C39" s="342" t="s">
        <v>1569</v>
      </c>
      <c r="D39" s="343" t="s">
        <v>1570</v>
      </c>
      <c r="E39" s="347" t="s">
        <v>1172</v>
      </c>
      <c r="F39" s="348"/>
      <c r="G39" s="348"/>
      <c r="H39" s="348"/>
    </row>
    <row r="40" spans="1:8" ht="45" x14ac:dyDescent="0.25">
      <c r="A40" s="343">
        <v>37</v>
      </c>
      <c r="B40" s="342" t="s">
        <v>1386</v>
      </c>
      <c r="C40" s="342" t="s">
        <v>1571</v>
      </c>
      <c r="D40" s="343" t="s">
        <v>1572</v>
      </c>
      <c r="E40" s="347" t="s">
        <v>1172</v>
      </c>
      <c r="F40" s="348"/>
      <c r="G40" s="348"/>
      <c r="H40" s="348"/>
    </row>
  </sheetData>
  <mergeCells count="1">
    <mergeCell ref="A1:H1"/>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B021E0-30BF-4813-A7D4-7A9621B87A3C}">
  <dimension ref="A1:H35"/>
  <sheetViews>
    <sheetView workbookViewId="0">
      <selection activeCell="F11" sqref="F11"/>
    </sheetView>
  </sheetViews>
  <sheetFormatPr defaultRowHeight="15" x14ac:dyDescent="0.25"/>
  <cols>
    <col min="1" max="1" width="5.5703125" style="355" customWidth="1"/>
    <col min="2" max="2" width="34.28515625" style="354" customWidth="1"/>
    <col min="3" max="3" width="74.7109375" style="354" customWidth="1"/>
    <col min="4" max="4" width="14.140625" style="355" bestFit="1" customWidth="1"/>
    <col min="5" max="5" width="24.7109375" style="356" bestFit="1" customWidth="1"/>
    <col min="6" max="6" width="40.7109375" customWidth="1"/>
    <col min="7" max="7" width="39" customWidth="1"/>
    <col min="8" max="8" width="39.28515625" customWidth="1"/>
  </cols>
  <sheetData>
    <row r="1" spans="1:8" s="336" customFormat="1" ht="28.5" x14ac:dyDescent="0.45">
      <c r="A1" s="521" t="s">
        <v>1667</v>
      </c>
      <c r="B1" s="521"/>
      <c r="C1" s="521"/>
      <c r="D1" s="521"/>
      <c r="E1" s="521"/>
      <c r="F1" s="521"/>
      <c r="G1" s="521"/>
      <c r="H1" s="521"/>
    </row>
    <row r="3" spans="1:8" s="340" customFormat="1" ht="75.75" thickBot="1" x14ac:dyDescent="0.3">
      <c r="A3" s="338" t="s">
        <v>1408</v>
      </c>
      <c r="B3" s="338" t="s">
        <v>1135</v>
      </c>
      <c r="C3" s="338" t="s">
        <v>1136</v>
      </c>
      <c r="D3" s="339" t="s">
        <v>1137</v>
      </c>
      <c r="E3" s="338" t="s">
        <v>1138</v>
      </c>
      <c r="F3" s="338" t="s">
        <v>1671</v>
      </c>
      <c r="G3" s="338" t="s">
        <v>1140</v>
      </c>
      <c r="H3" s="338" t="s">
        <v>1141</v>
      </c>
    </row>
    <row r="4" spans="1:8" ht="30" x14ac:dyDescent="0.25">
      <c r="A4" s="341">
        <v>1</v>
      </c>
      <c r="B4" s="357" t="s">
        <v>1142</v>
      </c>
      <c r="C4" s="357" t="s">
        <v>1520</v>
      </c>
      <c r="D4" s="341" t="s">
        <v>1521</v>
      </c>
      <c r="E4" s="344" t="s">
        <v>1172</v>
      </c>
      <c r="F4" s="348"/>
      <c r="G4" s="348"/>
      <c r="H4" s="348"/>
    </row>
    <row r="5" spans="1:8" ht="30" x14ac:dyDescent="0.25">
      <c r="A5" s="343">
        <v>2</v>
      </c>
      <c r="B5" s="342" t="s">
        <v>1142</v>
      </c>
      <c r="C5" s="342" t="s">
        <v>1668</v>
      </c>
      <c r="D5" s="343" t="s">
        <v>1669</v>
      </c>
      <c r="E5" s="347" t="s">
        <v>1518</v>
      </c>
      <c r="F5" s="348"/>
      <c r="G5" s="348"/>
      <c r="H5" s="348"/>
    </row>
    <row r="6" spans="1:8" ht="45" x14ac:dyDescent="0.25">
      <c r="A6" s="343">
        <v>3</v>
      </c>
      <c r="B6" s="342" t="s">
        <v>1148</v>
      </c>
      <c r="C6" s="342" t="s">
        <v>1522</v>
      </c>
      <c r="D6" s="343" t="s">
        <v>1523</v>
      </c>
      <c r="E6" s="347" t="s">
        <v>1172</v>
      </c>
      <c r="F6" s="348"/>
      <c r="G6" s="348"/>
      <c r="H6" s="348"/>
    </row>
    <row r="7" spans="1:8" ht="45" x14ac:dyDescent="0.25">
      <c r="A7" s="343">
        <v>4</v>
      </c>
      <c r="B7" s="342" t="s">
        <v>1159</v>
      </c>
      <c r="C7" s="342" t="s">
        <v>1524</v>
      </c>
      <c r="D7" s="343" t="s">
        <v>1525</v>
      </c>
      <c r="E7" s="347" t="s">
        <v>1172</v>
      </c>
      <c r="F7" s="348"/>
      <c r="G7" s="348"/>
      <c r="H7" s="348"/>
    </row>
    <row r="8" spans="1:8" x14ac:dyDescent="0.25">
      <c r="A8" s="343">
        <v>5</v>
      </c>
      <c r="B8" s="342" t="s">
        <v>1159</v>
      </c>
      <c r="C8" s="342" t="s">
        <v>1526</v>
      </c>
      <c r="D8" s="343" t="s">
        <v>1527</v>
      </c>
      <c r="E8" s="347" t="s">
        <v>1145</v>
      </c>
      <c r="F8" s="348"/>
      <c r="G8" s="348"/>
      <c r="H8" s="348"/>
    </row>
    <row r="9" spans="1:8" x14ac:dyDescent="0.25">
      <c r="A9" s="343">
        <v>6</v>
      </c>
      <c r="B9" s="342" t="s">
        <v>1159</v>
      </c>
      <c r="C9" s="342" t="s">
        <v>1528</v>
      </c>
      <c r="D9" s="343" t="s">
        <v>1529</v>
      </c>
      <c r="E9" s="347" t="s">
        <v>1145</v>
      </c>
      <c r="F9" s="348"/>
      <c r="G9" s="348"/>
      <c r="H9" s="348"/>
    </row>
    <row r="10" spans="1:8" ht="30" x14ac:dyDescent="0.25">
      <c r="A10" s="343">
        <v>7</v>
      </c>
      <c r="B10" s="342" t="s">
        <v>1530</v>
      </c>
      <c r="C10" s="342" t="s">
        <v>1531</v>
      </c>
      <c r="D10" s="343" t="s">
        <v>1532</v>
      </c>
      <c r="E10" s="347" t="s">
        <v>1172</v>
      </c>
      <c r="F10" s="348"/>
      <c r="G10" s="348"/>
      <c r="H10" s="348"/>
    </row>
    <row r="11" spans="1:8" ht="90" x14ac:dyDescent="0.25">
      <c r="A11" s="343">
        <v>8</v>
      </c>
      <c r="B11" s="342" t="s">
        <v>1530</v>
      </c>
      <c r="C11" s="342" t="s">
        <v>1533</v>
      </c>
      <c r="D11" s="343" t="s">
        <v>1534</v>
      </c>
      <c r="E11" s="347" t="s">
        <v>1145</v>
      </c>
      <c r="F11" s="348"/>
      <c r="G11" s="348"/>
      <c r="H11" s="348"/>
    </row>
    <row r="12" spans="1:8" ht="90" x14ac:dyDescent="0.25">
      <c r="A12" s="343">
        <v>9</v>
      </c>
      <c r="B12" s="342" t="s">
        <v>1530</v>
      </c>
      <c r="C12" s="342" t="s">
        <v>1533</v>
      </c>
      <c r="D12" s="343" t="s">
        <v>1534</v>
      </c>
      <c r="E12" s="347" t="s">
        <v>1189</v>
      </c>
      <c r="F12" s="348"/>
      <c r="G12" s="348"/>
      <c r="H12" s="348"/>
    </row>
    <row r="13" spans="1:8" ht="30" x14ac:dyDescent="0.25">
      <c r="A13" s="343">
        <v>10</v>
      </c>
      <c r="B13" s="342" t="s">
        <v>1175</v>
      </c>
      <c r="C13" s="342" t="s">
        <v>1535</v>
      </c>
      <c r="D13" s="343" t="s">
        <v>1536</v>
      </c>
      <c r="E13" s="343" t="s">
        <v>1189</v>
      </c>
      <c r="F13" s="348"/>
      <c r="G13" s="348"/>
      <c r="H13" s="348"/>
    </row>
    <row r="14" spans="1:8" ht="30" x14ac:dyDescent="0.25">
      <c r="A14" s="343">
        <v>11</v>
      </c>
      <c r="B14" s="342" t="s">
        <v>1192</v>
      </c>
      <c r="C14" s="342" t="s">
        <v>1537</v>
      </c>
      <c r="D14" s="343" t="s">
        <v>1538</v>
      </c>
      <c r="E14" s="347" t="s">
        <v>1145</v>
      </c>
      <c r="F14" s="348"/>
      <c r="G14" s="348"/>
      <c r="H14" s="348"/>
    </row>
    <row r="15" spans="1:8" ht="30" x14ac:dyDescent="0.25">
      <c r="A15" s="343">
        <v>12</v>
      </c>
      <c r="B15" s="342" t="s">
        <v>1192</v>
      </c>
      <c r="C15" s="342" t="s">
        <v>1537</v>
      </c>
      <c r="D15" s="343" t="s">
        <v>1538</v>
      </c>
      <c r="E15" s="347" t="s">
        <v>1172</v>
      </c>
      <c r="F15" s="348"/>
      <c r="G15" s="348"/>
      <c r="H15" s="348"/>
    </row>
    <row r="16" spans="1:8" ht="30" x14ac:dyDescent="0.25">
      <c r="A16" s="343">
        <v>13</v>
      </c>
      <c r="B16" s="342" t="s">
        <v>1211</v>
      </c>
      <c r="C16" s="342" t="s">
        <v>1539</v>
      </c>
      <c r="D16" s="343" t="s">
        <v>1540</v>
      </c>
      <c r="E16" s="347" t="s">
        <v>1145</v>
      </c>
      <c r="F16" s="348"/>
      <c r="G16" s="348"/>
      <c r="H16" s="348"/>
    </row>
    <row r="17" spans="1:8" x14ac:dyDescent="0.25">
      <c r="A17" s="343">
        <v>14</v>
      </c>
      <c r="B17" s="342" t="s">
        <v>1211</v>
      </c>
      <c r="C17" s="342" t="s">
        <v>1541</v>
      </c>
      <c r="D17" s="343" t="s">
        <v>1542</v>
      </c>
      <c r="E17" s="347" t="s">
        <v>1145</v>
      </c>
      <c r="F17" s="348"/>
      <c r="G17" s="348"/>
      <c r="H17" s="348"/>
    </row>
    <row r="18" spans="1:8" ht="30" x14ac:dyDescent="0.25">
      <c r="A18" s="343">
        <v>15</v>
      </c>
      <c r="B18" s="342" t="s">
        <v>1214</v>
      </c>
      <c r="C18" s="342" t="s">
        <v>1543</v>
      </c>
      <c r="D18" s="343" t="s">
        <v>1544</v>
      </c>
      <c r="E18" s="347" t="s">
        <v>1172</v>
      </c>
      <c r="F18" s="348"/>
      <c r="G18" s="348"/>
      <c r="H18" s="348"/>
    </row>
    <row r="19" spans="1:8" ht="45" x14ac:dyDescent="0.25">
      <c r="A19" s="343">
        <v>16</v>
      </c>
      <c r="B19" s="342" t="s">
        <v>1229</v>
      </c>
      <c r="C19" s="342" t="s">
        <v>1545</v>
      </c>
      <c r="D19" s="343" t="s">
        <v>1546</v>
      </c>
      <c r="E19" s="347" t="s">
        <v>1145</v>
      </c>
      <c r="F19" s="348"/>
      <c r="G19" s="348"/>
      <c r="H19" s="348"/>
    </row>
    <row r="20" spans="1:8" ht="45" x14ac:dyDescent="0.25">
      <c r="A20" s="343">
        <v>17</v>
      </c>
      <c r="B20" s="342" t="s">
        <v>1229</v>
      </c>
      <c r="C20" s="342" t="s">
        <v>1545</v>
      </c>
      <c r="D20" s="343" t="s">
        <v>1546</v>
      </c>
      <c r="E20" s="347" t="s">
        <v>1189</v>
      </c>
      <c r="F20" s="348"/>
      <c r="G20" s="348"/>
      <c r="H20" s="348"/>
    </row>
    <row r="21" spans="1:8" ht="45" x14ac:dyDescent="0.25">
      <c r="A21" s="343">
        <v>18</v>
      </c>
      <c r="B21" s="342" t="s">
        <v>1229</v>
      </c>
      <c r="C21" s="342" t="s">
        <v>1545</v>
      </c>
      <c r="D21" s="343" t="s">
        <v>1546</v>
      </c>
      <c r="E21" s="347" t="s">
        <v>1240</v>
      </c>
      <c r="F21" s="348"/>
      <c r="G21" s="348"/>
      <c r="H21" s="348"/>
    </row>
    <row r="22" spans="1:8" ht="30" x14ac:dyDescent="0.25">
      <c r="A22" s="343">
        <v>19</v>
      </c>
      <c r="B22" s="342" t="s">
        <v>1229</v>
      </c>
      <c r="C22" s="342" t="s">
        <v>1547</v>
      </c>
      <c r="D22" s="343" t="s">
        <v>1548</v>
      </c>
      <c r="E22" s="343" t="s">
        <v>1145</v>
      </c>
      <c r="F22" s="348"/>
      <c r="G22" s="348"/>
      <c r="H22" s="348"/>
    </row>
    <row r="23" spans="1:8" ht="30" x14ac:dyDescent="0.25">
      <c r="A23" s="343">
        <v>20</v>
      </c>
      <c r="B23" s="342" t="s">
        <v>1241</v>
      </c>
      <c r="C23" s="342" t="s">
        <v>1549</v>
      </c>
      <c r="D23" s="343" t="s">
        <v>1550</v>
      </c>
      <c r="E23" s="343" t="s">
        <v>1172</v>
      </c>
      <c r="F23" s="348"/>
      <c r="G23" s="348"/>
      <c r="H23" s="348"/>
    </row>
    <row r="24" spans="1:8" ht="30" x14ac:dyDescent="0.25">
      <c r="A24" s="343">
        <v>21</v>
      </c>
      <c r="B24" s="342" t="s">
        <v>1252</v>
      </c>
      <c r="C24" s="342" t="s">
        <v>1551</v>
      </c>
      <c r="D24" s="343" t="s">
        <v>1552</v>
      </c>
      <c r="E24" s="343" t="s">
        <v>1172</v>
      </c>
      <c r="F24" s="348"/>
      <c r="G24" s="348"/>
      <c r="H24" s="348"/>
    </row>
    <row r="25" spans="1:8" ht="30" x14ac:dyDescent="0.25">
      <c r="A25" s="343">
        <v>22</v>
      </c>
      <c r="B25" s="342" t="s">
        <v>1252</v>
      </c>
      <c r="C25" s="342" t="s">
        <v>1553</v>
      </c>
      <c r="D25" s="343" t="s">
        <v>1554</v>
      </c>
      <c r="E25" s="343" t="s">
        <v>1172</v>
      </c>
      <c r="F25" s="343"/>
      <c r="G25" s="348"/>
      <c r="H25" s="348"/>
    </row>
    <row r="26" spans="1:8" x14ac:dyDescent="0.25">
      <c r="A26" s="343">
        <v>23</v>
      </c>
      <c r="B26" s="342" t="s">
        <v>1252</v>
      </c>
      <c r="C26" s="342" t="s">
        <v>1555</v>
      </c>
      <c r="D26" s="343" t="s">
        <v>1556</v>
      </c>
      <c r="E26" s="343" t="s">
        <v>1145</v>
      </c>
      <c r="F26" s="348"/>
      <c r="G26" s="348"/>
      <c r="H26" s="348"/>
    </row>
    <row r="27" spans="1:8" ht="30" x14ac:dyDescent="0.25">
      <c r="A27" s="343">
        <v>24</v>
      </c>
      <c r="B27" s="342" t="s">
        <v>1283</v>
      </c>
      <c r="C27" s="342" t="s">
        <v>1557</v>
      </c>
      <c r="D27" s="343" t="s">
        <v>1558</v>
      </c>
      <c r="E27" s="343" t="s">
        <v>1172</v>
      </c>
      <c r="F27" s="348"/>
      <c r="G27" s="348"/>
      <c r="H27" s="348"/>
    </row>
    <row r="28" spans="1:8" ht="30" x14ac:dyDescent="0.25">
      <c r="A28" s="343">
        <v>25</v>
      </c>
      <c r="B28" s="342" t="s">
        <v>1288</v>
      </c>
      <c r="C28" s="342" t="s">
        <v>1559</v>
      </c>
      <c r="D28" s="343" t="s">
        <v>1560</v>
      </c>
      <c r="E28" s="343" t="s">
        <v>1145</v>
      </c>
      <c r="F28" s="348"/>
      <c r="G28" s="348"/>
      <c r="H28" s="348"/>
    </row>
    <row r="29" spans="1:8" ht="45" x14ac:dyDescent="0.25">
      <c r="A29" s="343">
        <v>26</v>
      </c>
      <c r="B29" s="342" t="s">
        <v>1299</v>
      </c>
      <c r="C29" s="342" t="s">
        <v>1561</v>
      </c>
      <c r="D29" s="343" t="s">
        <v>1562</v>
      </c>
      <c r="E29" s="347" t="s">
        <v>1172</v>
      </c>
      <c r="F29" s="348"/>
      <c r="G29" s="348"/>
      <c r="H29" s="348"/>
    </row>
    <row r="30" spans="1:8" ht="30" x14ac:dyDescent="0.25">
      <c r="A30" s="343">
        <v>27</v>
      </c>
      <c r="B30" s="342" t="s">
        <v>1316</v>
      </c>
      <c r="C30" s="342" t="s">
        <v>1563</v>
      </c>
      <c r="D30" s="343" t="s">
        <v>1564</v>
      </c>
      <c r="E30" s="347" t="s">
        <v>1172</v>
      </c>
      <c r="F30" s="348"/>
      <c r="G30" s="348"/>
      <c r="H30" s="348"/>
    </row>
    <row r="31" spans="1:8" ht="30" x14ac:dyDescent="0.25">
      <c r="A31" s="343">
        <v>28</v>
      </c>
      <c r="B31" s="342" t="s">
        <v>1316</v>
      </c>
      <c r="C31" s="342" t="s">
        <v>1565</v>
      </c>
      <c r="D31" s="343" t="s">
        <v>1566</v>
      </c>
      <c r="E31" s="347" t="s">
        <v>1172</v>
      </c>
      <c r="F31" s="348"/>
      <c r="G31" s="348"/>
      <c r="H31" s="348"/>
    </row>
    <row r="32" spans="1:8" ht="30" x14ac:dyDescent="0.25">
      <c r="A32" s="343">
        <v>29</v>
      </c>
      <c r="B32" s="342" t="s">
        <v>1347</v>
      </c>
      <c r="C32" s="342" t="s">
        <v>1567</v>
      </c>
      <c r="D32" s="343" t="s">
        <v>1568</v>
      </c>
      <c r="E32" s="347" t="s">
        <v>1172</v>
      </c>
      <c r="F32" s="348"/>
      <c r="G32" s="348"/>
      <c r="H32" s="348"/>
    </row>
    <row r="33" spans="1:8" ht="45" x14ac:dyDescent="0.25">
      <c r="A33" s="343">
        <v>30</v>
      </c>
      <c r="B33" s="342" t="s">
        <v>1352</v>
      </c>
      <c r="C33" s="342" t="s">
        <v>1627</v>
      </c>
      <c r="D33" s="343" t="s">
        <v>1628</v>
      </c>
      <c r="E33" s="347" t="s">
        <v>1518</v>
      </c>
      <c r="F33" s="348"/>
      <c r="G33" s="348"/>
      <c r="H33" s="348"/>
    </row>
    <row r="34" spans="1:8" ht="45" x14ac:dyDescent="0.25">
      <c r="A34" s="343">
        <v>31</v>
      </c>
      <c r="B34" s="342" t="s">
        <v>1355</v>
      </c>
      <c r="C34" s="342" t="s">
        <v>1569</v>
      </c>
      <c r="D34" s="343" t="s">
        <v>1570</v>
      </c>
      <c r="E34" s="347" t="s">
        <v>1172</v>
      </c>
      <c r="F34" s="348"/>
      <c r="G34" s="348"/>
      <c r="H34" s="348"/>
    </row>
    <row r="35" spans="1:8" ht="45" x14ac:dyDescent="0.25">
      <c r="A35" s="343">
        <v>32</v>
      </c>
      <c r="B35" s="342" t="s">
        <v>1386</v>
      </c>
      <c r="C35" s="342" t="s">
        <v>1571</v>
      </c>
      <c r="D35" s="343" t="s">
        <v>1572</v>
      </c>
      <c r="E35" s="347" t="s">
        <v>1172</v>
      </c>
      <c r="F35" s="348"/>
      <c r="G35" s="348"/>
      <c r="H35" s="348"/>
    </row>
  </sheetData>
  <mergeCells count="1">
    <mergeCell ref="A1:H1"/>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R97"/>
  <sheetViews>
    <sheetView topLeftCell="B1" zoomScaleNormal="100" workbookViewId="0">
      <pane xSplit="1" ySplit="12" topLeftCell="D13" activePane="bottomRight" state="frozen"/>
      <selection activeCell="B1" sqref="B1"/>
      <selection pane="topRight" activeCell="C1" sqref="C1"/>
      <selection pane="bottomLeft" activeCell="B13" sqref="B13"/>
      <selection pane="bottomRight" activeCell="F74" sqref="F74"/>
    </sheetView>
  </sheetViews>
  <sheetFormatPr defaultColWidth="8.5703125" defaultRowHeight="15.75" x14ac:dyDescent="0.25"/>
  <cols>
    <col min="1" max="1" width="5.7109375" style="157" hidden="1" customWidth="1"/>
    <col min="2" max="2" width="5.7109375" style="158" customWidth="1"/>
    <col min="3" max="3" width="28" style="159" customWidth="1"/>
    <col min="4" max="5" width="37" style="159" customWidth="1"/>
    <col min="6" max="6" width="8.5703125" style="160" customWidth="1"/>
    <col min="7" max="7" width="9" style="157" bestFit="1" customWidth="1"/>
    <col min="8" max="9" width="8.7109375" style="157" customWidth="1"/>
    <col min="10" max="10" width="8.5703125" style="159" customWidth="1"/>
    <col min="11" max="11" width="10.7109375" style="159" customWidth="1"/>
    <col min="12" max="12" width="8.5703125" style="159" customWidth="1"/>
    <col min="13" max="13" width="10.7109375" style="157" customWidth="1"/>
    <col min="14" max="14" width="8.5703125" style="157"/>
    <col min="15" max="15" width="10.7109375" style="157" customWidth="1"/>
    <col min="16" max="16384" width="8.5703125" style="157"/>
  </cols>
  <sheetData>
    <row r="1" spans="1:18" s="27" customFormat="1" ht="15" x14ac:dyDescent="0.25">
      <c r="B1" s="523" t="s">
        <v>10</v>
      </c>
      <c r="C1" s="523"/>
      <c r="D1" s="523"/>
      <c r="E1" s="523"/>
      <c r="F1" s="523"/>
      <c r="H1" s="523" t="s">
        <v>11</v>
      </c>
      <c r="I1" s="523"/>
      <c r="J1" s="523"/>
      <c r="K1" s="523"/>
      <c r="L1" s="523"/>
      <c r="M1" s="137"/>
    </row>
    <row r="2" spans="1:18" s="27" customFormat="1" ht="15" x14ac:dyDescent="0.25">
      <c r="B2" s="523" t="s">
        <v>880</v>
      </c>
      <c r="C2" s="523"/>
      <c r="D2" s="523"/>
      <c r="E2" s="523"/>
      <c r="F2" s="523"/>
      <c r="H2" s="523" t="s">
        <v>880</v>
      </c>
      <c r="I2" s="523"/>
      <c r="J2" s="523"/>
      <c r="K2" s="523"/>
      <c r="L2" s="523"/>
      <c r="M2" s="137"/>
    </row>
    <row r="3" spans="1:18" s="27" customFormat="1" ht="15" x14ac:dyDescent="0.25">
      <c r="B3" s="523" t="str">
        <f>'Kertas Kerja'!A2</f>
        <v>PROGRAM MAGISTER</v>
      </c>
      <c r="C3" s="523"/>
      <c r="D3" s="523"/>
      <c r="E3" s="523"/>
      <c r="F3" s="523"/>
      <c r="H3" s="523" t="str">
        <f>B3</f>
        <v>PROGRAM MAGISTER</v>
      </c>
      <c r="I3" s="523"/>
      <c r="J3" s="523"/>
      <c r="K3" s="523"/>
      <c r="L3" s="523"/>
      <c r="M3" s="137"/>
    </row>
    <row r="4" spans="1:18" s="27" customFormat="1" ht="15" x14ac:dyDescent="0.25">
      <c r="B4" s="138"/>
      <c r="C4" s="138"/>
      <c r="D4" s="138"/>
      <c r="E4" s="138"/>
      <c r="F4" s="138"/>
      <c r="J4" s="1"/>
      <c r="K4" s="1"/>
      <c r="L4" s="1"/>
      <c r="M4" s="1"/>
      <c r="N4" s="1"/>
    </row>
    <row r="5" spans="1:18" s="27" customFormat="1" ht="15" x14ac:dyDescent="0.25">
      <c r="B5" s="524" t="s">
        <v>12</v>
      </c>
      <c r="C5" s="524"/>
      <c r="D5" s="524"/>
      <c r="E5" s="524"/>
      <c r="F5" s="524"/>
      <c r="H5" s="525" t="s">
        <v>13</v>
      </c>
      <c r="I5" s="525"/>
      <c r="J5" s="525"/>
      <c r="K5" s="29"/>
      <c r="L5" s="526">
        <f>SUM(I13:I87)</f>
        <v>41.312959419542111</v>
      </c>
      <c r="M5" s="526"/>
      <c r="N5" s="1"/>
      <c r="O5" s="529" t="s">
        <v>801</v>
      </c>
      <c r="P5" s="529"/>
      <c r="Q5" s="522" t="str">
        <f>IF(L8="TERPENUHI",IF((IF(L5&gt;=361,"UNGGUL",IF(L5&gt;=301,"BAIK SEKALI",IF(L5&gt;=200,"BAIK","TIDAK TERAKREDITASI"))))="UNGGUL",IF(L9="TERPENUHI","UNGGUL","BAIK SEKALI"),IF((IF(L5&gt;=361,"UNGGUL",IF(L5&gt;=301,"BAIK SEKALI",IF(L5&gt;=200,"BAIK","TIDAK TERAKREDITASI"))))="BAIK SEKALI",IF(L10="TERPENUHI","BAIK SEKALI","BAIK"),IF((IF(L5&gt;=361,"UNGGUL",IF(L5&gt;=301,"BAIK SEKALI",IF(L5&gt;=200,"BAIK","TIDAK TERAKREDITASI"))))="BAIK","BAIK","-"))),"-")</f>
        <v>-</v>
      </c>
      <c r="R5" s="522"/>
    </row>
    <row r="6" spans="1:18" s="27" customFormat="1" ht="15" x14ac:dyDescent="0.25">
      <c r="B6" s="139"/>
      <c r="C6" s="1"/>
      <c r="D6" s="1"/>
      <c r="E6" s="1"/>
      <c r="F6" s="2"/>
      <c r="H6" s="525"/>
      <c r="I6" s="525"/>
      <c r="J6" s="525"/>
      <c r="K6" s="29"/>
      <c r="L6" s="526"/>
      <c r="M6" s="526"/>
      <c r="N6" s="1"/>
      <c r="O6" s="529"/>
      <c r="P6" s="529"/>
      <c r="Q6" s="522"/>
      <c r="R6" s="522"/>
    </row>
    <row r="7" spans="1:18" s="27" customFormat="1" ht="15" x14ac:dyDescent="0.25">
      <c r="B7" s="534" t="s">
        <v>14</v>
      </c>
      <c r="C7" s="534"/>
      <c r="D7" s="3" t="str">
        <f>UPPER('Isian Prodi'!C5)</f>
        <v>PRODI S2</v>
      </c>
      <c r="E7" s="3"/>
      <c r="F7" s="3"/>
      <c r="N7" s="1"/>
      <c r="O7" s="1"/>
    </row>
    <row r="8" spans="1:18" s="27" customFormat="1" ht="15" x14ac:dyDescent="0.25">
      <c r="B8" s="534" t="s">
        <v>1024</v>
      </c>
      <c r="C8" s="534"/>
      <c r="D8" s="17"/>
      <c r="E8" s="3"/>
      <c r="F8" s="3"/>
      <c r="H8" s="27" t="s">
        <v>15</v>
      </c>
      <c r="I8" s="107"/>
      <c r="L8" s="527" t="str">
        <f>IF(AND(K24="TERPENUHI",K29="TERPENUHI",K53="TERPENUHI"),"TERPENUHI","TIDAK TERPENUHI")</f>
        <v>TIDAK TERPENUHI</v>
      </c>
      <c r="M8" s="527"/>
      <c r="N8" s="527"/>
      <c r="O8" s="527"/>
    </row>
    <row r="9" spans="1:18" s="27" customFormat="1" ht="15" x14ac:dyDescent="0.25">
      <c r="B9" s="3"/>
      <c r="C9" s="1"/>
      <c r="D9" s="18"/>
      <c r="E9" s="4"/>
      <c r="F9" s="3"/>
      <c r="H9" s="27" t="s">
        <v>16</v>
      </c>
      <c r="I9" s="107"/>
      <c r="L9" s="527" t="str">
        <f>IF(AND(M32="TERPENUHI",M80="TERPENUHI"),"TERPENUHI","TIDAK TERPENUHI")</f>
        <v>TIDAK TERPENUHI</v>
      </c>
      <c r="M9" s="527"/>
      <c r="N9" s="527"/>
      <c r="O9" s="527"/>
    </row>
    <row r="10" spans="1:18" s="27" customFormat="1" ht="15" x14ac:dyDescent="0.25">
      <c r="B10" s="3" t="s">
        <v>17</v>
      </c>
      <c r="C10" s="1"/>
      <c r="D10" s="19"/>
      <c r="E10" s="5"/>
      <c r="F10" s="3"/>
      <c r="H10" s="27" t="s">
        <v>18</v>
      </c>
      <c r="L10" s="527" t="str">
        <f>IF(AND(O32="TERPENUHI",O80="TERPENUHI"),"TERPENUHI","TIDAK TERPENUHI")</f>
        <v>TIDAK TERPENUHI</v>
      </c>
      <c r="M10" s="527"/>
      <c r="N10" s="527"/>
      <c r="O10" s="527"/>
    </row>
    <row r="11" spans="1:18" s="27" customFormat="1" ht="15" x14ac:dyDescent="0.25">
      <c r="B11" s="6"/>
      <c r="C11" s="1"/>
      <c r="D11" s="1"/>
      <c r="E11" s="1"/>
      <c r="F11" s="2"/>
    </row>
    <row r="12" spans="1:18" s="141" customFormat="1" ht="25.5" x14ac:dyDescent="0.2">
      <c r="A12" s="140" t="s">
        <v>19</v>
      </c>
      <c r="B12" s="140" t="s">
        <v>19</v>
      </c>
      <c r="C12" s="140" t="s">
        <v>20</v>
      </c>
      <c r="D12" s="140" t="s">
        <v>1020</v>
      </c>
      <c r="E12" s="140" t="s">
        <v>1021</v>
      </c>
      <c r="F12" s="140" t="s">
        <v>21</v>
      </c>
      <c r="H12" s="140" t="s">
        <v>22</v>
      </c>
      <c r="I12" s="140" t="s">
        <v>23</v>
      </c>
      <c r="J12" s="530" t="s">
        <v>24</v>
      </c>
      <c r="K12" s="531"/>
      <c r="L12" s="530" t="s">
        <v>25</v>
      </c>
      <c r="M12" s="531"/>
      <c r="N12" s="532" t="s">
        <v>26</v>
      </c>
      <c r="O12" s="532"/>
    </row>
    <row r="13" spans="1:18" s="148" customFormat="1" ht="132" x14ac:dyDescent="0.2">
      <c r="A13" s="142">
        <v>1</v>
      </c>
      <c r="B13" s="142">
        <f>'Kertas Kerja'!A8</f>
        <v>1</v>
      </c>
      <c r="C13" s="143" t="s">
        <v>27</v>
      </c>
      <c r="D13" s="144" t="str">
        <f>'Kertas Kerja'!L8</f>
        <v>Temuan Minor:
(1)
(2)
(3)
dst…
Temuan Mayor:
(1)
(2)
(3)
dst…</v>
      </c>
      <c r="E13" s="144" t="str">
        <f>'Kertas Kerja'!M8</f>
        <v>Rekomendasi berdasarkan temuan AMI, antara lain sebagai berikut:
(1)
(2)
(3)
dst…</v>
      </c>
      <c r="F13" s="161">
        <f>'Kertas Kerja'!K14</f>
        <v>0</v>
      </c>
      <c r="G13" s="145"/>
      <c r="H13" s="146">
        <v>1</v>
      </c>
      <c r="I13" s="7">
        <f t="shared" ref="I13:I29" si="0">IF(ISBLANK(H13),0,F13*H13)</f>
        <v>0</v>
      </c>
      <c r="J13" s="147"/>
      <c r="K13" s="147"/>
      <c r="L13" s="147"/>
      <c r="M13" s="147"/>
      <c r="N13" s="147"/>
      <c r="O13" s="147"/>
    </row>
    <row r="14" spans="1:18" s="148" customFormat="1" ht="132" x14ac:dyDescent="0.2">
      <c r="A14" s="142">
        <v>2</v>
      </c>
      <c r="B14" s="13">
        <f>'Kertas Kerja'!A16</f>
        <v>2</v>
      </c>
      <c r="C14" s="143" t="s">
        <v>28</v>
      </c>
      <c r="D14" s="149" t="str">
        <f>'Kertas Kerja'!L16</f>
        <v>Temuan Minor:
(1)
(2)
(3)
dst…
Temuan Mayor:
(1)
(2)
(3)
dst…</v>
      </c>
      <c r="E14" s="149" t="str">
        <f>'Kertas Kerja'!M16</f>
        <v>Rekomendasi berdasarkan temuan AMI, antara lain sebagai berikut:
(1)
(2)
(3)
dst…</v>
      </c>
      <c r="F14" s="162">
        <f>'Kertas Kerja'!K22</f>
        <v>0</v>
      </c>
      <c r="G14" s="145"/>
      <c r="H14" s="146">
        <v>1</v>
      </c>
      <c r="I14" s="7">
        <f t="shared" si="0"/>
        <v>0</v>
      </c>
      <c r="J14" s="147"/>
      <c r="K14" s="147"/>
      <c r="L14" s="147"/>
      <c r="M14" s="147"/>
      <c r="N14" s="147"/>
      <c r="O14" s="147"/>
    </row>
    <row r="15" spans="1:18" s="148" customFormat="1" ht="132" x14ac:dyDescent="0.2">
      <c r="A15" s="142">
        <v>3</v>
      </c>
      <c r="B15" s="13">
        <f>'Kertas Kerja'!A24</f>
        <v>3</v>
      </c>
      <c r="C15" s="150" t="s">
        <v>29</v>
      </c>
      <c r="D15" s="149" t="str">
        <f>'Kertas Kerja'!L24</f>
        <v>Temuan Minor:
(1)
(2)
(3)
dst…
Temuan Mayor:
(1)
(2)
(3)
dst…</v>
      </c>
      <c r="E15" s="149" t="str">
        <f>'Kertas Kerja'!M24</f>
        <v>Rekomendasi berdasarkan temuan AMI, antara lain sebagai berikut:
(1)
(2)
(3)
dst…</v>
      </c>
      <c r="F15" s="162">
        <f>'Kertas Kerja'!K30</f>
        <v>0</v>
      </c>
      <c r="G15" s="145"/>
      <c r="H15" s="146">
        <v>0.52873563218390995</v>
      </c>
      <c r="I15" s="7">
        <f t="shared" si="0"/>
        <v>0</v>
      </c>
      <c r="J15" s="147"/>
      <c r="K15" s="147"/>
      <c r="L15" s="147"/>
      <c r="M15" s="147"/>
      <c r="N15" s="147"/>
      <c r="O15" s="147"/>
    </row>
    <row r="16" spans="1:18" s="148" customFormat="1" ht="132" x14ac:dyDescent="0.2">
      <c r="A16" s="142">
        <v>4</v>
      </c>
      <c r="B16" s="13">
        <f>'Kertas Kerja'!A32</f>
        <v>4</v>
      </c>
      <c r="C16" s="150" t="s">
        <v>30</v>
      </c>
      <c r="D16" s="149" t="str">
        <f>'Kertas Kerja'!L32</f>
        <v>Temuan Minor:
(1)
(2)
(3)
dst…
Temuan Mayor:
(1)
(2)
(3)
dst…</v>
      </c>
      <c r="E16" s="149" t="str">
        <f>'Kertas Kerja'!M32</f>
        <v>Rekomendasi berdasarkan temuan AMI, antara lain sebagai berikut:
(1)
(2)
(3)
dst…</v>
      </c>
      <c r="F16" s="162">
        <f>'Kertas Kerja'!K38</f>
        <v>0</v>
      </c>
      <c r="G16" s="145"/>
      <c r="H16" s="146">
        <v>1.0574712643677999</v>
      </c>
      <c r="I16" s="7">
        <f t="shared" si="0"/>
        <v>0</v>
      </c>
      <c r="J16" s="147"/>
      <c r="K16" s="147"/>
      <c r="L16" s="147"/>
      <c r="M16" s="147"/>
      <c r="N16" s="147"/>
      <c r="O16" s="147"/>
    </row>
    <row r="17" spans="1:15" s="148" customFormat="1" ht="132" x14ac:dyDescent="0.2">
      <c r="A17" s="142">
        <v>5</v>
      </c>
      <c r="B17" s="13">
        <f>'Kertas Kerja'!A40</f>
        <v>5</v>
      </c>
      <c r="C17" s="149" t="s">
        <v>31</v>
      </c>
      <c r="D17" s="149" t="str">
        <f>'Kertas Kerja'!L40</f>
        <v>Temuan Minor:
(1)
(2)
(3)
dst…
Temuan Mayor:
(1)
(2)
(3)
dst…</v>
      </c>
      <c r="E17" s="149" t="str">
        <f>'Kertas Kerja'!M40</f>
        <v>Rekomendasi berdasarkan temuan AMI, antara lain sebagai berikut:
(1)
(2)
(3)
dst…</v>
      </c>
      <c r="F17" s="162">
        <f>'Kertas Kerja'!K46</f>
        <v>0</v>
      </c>
      <c r="G17" s="145"/>
      <c r="H17" s="146">
        <v>1.5862068965517</v>
      </c>
      <c r="I17" s="7">
        <f t="shared" si="0"/>
        <v>0</v>
      </c>
      <c r="J17" s="147"/>
      <c r="K17" s="147"/>
      <c r="L17" s="147"/>
      <c r="M17" s="147"/>
      <c r="N17" s="147"/>
      <c r="O17" s="147"/>
    </row>
    <row r="18" spans="1:15" s="148" customFormat="1" ht="156" x14ac:dyDescent="0.2">
      <c r="A18" s="142">
        <v>6</v>
      </c>
      <c r="B18" s="13">
        <f>'Kertas Kerja'!A48</f>
        <v>6</v>
      </c>
      <c r="C18" s="149" t="s">
        <v>32</v>
      </c>
      <c r="D18" s="149" t="str">
        <f>'Kertas Kerja'!L48</f>
        <v>Temuan Minor:
(1)
(2)
(3)
dst…
Temuan Mayor:
(1)
(2)
(3)
dst…</v>
      </c>
      <c r="E18" s="149" t="str">
        <f>'Kertas Kerja'!M48</f>
        <v>Rekomendasi berdasarkan temuan AMI, antara lain sebagai berikut:
(1)
(2)
(3)
dst…</v>
      </c>
      <c r="F18" s="162">
        <f>'Kertas Kerja'!K60</f>
        <v>0</v>
      </c>
      <c r="G18" s="145"/>
      <c r="H18" s="146">
        <v>0.35249042145594001</v>
      </c>
      <c r="I18" s="7">
        <f t="shared" si="0"/>
        <v>0</v>
      </c>
      <c r="J18" s="147"/>
      <c r="K18" s="147"/>
      <c r="L18" s="147"/>
      <c r="M18" s="147"/>
      <c r="N18" s="147"/>
      <c r="O18" s="147"/>
    </row>
    <row r="19" spans="1:15" s="148" customFormat="1" ht="144" x14ac:dyDescent="0.2">
      <c r="A19" s="142">
        <v>7</v>
      </c>
      <c r="B19" s="13">
        <f>'Kertas Kerja'!A62</f>
        <v>7</v>
      </c>
      <c r="C19" s="149" t="s">
        <v>33</v>
      </c>
      <c r="D19" s="149" t="str">
        <f>'Kertas Kerja'!L62</f>
        <v>Temuan Minor:
(1)
(2)
(3)
dst…
Temuan Mayor:
(1)
(2)
(3)
dst…</v>
      </c>
      <c r="E19" s="149" t="str">
        <f>'Kertas Kerja'!M62</f>
        <v>Rekomendasi berdasarkan temuan AMI, antara lain sebagai berikut:
(1)
(2)
(3)
dst…</v>
      </c>
      <c r="F19" s="162">
        <f>'Kertas Kerja'!K74</f>
        <v>0</v>
      </c>
      <c r="G19" s="145"/>
      <c r="H19" s="146">
        <v>0.35249042145594001</v>
      </c>
      <c r="I19" s="7">
        <f t="shared" si="0"/>
        <v>0</v>
      </c>
      <c r="J19" s="147"/>
      <c r="K19" s="147"/>
      <c r="L19" s="147"/>
      <c r="M19" s="147"/>
      <c r="N19" s="147"/>
      <c r="O19" s="147"/>
    </row>
    <row r="20" spans="1:15" s="148" customFormat="1" ht="228" x14ac:dyDescent="0.2">
      <c r="A20" s="142">
        <v>8</v>
      </c>
      <c r="B20" s="13">
        <f>'Kertas Kerja'!A76</f>
        <v>8</v>
      </c>
      <c r="C20" s="149" t="s">
        <v>34</v>
      </c>
      <c r="D20" s="149" t="str">
        <f>'Kertas Kerja'!L76</f>
        <v>Temuan Minor:
(1)
(2)
(3)
dst…
Temuan Mayor:
(1)
(2)
(3)
dst…</v>
      </c>
      <c r="E20" s="149" t="str">
        <f>'Kertas Kerja'!M76</f>
        <v>Rekomendasi berdasarkan temuan AMI, antara lain sebagai berikut:
(1)
(2)
(3)
dst…</v>
      </c>
      <c r="F20" s="162">
        <f>'Kertas Kerja'!K82</f>
        <v>0</v>
      </c>
      <c r="G20" s="145"/>
      <c r="H20" s="146">
        <v>0.70498084291188001</v>
      </c>
      <c r="I20" s="7">
        <f t="shared" si="0"/>
        <v>0</v>
      </c>
      <c r="J20" s="151"/>
      <c r="K20" s="151"/>
      <c r="L20" s="151"/>
      <c r="M20" s="151"/>
      <c r="N20" s="151"/>
      <c r="O20" s="151"/>
    </row>
    <row r="21" spans="1:15" s="148" customFormat="1" ht="144" x14ac:dyDescent="0.2">
      <c r="A21" s="142">
        <v>9</v>
      </c>
      <c r="B21" s="13">
        <f>'Kertas Kerja'!A84</f>
        <v>9</v>
      </c>
      <c r="C21" s="149" t="s">
        <v>35</v>
      </c>
      <c r="D21" s="14" t="str">
        <f>'Kertas Kerja'!L84</f>
        <v>Temuan Minor:
(1)
(2)
(3)
dst…
Temuan Mayor:
(1)
(2)
(3)
dst…</v>
      </c>
      <c r="E21" s="14" t="str">
        <f>'Kertas Kerja'!M84</f>
        <v>Rekomendasi berdasarkan temuan AMI, antara lain sebagai berikut:
(1)
(2)
(3)
dst…</v>
      </c>
      <c r="F21" s="163">
        <f>'Kertas Kerja'!K109</f>
        <v>0</v>
      </c>
      <c r="G21" s="145"/>
      <c r="H21" s="146">
        <v>0.35249042145594001</v>
      </c>
      <c r="I21" s="7">
        <f t="shared" si="0"/>
        <v>0</v>
      </c>
      <c r="J21" s="151"/>
      <c r="K21" s="151"/>
      <c r="L21" s="151"/>
      <c r="M21" s="151"/>
      <c r="N21" s="151"/>
      <c r="O21" s="151"/>
    </row>
    <row r="22" spans="1:15" s="148" customFormat="1" ht="132" x14ac:dyDescent="0.2">
      <c r="A22" s="142">
        <v>10</v>
      </c>
      <c r="B22" s="13">
        <f>'Kertas Kerja'!A111</f>
        <v>10</v>
      </c>
      <c r="C22" s="149" t="s">
        <v>36</v>
      </c>
      <c r="D22" s="14" t="str">
        <f>'Kertas Kerja'!L111</f>
        <v>Temuan Minor:
(1)
(2)
(3)
dst…
Temuan Mayor:
(1)
(2)
(3)
dst…</v>
      </c>
      <c r="E22" s="14" t="str">
        <f>'Kertas Kerja'!M111</f>
        <v>Rekomendasi berdasarkan temuan AMI, antara lain sebagai berikut:
(1)
(2)
(3)
dst…</v>
      </c>
      <c r="F22" s="163">
        <f>'Kertas Kerja'!K117</f>
        <v>0</v>
      </c>
      <c r="G22" s="145"/>
      <c r="H22" s="146">
        <v>0.70498084291188001</v>
      </c>
      <c r="I22" s="7">
        <f t="shared" si="0"/>
        <v>0</v>
      </c>
      <c r="J22" s="151"/>
      <c r="K22" s="151"/>
      <c r="L22" s="151"/>
      <c r="M22" s="151"/>
      <c r="N22" s="151"/>
      <c r="O22" s="151"/>
    </row>
    <row r="23" spans="1:15" s="148" customFormat="1" ht="216" x14ac:dyDescent="0.2">
      <c r="A23" s="142">
        <v>11</v>
      </c>
      <c r="B23" s="13">
        <f>'Kertas Kerja'!A119</f>
        <v>11</v>
      </c>
      <c r="C23" s="149" t="s">
        <v>37</v>
      </c>
      <c r="D23" s="14" t="str">
        <f>'Kertas Kerja'!L119</f>
        <v>Temuan Minor:
(1)
(2)
(3)
dst…
Temuan Mayor:
(1)
(2)
(3)
dst…</v>
      </c>
      <c r="E23" s="14" t="str">
        <f>'Kertas Kerja'!M119</f>
        <v>Rekomendasi berdasarkan temuan AMI, antara lain sebagai berikut:
(1)
(2)
(3)
dst…</v>
      </c>
      <c r="F23" s="163">
        <f>'Kertas Kerja'!K125</f>
        <v>0</v>
      </c>
      <c r="G23" s="145"/>
      <c r="H23" s="146">
        <v>1.0574712643677999</v>
      </c>
      <c r="I23" s="7">
        <f t="shared" si="0"/>
        <v>0</v>
      </c>
      <c r="J23" s="151"/>
      <c r="K23" s="151"/>
      <c r="L23" s="151"/>
      <c r="M23" s="151"/>
      <c r="N23" s="151"/>
      <c r="O23" s="151"/>
    </row>
    <row r="24" spans="1:15" s="148" customFormat="1" ht="216" x14ac:dyDescent="0.2">
      <c r="A24" s="142">
        <v>12</v>
      </c>
      <c r="B24" s="13">
        <f>'Kertas Kerja'!A127</f>
        <v>12</v>
      </c>
      <c r="C24" s="149" t="s">
        <v>38</v>
      </c>
      <c r="D24" s="14" t="str">
        <f>'Kertas Kerja'!L127</f>
        <v>Temuan Minor:
(1)
(2)
(3)
dst…
Temuan Mayor:
(1)
(2)
(3)
dst…</v>
      </c>
      <c r="E24" s="14" t="str">
        <f>'Kertas Kerja'!M127</f>
        <v>Rekomendasi berdasarkan temuan AMI, antara lain sebagai berikut:
(1)
(2)
(3)
dst…</v>
      </c>
      <c r="F24" s="162">
        <f>'Kertas Kerja'!K133</f>
        <v>0</v>
      </c>
      <c r="G24" s="145"/>
      <c r="H24" s="146">
        <v>1.4099616858238</v>
      </c>
      <c r="I24" s="7">
        <f t="shared" si="0"/>
        <v>0</v>
      </c>
      <c r="J24" s="152" t="s">
        <v>39</v>
      </c>
      <c r="K24" s="153" t="str">
        <f>IF(F24&gt;=2,"TERPENUHI","TIDAK TERPENUHI")</f>
        <v>TIDAK TERPENUHI</v>
      </c>
      <c r="L24" s="152"/>
      <c r="M24" s="152"/>
      <c r="N24" s="151"/>
      <c r="O24" s="151"/>
    </row>
    <row r="25" spans="1:15" s="148" customFormat="1" ht="336" x14ac:dyDescent="0.2">
      <c r="A25" s="142">
        <v>13</v>
      </c>
      <c r="B25" s="13">
        <f>'Kertas Kerja'!A135</f>
        <v>13</v>
      </c>
      <c r="C25" s="149" t="s">
        <v>40</v>
      </c>
      <c r="D25" s="14" t="str">
        <f>'Kertas Kerja'!L135</f>
        <v>Temuan Minor:
(1)
(2)
(3)
dst…
Temuan Mayor:
(1)
(2)
(3)
dst…</v>
      </c>
      <c r="E25" s="14" t="str">
        <f>'Kertas Kerja'!M135</f>
        <v>Rekomendasi berdasarkan temuan AMI, antara lain sebagai berikut:
(1)
(2)
(3)
dst…</v>
      </c>
      <c r="F25" s="162">
        <f>'Kertas Kerja'!K141</f>
        <v>0</v>
      </c>
      <c r="G25" s="145"/>
      <c r="H25" s="146">
        <v>1.4099616858238</v>
      </c>
      <c r="I25" s="7">
        <f t="shared" si="0"/>
        <v>0</v>
      </c>
      <c r="J25" s="151"/>
      <c r="K25" s="151"/>
      <c r="L25" s="151"/>
      <c r="M25" s="151"/>
      <c r="N25" s="151"/>
      <c r="O25" s="151"/>
    </row>
    <row r="26" spans="1:15" s="148" customFormat="1" ht="132" x14ac:dyDescent="0.2">
      <c r="A26" s="142">
        <v>14</v>
      </c>
      <c r="B26" s="13">
        <f>'Kertas Kerja'!A143</f>
        <v>14</v>
      </c>
      <c r="C26" s="149" t="s">
        <v>41</v>
      </c>
      <c r="D26" s="14" t="str">
        <f>'Kertas Kerja'!L143</f>
        <v>Temuan Minor:
(1)
(2)
(3)
dst…
Temuan Mayor:
(1)
(2)
(3)
dst…</v>
      </c>
      <c r="E26" s="14" t="str">
        <f>'Kertas Kerja'!M143</f>
        <v>Rekomendasi berdasarkan temuan AMI, antara lain sebagai berikut:
(1)
(2)
(3)
dst…</v>
      </c>
      <c r="F26" s="162">
        <f>'Kertas Kerja'!K161</f>
        <v>0</v>
      </c>
      <c r="G26" s="145"/>
      <c r="H26" s="146">
        <v>3.1724137931034</v>
      </c>
      <c r="I26" s="7">
        <f t="shared" si="0"/>
        <v>0</v>
      </c>
      <c r="J26" s="151"/>
      <c r="K26" s="151"/>
      <c r="L26" s="151"/>
      <c r="M26" s="151"/>
      <c r="N26" s="151"/>
      <c r="O26" s="151"/>
    </row>
    <row r="27" spans="1:15" s="148" customFormat="1" ht="132" x14ac:dyDescent="0.2">
      <c r="A27" s="142">
        <v>15</v>
      </c>
      <c r="B27" s="13">
        <f>'Kertas Kerja'!A163</f>
        <v>15</v>
      </c>
      <c r="C27" s="149" t="s">
        <v>42</v>
      </c>
      <c r="D27" s="14" t="str">
        <f>'Kertas Kerja'!L163</f>
        <v>Temuan Minor:
(1)
(2)
(3)
dst…
Temuan Mayor:
(1)
(2)
(3)
dst…</v>
      </c>
      <c r="E27" s="14" t="str">
        <f>'Kertas Kerja'!M163</f>
        <v>Rekomendasi berdasarkan temuan AMI, antara lain sebagai berikut:
(1)
(2)
(3)
dst…</v>
      </c>
      <c r="F27" s="162">
        <f>'Kertas Kerja'!K178</f>
        <v>0.66666666666666663</v>
      </c>
      <c r="G27" s="145"/>
      <c r="H27" s="146">
        <v>2.1149425287355998</v>
      </c>
      <c r="I27" s="7">
        <f t="shared" si="0"/>
        <v>1.4099616858237332</v>
      </c>
      <c r="J27" s="151"/>
      <c r="K27" s="151"/>
      <c r="L27" s="151"/>
      <c r="M27" s="151"/>
      <c r="N27" s="151"/>
      <c r="O27" s="151"/>
    </row>
    <row r="28" spans="1:15" s="148" customFormat="1" ht="132" x14ac:dyDescent="0.2">
      <c r="A28" s="142">
        <v>16</v>
      </c>
      <c r="B28" s="13">
        <f>'Kertas Kerja'!A180</f>
        <v>16</v>
      </c>
      <c r="C28" s="149" t="s">
        <v>43</v>
      </c>
      <c r="D28" s="14" t="str">
        <f>'Kertas Kerja'!L180</f>
        <v>Temuan Minor:
(1)
(2)
(3)
dst…
Temuan Mayor:
(1)
(2)
(3)
dst…</v>
      </c>
      <c r="E28" s="14" t="str">
        <f>'Kertas Kerja'!M180</f>
        <v>Rekomendasi berdasarkan temuan AMI, antara lain sebagai berikut:
(1)
(2)
(3)
dst…</v>
      </c>
      <c r="F28" s="162">
        <f>'Kertas Kerja'!K192</f>
        <v>0</v>
      </c>
      <c r="G28" s="145"/>
      <c r="H28" s="146">
        <v>1.0574712643677999</v>
      </c>
      <c r="I28" s="7">
        <f t="shared" si="0"/>
        <v>0</v>
      </c>
      <c r="J28" s="151"/>
      <c r="K28" s="151"/>
      <c r="L28" s="151"/>
      <c r="M28" s="151"/>
      <c r="N28" s="151"/>
      <c r="O28" s="151"/>
    </row>
    <row r="29" spans="1:15" s="148" customFormat="1" ht="132" x14ac:dyDescent="0.2">
      <c r="A29" s="142">
        <v>17</v>
      </c>
      <c r="B29" s="13">
        <f>'Kertas Kerja'!A194</f>
        <v>17</v>
      </c>
      <c r="C29" s="149" t="s">
        <v>44</v>
      </c>
      <c r="D29" s="14" t="str">
        <f>'Kertas Kerja'!L194</f>
        <v>Temuan Minor:
(1)
(2)
(3)
dst…
Temuan Mayor:
(1)
(2)
(3)
dst…</v>
      </c>
      <c r="E29" s="14" t="str">
        <f>'Kertas Kerja'!M194</f>
        <v>Rekomendasi berdasarkan temuan AMI, antara lain sebagai berikut:
(1)
(2)
(3)
dst…</v>
      </c>
      <c r="F29" s="162">
        <f>'Kertas Kerja'!K202</f>
        <v>0</v>
      </c>
      <c r="G29" s="145"/>
      <c r="H29" s="146">
        <v>1.1536050156740001</v>
      </c>
      <c r="I29" s="7">
        <f t="shared" si="0"/>
        <v>0</v>
      </c>
      <c r="J29" s="152" t="s">
        <v>39</v>
      </c>
      <c r="K29" s="153" t="str">
        <f>IF(F29&gt;=2,"TERPENUHI","TIDAK TERPENUHI")</f>
        <v>TIDAK TERPENUHI</v>
      </c>
      <c r="L29" s="152"/>
      <c r="M29" s="152"/>
      <c r="N29" s="151"/>
      <c r="O29" s="151"/>
    </row>
    <row r="30" spans="1:15" s="148" customFormat="1" ht="24" hidden="1" x14ac:dyDescent="0.2">
      <c r="A30" s="142">
        <v>18</v>
      </c>
      <c r="B30" s="13" t="str">
        <f>IF('Kertas Kerja'!A204&gt;0,'Kertas Kerja'!A204,"")</f>
        <v/>
      </c>
      <c r="C30" s="149" t="s">
        <v>45</v>
      </c>
      <c r="D30" s="14" t="str">
        <f>'Kertas Kerja'!L204</f>
        <v>Deskripsi temuan auditor mutu internal tentang indikator yang terkait</v>
      </c>
      <c r="E30" s="14" t="str">
        <f>'Kertas Kerja'!M204</f>
        <v>Rekomendasi auditor mutu internal berkaitan dengan hasil temuan</v>
      </c>
      <c r="F30" s="162" t="str">
        <f>IF(B30="","",'Kertas Kerja'!K208)</f>
        <v/>
      </c>
      <c r="G30" s="145"/>
      <c r="H30" s="146"/>
      <c r="I30" s="7">
        <f>IF(ISBLANK(H30),0,F30*H30)</f>
        <v>0</v>
      </c>
      <c r="J30" s="151"/>
      <c r="K30" s="151"/>
      <c r="L30" s="151"/>
      <c r="M30" s="151"/>
      <c r="N30" s="151"/>
      <c r="O30" s="151"/>
    </row>
    <row r="31" spans="1:15" s="148" customFormat="1" ht="36" hidden="1" x14ac:dyDescent="0.2">
      <c r="A31" s="142">
        <v>19</v>
      </c>
      <c r="B31" s="13" t="str">
        <f>IF('Kertas Kerja'!A210&gt;0,'Kertas Kerja'!A210,"")</f>
        <v/>
      </c>
      <c r="C31" s="149" t="s">
        <v>885</v>
      </c>
      <c r="D31" s="14" t="str">
        <f>'Kertas Kerja'!L210</f>
        <v>Deskripsi temuan auditor mutu internal tentang indikator yang terkait</v>
      </c>
      <c r="E31" s="14" t="str">
        <f>'Kertas Kerja'!M210</f>
        <v>Rekomendasi auditor mutu internal berkaitan dengan hasil temuan</v>
      </c>
      <c r="F31" s="162" t="str">
        <f>IF(B31="","",'Kertas Kerja'!K214)</f>
        <v/>
      </c>
      <c r="G31" s="145"/>
      <c r="H31" s="146"/>
      <c r="I31" s="7">
        <f t="shared" ref="I31:I87" si="1">IF(ISBLANK(H31),0,F31*H31)</f>
        <v>0</v>
      </c>
      <c r="J31" s="151"/>
      <c r="K31" s="151"/>
      <c r="L31" s="151"/>
      <c r="M31" s="151"/>
      <c r="N31" s="151"/>
      <c r="O31" s="151"/>
    </row>
    <row r="32" spans="1:15" s="148" customFormat="1" ht="132" x14ac:dyDescent="0.2">
      <c r="A32" s="142">
        <v>20</v>
      </c>
      <c r="B32" s="13">
        <f>'Kertas Kerja'!A216</f>
        <v>18</v>
      </c>
      <c r="C32" s="149" t="s">
        <v>48</v>
      </c>
      <c r="D32" s="14" t="str">
        <f>'Kertas Kerja'!L216</f>
        <v>Temuan Minor:
(1)
(2)
(3)
dst…
Temuan Mayor:
(1)
(2)
(3)
dst…</v>
      </c>
      <c r="E32" s="14" t="str">
        <f>'Kertas Kerja'!M216</f>
        <v>Rekomendasi berdasarkan temuan AMI, antara lain sebagai berikut:
(1)
(2)
(3)
dst…</v>
      </c>
      <c r="F32" s="162">
        <f>'Kertas Kerja'!K222</f>
        <v>2</v>
      </c>
      <c r="G32" s="145"/>
      <c r="H32" s="146">
        <v>0.76907001044932</v>
      </c>
      <c r="I32" s="7">
        <f t="shared" si="1"/>
        <v>1.53814002089864</v>
      </c>
      <c r="J32" s="152"/>
      <c r="K32" s="152"/>
      <c r="L32" s="152" t="s">
        <v>46</v>
      </c>
      <c r="M32" s="153" t="str">
        <f>IF(F32&gt;=3.5,"TERPENUHI","TIDAK TERPENUHI")</f>
        <v>TIDAK TERPENUHI</v>
      </c>
      <c r="N32" s="152" t="s">
        <v>47</v>
      </c>
      <c r="O32" s="153" t="str">
        <f>IF(F32&gt;=3,"TERPENUHI","TIDAK TERPENUHI")</f>
        <v>TIDAK TERPENUHI</v>
      </c>
    </row>
    <row r="33" spans="1:15" s="148" customFormat="1" ht="60" hidden="1" x14ac:dyDescent="0.2">
      <c r="A33" s="142">
        <v>21</v>
      </c>
      <c r="B33" s="13" t="str">
        <f>IF('Kertas Kerja'!A224&gt;0,'Kertas Kerja'!A224,"")</f>
        <v/>
      </c>
      <c r="C33" s="149" t="s">
        <v>49</v>
      </c>
      <c r="D33" s="14" t="str">
        <f>'Kertas Kerja'!L224</f>
        <v>Deskripsi temuan auditor mutu internal tentang indikator yang terkait</v>
      </c>
      <c r="E33" s="14" t="str">
        <f>'Kertas Kerja'!M224</f>
        <v>Rekomendasi auditor mutu internal berkaitan dengan hasil temuan</v>
      </c>
      <c r="F33" s="162" t="str">
        <f>IF(B33="","",'Kertas Kerja'!K231)</f>
        <v/>
      </c>
      <c r="G33" s="145"/>
      <c r="H33" s="146"/>
      <c r="I33" s="7">
        <f t="shared" si="1"/>
        <v>0</v>
      </c>
      <c r="J33" s="151"/>
      <c r="K33" s="151"/>
      <c r="L33" s="151"/>
      <c r="M33" s="151"/>
      <c r="N33" s="151"/>
      <c r="O33" s="151"/>
    </row>
    <row r="34" spans="1:15" s="148" customFormat="1" ht="132" x14ac:dyDescent="0.2">
      <c r="A34" s="142">
        <v>22</v>
      </c>
      <c r="B34" s="13">
        <f>'Kertas Kerja'!A233</f>
        <v>19</v>
      </c>
      <c r="C34" s="149" t="s">
        <v>50</v>
      </c>
      <c r="D34" s="14" t="str">
        <f>'Kertas Kerja'!L233</f>
        <v>Temuan Minor:
(1)
(2)
(3)
dst…
Temuan Mayor:
(1)
(2)
(3)
dst…</v>
      </c>
      <c r="E34" s="14" t="str">
        <f>'Kertas Kerja'!M233</f>
        <v>Rekomendasi berdasarkan temuan AMI, antara lain sebagai berikut:
(1)
(2)
(3)
dst…</v>
      </c>
      <c r="F34" s="162">
        <f>'Kertas Kerja'!K237</f>
        <v>4</v>
      </c>
      <c r="G34" s="145"/>
      <c r="H34" s="146">
        <v>1.5381400208986</v>
      </c>
      <c r="I34" s="7">
        <f t="shared" si="1"/>
        <v>6.1525600835944001</v>
      </c>
      <c r="J34" s="151"/>
      <c r="K34" s="151"/>
      <c r="L34" s="151"/>
      <c r="M34" s="151"/>
      <c r="N34" s="151"/>
      <c r="O34" s="151"/>
    </row>
    <row r="35" spans="1:15" s="148" customFormat="1" ht="132" x14ac:dyDescent="0.2">
      <c r="A35" s="142">
        <v>23</v>
      </c>
      <c r="B35" s="13">
        <f>'Kertas Kerja'!A239</f>
        <v>20</v>
      </c>
      <c r="C35" s="149" t="s">
        <v>51</v>
      </c>
      <c r="D35" s="14" t="str">
        <f>'Kertas Kerja'!L239</f>
        <v>Temuan Minor:
(1)
(2)
(3)
dst…
Temuan Mayor:
(1)
(2)
(3)
dst…</v>
      </c>
      <c r="E35" s="14" t="str">
        <f>'Kertas Kerja'!M239</f>
        <v>Rekomendasi berdasarkan temuan AMI, antara lain sebagai berikut:
(1)
(2)
(3)
dst…</v>
      </c>
      <c r="F35" s="162">
        <f>'Kertas Kerja'!K241</f>
        <v>0</v>
      </c>
      <c r="G35" s="145"/>
      <c r="H35" s="146">
        <v>0.38453500522466</v>
      </c>
      <c r="I35" s="7">
        <f t="shared" si="1"/>
        <v>0</v>
      </c>
      <c r="J35" s="151"/>
      <c r="K35" s="151"/>
      <c r="L35" s="151"/>
      <c r="M35" s="151"/>
      <c r="N35" s="151"/>
      <c r="O35" s="151"/>
    </row>
    <row r="36" spans="1:15" s="148" customFormat="1" ht="132" x14ac:dyDescent="0.2">
      <c r="A36" s="142">
        <v>24</v>
      </c>
      <c r="B36" s="13">
        <f>'Kertas Kerja'!A243</f>
        <v>21</v>
      </c>
      <c r="C36" s="149" t="s">
        <v>52</v>
      </c>
      <c r="D36" s="14" t="str">
        <f>'Kertas Kerja'!L243</f>
        <v>Temuan Minor:
(1)
(2)
(3)
dst…
Temuan Mayor:
(1)
(2)
(3)
dst…</v>
      </c>
      <c r="E36" s="14" t="str">
        <f>'Kertas Kerja'!M243</f>
        <v>Rekomendasi berdasarkan temuan AMI, antara lain sebagai berikut:
(1)
(2)
(3)
dst…</v>
      </c>
      <c r="F36" s="162">
        <f>'Kertas Kerja'!K247</f>
        <v>4</v>
      </c>
      <c r="G36" s="145"/>
      <c r="H36" s="146">
        <v>0.76907001044932</v>
      </c>
      <c r="I36" s="7">
        <f t="shared" si="1"/>
        <v>3.07628004179728</v>
      </c>
      <c r="J36" s="151"/>
      <c r="K36" s="151"/>
      <c r="L36" s="151"/>
      <c r="M36" s="151"/>
      <c r="N36" s="151"/>
      <c r="O36" s="151"/>
    </row>
    <row r="37" spans="1:15" s="148" customFormat="1" ht="36" hidden="1" x14ac:dyDescent="0.2">
      <c r="A37" s="142">
        <v>25</v>
      </c>
      <c r="B37" s="13" t="str">
        <f>IF('Kertas Kerja'!A249&gt;0,'Kertas Kerja'!A249,"")</f>
        <v/>
      </c>
      <c r="C37" s="149" t="s">
        <v>887</v>
      </c>
      <c r="D37" s="14" t="str">
        <f>'Kertas Kerja'!L249</f>
        <v>Deskripsi temuan auditor mutu internal tentang indikator yang terkait</v>
      </c>
      <c r="E37" s="14" t="str">
        <f>'Kertas Kerja'!M249</f>
        <v>Rekomendasi auditor mutu internal berkaitan dengan hasil temuan</v>
      </c>
      <c r="F37" s="162" t="str">
        <f>IF(B37="","",'Kertas Kerja'!K253)</f>
        <v/>
      </c>
      <c r="G37" s="145"/>
      <c r="H37" s="146"/>
      <c r="I37" s="7">
        <f t="shared" si="1"/>
        <v>0</v>
      </c>
      <c r="J37" s="151"/>
      <c r="K37" s="151"/>
      <c r="L37" s="151"/>
      <c r="M37" s="151"/>
      <c r="N37" s="151"/>
      <c r="O37" s="151"/>
    </row>
    <row r="38" spans="1:15" s="148" customFormat="1" ht="132" x14ac:dyDescent="0.2">
      <c r="A38" s="142">
        <v>26</v>
      </c>
      <c r="B38" s="13">
        <f>'Kertas Kerja'!A255</f>
        <v>22</v>
      </c>
      <c r="C38" s="149" t="s">
        <v>53</v>
      </c>
      <c r="D38" s="14" t="str">
        <f>'Kertas Kerja'!L255</f>
        <v>Temuan Minor:
(1)
(2)
(3)
dst…
Temuan Mayor:
(1)
(2)
(3)
dst…</v>
      </c>
      <c r="E38" s="14" t="str">
        <f>'Kertas Kerja'!M255</f>
        <v>Rekomendasi berdasarkan temuan AMI, antara lain sebagai berikut:
(1)
(2)
(3)
dst…</v>
      </c>
      <c r="F38" s="162">
        <f>'Kertas Kerja'!K259</f>
        <v>2</v>
      </c>
      <c r="G38" s="145"/>
      <c r="H38" s="146">
        <v>0.83898546594471002</v>
      </c>
      <c r="I38" s="7">
        <f t="shared" si="1"/>
        <v>1.67797093188942</v>
      </c>
      <c r="J38" s="151"/>
      <c r="K38" s="151"/>
      <c r="L38" s="151"/>
      <c r="M38" s="151"/>
      <c r="N38" s="151"/>
      <c r="O38" s="151"/>
    </row>
    <row r="39" spans="1:15" s="148" customFormat="1" ht="132" x14ac:dyDescent="0.2">
      <c r="A39" s="142">
        <v>27</v>
      </c>
      <c r="B39" s="13">
        <f>'Kertas Kerja'!A261</f>
        <v>23</v>
      </c>
      <c r="C39" s="149" t="s">
        <v>54</v>
      </c>
      <c r="D39" s="14" t="str">
        <f>'Kertas Kerja'!L261</f>
        <v>Temuan Minor:
(1)
(2)
(3)
dst…
Temuan Mayor:
(1)
(2)
(3)
dst…</v>
      </c>
      <c r="E39" s="14" t="str">
        <f>'Kertas Kerja'!M261</f>
        <v>Rekomendasi berdasarkan temuan AMI, antara lain sebagai berikut:
(1)
(2)
(3)
dst…</v>
      </c>
      <c r="F39" s="162">
        <f>'Kertas Kerja'!K277</f>
        <v>0</v>
      </c>
      <c r="G39" s="145"/>
      <c r="H39" s="146">
        <v>0.83898546594471002</v>
      </c>
      <c r="I39" s="7">
        <f t="shared" si="1"/>
        <v>0</v>
      </c>
      <c r="J39" s="151"/>
      <c r="K39" s="151"/>
      <c r="L39" s="151"/>
      <c r="M39" s="151"/>
      <c r="N39" s="151"/>
      <c r="O39" s="151"/>
    </row>
    <row r="40" spans="1:15" s="148" customFormat="1" ht="132" x14ac:dyDescent="0.2">
      <c r="A40" s="142">
        <v>28</v>
      </c>
      <c r="B40" s="13">
        <f>'Kertas Kerja'!A279</f>
        <v>24</v>
      </c>
      <c r="C40" s="149" t="s">
        <v>55</v>
      </c>
      <c r="D40" s="14" t="str">
        <f>'Kertas Kerja'!L279</f>
        <v>Temuan Minor:
(1)
(2)
(3)
dst…
Temuan Mayor:
(1)
(2)
(3)
dst…</v>
      </c>
      <c r="E40" s="14" t="str">
        <f>'Kertas Kerja'!M279</f>
        <v>Rekomendasi berdasarkan temuan AMI, antara lain sebagai berikut:
(1)
(2)
(3)
dst…</v>
      </c>
      <c r="F40" s="162">
        <f>'Kertas Kerja'!K295</f>
        <v>0</v>
      </c>
      <c r="G40" s="145"/>
      <c r="H40" s="146">
        <v>0.41949273297236001</v>
      </c>
      <c r="I40" s="7">
        <f t="shared" si="1"/>
        <v>0</v>
      </c>
      <c r="J40" s="151"/>
      <c r="K40" s="151"/>
      <c r="L40" s="151"/>
      <c r="M40" s="151"/>
      <c r="N40" s="151"/>
      <c r="O40" s="151"/>
    </row>
    <row r="41" spans="1:15" s="148" customFormat="1" ht="132" x14ac:dyDescent="0.2">
      <c r="A41" s="142">
        <v>29</v>
      </c>
      <c r="B41" s="13">
        <f>'Kertas Kerja'!A297</f>
        <v>25</v>
      </c>
      <c r="C41" s="14" t="s">
        <v>56</v>
      </c>
      <c r="D41" s="14" t="str">
        <f>'Kertas Kerja'!L297</f>
        <v>Temuan Minor:
(1)
(2)
(3)
dst…
Temuan Mayor:
(1)
(2)
(3)
dst…</v>
      </c>
      <c r="E41" s="14" t="str">
        <f>'Kertas Kerja'!M297</f>
        <v>Rekomendasi berdasarkan temuan AMI, antara lain sebagai berikut:
(1)
(2)
(3)
dst…</v>
      </c>
      <c r="F41" s="162">
        <f>'Kertas Kerja'!K320</f>
        <v>0</v>
      </c>
      <c r="G41" s="145"/>
      <c r="H41" s="146">
        <v>0.83898546594471002</v>
      </c>
      <c r="I41" s="7">
        <f t="shared" si="1"/>
        <v>0</v>
      </c>
      <c r="J41" s="151"/>
      <c r="K41" s="151"/>
      <c r="L41" s="151"/>
      <c r="M41" s="151"/>
      <c r="N41" s="151"/>
      <c r="O41" s="151"/>
    </row>
    <row r="42" spans="1:15" s="148" customFormat="1" ht="132" x14ac:dyDescent="0.2">
      <c r="A42" s="142">
        <v>30</v>
      </c>
      <c r="B42" s="13">
        <f>'Kertas Kerja'!A322</f>
        <v>26</v>
      </c>
      <c r="C42" s="154" t="s">
        <v>57</v>
      </c>
      <c r="D42" s="14" t="str">
        <f>'Kertas Kerja'!L322</f>
        <v>Temuan Minor:
(1)
(2)
(3)
dst…
Temuan Mayor:
(1)
(2)
(3)
dst…</v>
      </c>
      <c r="E42" s="14" t="str">
        <f>'Kertas Kerja'!M322</f>
        <v>Rekomendasi berdasarkan temuan AMI, antara lain sebagai berikut:
(1)
(2)
(3)
dst…</v>
      </c>
      <c r="F42" s="162">
        <f>'Kertas Kerja'!K327</f>
        <v>2</v>
      </c>
      <c r="G42" s="145"/>
      <c r="H42" s="146">
        <v>0.83898546594471002</v>
      </c>
      <c r="I42" s="7">
        <f t="shared" si="1"/>
        <v>1.67797093188942</v>
      </c>
      <c r="J42" s="151"/>
      <c r="K42" s="151"/>
      <c r="L42" s="151"/>
      <c r="M42" s="151"/>
      <c r="N42" s="151"/>
      <c r="O42" s="151"/>
    </row>
    <row r="43" spans="1:15" s="148" customFormat="1" ht="60" hidden="1" x14ac:dyDescent="0.2">
      <c r="A43" s="142">
        <v>31</v>
      </c>
      <c r="B43" s="13" t="str">
        <f>IF('Kertas Kerja'!A329&gt;0,'Kertas Kerja'!A329,"")</f>
        <v/>
      </c>
      <c r="C43" s="149" t="s">
        <v>894</v>
      </c>
      <c r="D43" s="14" t="str">
        <f>'Kertas Kerja'!L329</f>
        <v>Deskripsi temuan auditor mutu internal tentang indikator yang terkait</v>
      </c>
      <c r="E43" s="14" t="str">
        <f>'Kertas Kerja'!M329</f>
        <v>Rekomendasi auditor mutu internal berkaitan dengan hasil temuan</v>
      </c>
      <c r="F43" s="162" t="str">
        <f>IF(B43="","",'Kertas Kerja'!K333)</f>
        <v/>
      </c>
      <c r="G43" s="145"/>
      <c r="H43" s="146"/>
      <c r="I43" s="7">
        <f t="shared" si="1"/>
        <v>0</v>
      </c>
      <c r="J43" s="151"/>
      <c r="K43" s="151"/>
      <c r="L43" s="151"/>
      <c r="M43" s="151"/>
      <c r="N43" s="151"/>
      <c r="O43" s="151"/>
    </row>
    <row r="44" spans="1:15" s="148" customFormat="1" ht="132" x14ac:dyDescent="0.2">
      <c r="A44" s="142">
        <v>32</v>
      </c>
      <c r="B44" s="13">
        <f>'Kertas Kerja'!A335</f>
        <v>27</v>
      </c>
      <c r="C44" s="154" t="s">
        <v>58</v>
      </c>
      <c r="D44" s="14" t="str">
        <f>'Kertas Kerja'!L335</f>
        <v>Temuan Minor:
(1)
(2)
(3)
dst…
Temuan Mayor:
(1)
(2)
(3)
dst…</v>
      </c>
      <c r="E44" s="14" t="str">
        <f>'Kertas Kerja'!M335</f>
        <v>Rekomendasi berdasarkan temuan AMI, antara lain sebagai berikut:
(1)
(2)
(3)
dst…</v>
      </c>
      <c r="F44" s="162">
        <f>'Kertas Kerja'!K343</f>
        <v>2</v>
      </c>
      <c r="G44" s="145"/>
      <c r="H44" s="146">
        <v>0.83898546594471002</v>
      </c>
      <c r="I44" s="7">
        <f t="shared" si="1"/>
        <v>1.67797093188942</v>
      </c>
      <c r="J44" s="151"/>
      <c r="K44" s="151"/>
      <c r="L44" s="151"/>
      <c r="M44" s="151"/>
      <c r="N44" s="151"/>
      <c r="O44" s="151"/>
    </row>
    <row r="45" spans="1:15" s="148" customFormat="1" ht="132" x14ac:dyDescent="0.2">
      <c r="A45" s="142">
        <v>33</v>
      </c>
      <c r="B45" s="13">
        <f>'Kertas Kerja'!A345</f>
        <v>28</v>
      </c>
      <c r="C45" s="149" t="s">
        <v>59</v>
      </c>
      <c r="D45" s="14" t="str">
        <f>'Kertas Kerja'!L345</f>
        <v>Temuan Minor:
(1)
(2)
(3)
dst…
Temuan Mayor:
(1)
(2)
(3)
dst…</v>
      </c>
      <c r="E45" s="14" t="str">
        <f>'Kertas Kerja'!M345</f>
        <v>Rekomendasi berdasarkan temuan AMI, antara lain sebagai berikut:
(1)
(2)
(3)
dst…</v>
      </c>
      <c r="F45" s="162">
        <f>'Kertas Kerja'!K352</f>
        <v>0</v>
      </c>
      <c r="G45" s="145"/>
      <c r="H45" s="146">
        <v>2.3072100313480002</v>
      </c>
      <c r="I45" s="7">
        <f t="shared" si="1"/>
        <v>0</v>
      </c>
      <c r="J45" s="151"/>
      <c r="K45" s="151"/>
      <c r="L45" s="151"/>
      <c r="M45" s="151"/>
      <c r="N45" s="151"/>
      <c r="O45" s="151"/>
    </row>
    <row r="46" spans="1:15" s="148" customFormat="1" ht="132" x14ac:dyDescent="0.2">
      <c r="A46" s="142">
        <v>34</v>
      </c>
      <c r="B46" s="13">
        <f>'Kertas Kerja'!A354</f>
        <v>29</v>
      </c>
      <c r="C46" s="149" t="s">
        <v>60</v>
      </c>
      <c r="D46" s="14" t="str">
        <f>'Kertas Kerja'!L354</f>
        <v>Temuan Minor:
(1)
(2)
(3)
dst…
Temuan Mayor:
(1)
(2)
(3)
dst…</v>
      </c>
      <c r="E46" s="14" t="str">
        <f>'Kertas Kerja'!M354</f>
        <v>Rekomendasi berdasarkan temuan AMI, antara lain sebagai berikut:
(1)
(2)
(3)
dst…</v>
      </c>
      <c r="F46" s="162">
        <f>'Kertas Kerja'!K366</f>
        <v>0</v>
      </c>
      <c r="G46" s="145"/>
      <c r="H46" s="146">
        <v>1.1536050156740001</v>
      </c>
      <c r="I46" s="7">
        <f t="shared" si="1"/>
        <v>0</v>
      </c>
      <c r="J46" s="151"/>
      <c r="K46" s="151"/>
      <c r="L46" s="151"/>
      <c r="M46" s="151"/>
      <c r="N46" s="151"/>
      <c r="O46" s="151"/>
    </row>
    <row r="47" spans="1:15" s="148" customFormat="1" ht="132" x14ac:dyDescent="0.2">
      <c r="A47" s="142">
        <v>35</v>
      </c>
      <c r="B47" s="13">
        <f>'Kertas Kerja'!A392</f>
        <v>30</v>
      </c>
      <c r="C47" s="149" t="s">
        <v>61</v>
      </c>
      <c r="D47" s="14" t="str">
        <f>'Kertas Kerja'!L392</f>
        <v>Temuan Minor:
(1)
(2)
(3)
dst…
Temuan Mayor:
(1)
(2)
(3)
dst…</v>
      </c>
      <c r="E47" s="14" t="str">
        <f>'Kertas Kerja'!M392</f>
        <v>Rekomendasi berdasarkan temuan AMI, antara lain sebagai berikut:
(1)
(2)
(3)
dst…</v>
      </c>
      <c r="F47" s="162">
        <f>'Kertas Kerja'!K396</f>
        <v>0</v>
      </c>
      <c r="G47" s="145"/>
      <c r="H47" s="146">
        <v>0.79310344827585999</v>
      </c>
      <c r="I47" s="7">
        <f t="shared" si="1"/>
        <v>0</v>
      </c>
      <c r="J47" s="151"/>
      <c r="K47" s="151"/>
      <c r="L47" s="151"/>
      <c r="M47" s="151"/>
      <c r="N47" s="151"/>
      <c r="O47" s="151"/>
    </row>
    <row r="48" spans="1:15" s="148" customFormat="1" ht="132" x14ac:dyDescent="0.2">
      <c r="A48" s="142">
        <v>36</v>
      </c>
      <c r="B48" s="13">
        <f>'Kertas Kerja'!A398</f>
        <v>31</v>
      </c>
      <c r="C48" s="149" t="s">
        <v>62</v>
      </c>
      <c r="D48" s="14" t="str">
        <f>'Kertas Kerja'!L398</f>
        <v>Temuan Minor:
(1)
(2)
(3)
dst…
Temuan Mayor:
(1)
(2)
(3)
dst…</v>
      </c>
      <c r="E48" s="14" t="str">
        <f>'Kertas Kerja'!M398</f>
        <v>Rekomendasi berdasarkan temuan AMI, antara lain sebagai berikut:
(1)
(2)
(3)
dst…</v>
      </c>
      <c r="F48" s="162">
        <f>'Kertas Kerja'!K402</f>
        <v>0</v>
      </c>
      <c r="G48" s="145"/>
      <c r="H48" s="146">
        <v>0.79310344827585999</v>
      </c>
      <c r="I48" s="7">
        <f t="shared" si="1"/>
        <v>0</v>
      </c>
      <c r="J48" s="151"/>
      <c r="K48" s="151"/>
      <c r="L48" s="151"/>
      <c r="M48" s="151"/>
      <c r="N48" s="151"/>
      <c r="O48" s="151"/>
    </row>
    <row r="49" spans="1:15" s="148" customFormat="1" ht="132" x14ac:dyDescent="0.2">
      <c r="A49" s="142">
        <v>37</v>
      </c>
      <c r="B49" s="13">
        <f>'Kertas Kerja'!A404</f>
        <v>32</v>
      </c>
      <c r="C49" s="149" t="s">
        <v>63</v>
      </c>
      <c r="D49" s="14" t="str">
        <f>'Kertas Kerja'!L404</f>
        <v>Temuan Minor:
(1)
(2)
(3)
dst…
Temuan Mayor:
(1)
(2)
(3)
dst…</v>
      </c>
      <c r="E49" s="14" t="str">
        <f>'Kertas Kerja'!M404</f>
        <v>Rekomendasi berdasarkan temuan AMI, antara lain sebagai berikut:
(1)
(2)
(3)
dst…</v>
      </c>
      <c r="F49" s="162">
        <f>'Kertas Kerja'!K408</f>
        <v>0</v>
      </c>
      <c r="G49" s="145"/>
      <c r="H49" s="146">
        <v>0.39655172413793</v>
      </c>
      <c r="I49" s="7">
        <f t="shared" si="1"/>
        <v>0</v>
      </c>
      <c r="J49" s="151"/>
      <c r="K49" s="151"/>
      <c r="L49" s="151"/>
      <c r="M49" s="151"/>
      <c r="N49" s="151"/>
      <c r="O49" s="151"/>
    </row>
    <row r="50" spans="1:15" s="148" customFormat="1" ht="132" x14ac:dyDescent="0.2">
      <c r="A50" s="142">
        <v>38</v>
      </c>
      <c r="B50" s="13">
        <f>'Kertas Kerja'!A410</f>
        <v>33</v>
      </c>
      <c r="C50" s="149" t="s">
        <v>64</v>
      </c>
      <c r="D50" s="14" t="str">
        <f>'Kertas Kerja'!L410</f>
        <v>Temuan Minor:
(1)
(2)
(3)
dst…
Temuan Mayor:
(1)
(2)
(3)
dst…</v>
      </c>
      <c r="E50" s="14" t="str">
        <f>'Kertas Kerja'!M410</f>
        <v>Rekomendasi berdasarkan temuan AMI, antara lain sebagai berikut:
(1)
(2)
(3)
dst…</v>
      </c>
      <c r="F50" s="162">
        <f>'Kertas Kerja'!K417</f>
        <v>0</v>
      </c>
      <c r="G50" s="145"/>
      <c r="H50" s="146">
        <v>0.39655172413793</v>
      </c>
      <c r="I50" s="7">
        <f t="shared" si="1"/>
        <v>0</v>
      </c>
      <c r="J50" s="151"/>
      <c r="K50" s="151"/>
      <c r="L50" s="151"/>
      <c r="M50" s="151"/>
      <c r="N50" s="151"/>
      <c r="O50" s="151"/>
    </row>
    <row r="51" spans="1:15" s="148" customFormat="1" ht="132" x14ac:dyDescent="0.2">
      <c r="A51" s="142">
        <v>39</v>
      </c>
      <c r="B51" s="13">
        <f>'Kertas Kerja'!A419</f>
        <v>34</v>
      </c>
      <c r="C51" s="149" t="s">
        <v>65</v>
      </c>
      <c r="D51" s="14" t="str">
        <f>'Kertas Kerja'!L419</f>
        <v>Temuan Minor:
(1)
(2)
(3)
dst…
Temuan Mayor:
(1)
(2)
(3)
dst…</v>
      </c>
      <c r="E51" s="14" t="str">
        <f>'Kertas Kerja'!M419</f>
        <v>Rekomendasi berdasarkan temuan AMI, antara lain sebagai berikut:
(1)
(2)
(3)
dst…</v>
      </c>
      <c r="F51" s="162">
        <f>'Kertas Kerja'!K425</f>
        <v>0</v>
      </c>
      <c r="G51" s="145"/>
      <c r="H51" s="146">
        <v>0.79310344827585999</v>
      </c>
      <c r="I51" s="7">
        <f t="shared" si="1"/>
        <v>0</v>
      </c>
      <c r="J51" s="151"/>
      <c r="K51" s="151"/>
      <c r="L51" s="151"/>
      <c r="M51" s="151"/>
      <c r="N51" s="151"/>
      <c r="O51" s="151"/>
    </row>
    <row r="52" spans="1:15" s="148" customFormat="1" ht="132" x14ac:dyDescent="0.2">
      <c r="A52" s="142">
        <v>40</v>
      </c>
      <c r="B52" s="13">
        <f>'Kertas Kerja'!A427</f>
        <v>35</v>
      </c>
      <c r="C52" s="149" t="s">
        <v>66</v>
      </c>
      <c r="D52" s="14" t="str">
        <f>'Kertas Kerja'!L427</f>
        <v>Temuan Minor:
(1)
(2)
(3)
dst…
Temuan Mayor:
(1)
(2)
(3)
dst…</v>
      </c>
      <c r="E52" s="14" t="str">
        <f>'Kertas Kerja'!M427</f>
        <v>Rekomendasi berdasarkan temuan AMI, antara lain sebagai berikut:
(1)
(2)
(3)
dst…</v>
      </c>
      <c r="F52" s="162">
        <f>'Kertas Kerja'!K433</f>
        <v>0</v>
      </c>
      <c r="G52" s="145"/>
      <c r="H52" s="146">
        <v>3.1724137931034</v>
      </c>
      <c r="I52" s="7">
        <f t="shared" si="1"/>
        <v>0</v>
      </c>
      <c r="J52" s="151"/>
      <c r="K52" s="151"/>
      <c r="L52" s="151"/>
      <c r="M52" s="151"/>
      <c r="N52" s="151"/>
      <c r="O52" s="151"/>
    </row>
    <row r="53" spans="1:15" s="148" customFormat="1" ht="156" x14ac:dyDescent="0.2">
      <c r="A53" s="142">
        <v>41</v>
      </c>
      <c r="B53" s="13">
        <f>'Kertas Kerja'!A435</f>
        <v>36</v>
      </c>
      <c r="C53" s="149" t="s">
        <v>67</v>
      </c>
      <c r="D53" s="14" t="str">
        <f>'Kertas Kerja'!L435</f>
        <v>Temuan Minor:
(1)
(2)
(3)
dst…
Temuan Mayor:
(1)
(2)
(3)
dst…</v>
      </c>
      <c r="E53" s="14" t="str">
        <f>'Kertas Kerja'!M435</f>
        <v>Rekomendasi berdasarkan temuan AMI, antara lain sebagai berikut:
(1)
(2)
(3)
dst…</v>
      </c>
      <c r="F53" s="162">
        <f>'Kertas Kerja'!K453</f>
        <v>0</v>
      </c>
      <c r="G53" s="145"/>
      <c r="H53" s="146">
        <v>2.1630094043887</v>
      </c>
      <c r="I53" s="7">
        <f t="shared" si="1"/>
        <v>0</v>
      </c>
      <c r="J53" s="152" t="s">
        <v>39</v>
      </c>
      <c r="K53" s="153" t="str">
        <f>IF(F53&gt;=2,"TERPENUHI","TIDAK TERPENUHI")</f>
        <v>TIDAK TERPENUHI</v>
      </c>
      <c r="L53" s="152"/>
      <c r="M53" s="152"/>
      <c r="N53" s="151"/>
      <c r="O53" s="151"/>
    </row>
    <row r="54" spans="1:15" s="148" customFormat="1" ht="132" x14ac:dyDescent="0.2">
      <c r="A54" s="142">
        <v>42</v>
      </c>
      <c r="B54" s="13">
        <f>'Kertas Kerja'!A455</f>
        <v>37</v>
      </c>
      <c r="C54" s="149" t="s">
        <v>68</v>
      </c>
      <c r="D54" s="14" t="str">
        <f>'Kertas Kerja'!L455</f>
        <v>Temuan Minor:
(1)
(2)
(3)
dst…
Temuan Mayor:
(1)
(2)
(3)
dst…</v>
      </c>
      <c r="E54" s="14" t="str">
        <f>'Kertas Kerja'!M455</f>
        <v>Rekomendasi berdasarkan temuan AMI, antara lain sebagai berikut:
(1)
(2)
(3)
dst…</v>
      </c>
      <c r="F54" s="162">
        <f>'Kertas Kerja'!K461</f>
        <v>0</v>
      </c>
      <c r="G54" s="145"/>
      <c r="H54" s="146">
        <v>0.72100313479624001</v>
      </c>
      <c r="I54" s="7">
        <f t="shared" si="1"/>
        <v>0</v>
      </c>
      <c r="J54" s="151"/>
      <c r="K54" s="151"/>
      <c r="L54" s="151"/>
      <c r="M54" s="151"/>
      <c r="N54" s="151"/>
      <c r="O54" s="151"/>
    </row>
    <row r="55" spans="1:15" s="148" customFormat="1" ht="132" x14ac:dyDescent="0.2">
      <c r="A55" s="142">
        <v>43</v>
      </c>
      <c r="B55" s="13">
        <f>'Kertas Kerja'!A463</f>
        <v>38</v>
      </c>
      <c r="C55" s="149" t="s">
        <v>69</v>
      </c>
      <c r="D55" s="14" t="str">
        <f>'Kertas Kerja'!L463</f>
        <v>Temuan Minor:
(1)
(2)
(3)
dst…
Temuan Mayor:
(1)
(2)
(3)
dst…</v>
      </c>
      <c r="E55" s="14" t="str">
        <f>'Kertas Kerja'!M463</f>
        <v>Rekomendasi berdasarkan temuan AMI, antara lain sebagai berikut:
(1)
(2)
(3)
dst…</v>
      </c>
      <c r="F55" s="162">
        <f>'Kertas Kerja'!K475</f>
        <v>0</v>
      </c>
      <c r="G55" s="145"/>
      <c r="H55" s="146">
        <v>1.4420062695925</v>
      </c>
      <c r="I55" s="7">
        <f t="shared" si="1"/>
        <v>0</v>
      </c>
      <c r="J55" s="151"/>
      <c r="K55" s="151"/>
      <c r="L55" s="151"/>
      <c r="M55" s="151"/>
      <c r="N55" s="151"/>
      <c r="O55" s="151"/>
    </row>
    <row r="56" spans="1:15" s="148" customFormat="1" ht="409.5" x14ac:dyDescent="0.2">
      <c r="A56" s="142">
        <v>44</v>
      </c>
      <c r="B56" s="13">
        <f>'Kertas Kerja'!A477</f>
        <v>39</v>
      </c>
      <c r="C56" s="149" t="s">
        <v>70</v>
      </c>
      <c r="D56" s="14" t="str">
        <f>'Kertas Kerja'!L477</f>
        <v>Temuan Minor:
(1)
(2)
(3)
dst…
Temuan Mayor:
(1)
(2)
(3)
dst…</v>
      </c>
      <c r="E56" s="14" t="str">
        <f>'Kertas Kerja'!M477</f>
        <v>Rekomendasi berdasarkan temuan AMI, antara lain sebagai berikut:
(1)
(2)
(3)
dst…</v>
      </c>
      <c r="F56" s="162">
        <f>'Kertas Kerja'!K507</f>
        <v>0</v>
      </c>
      <c r="G56" s="145"/>
      <c r="H56" s="146">
        <v>1.4420062695925</v>
      </c>
      <c r="I56" s="7">
        <f t="shared" si="1"/>
        <v>0</v>
      </c>
      <c r="J56" s="151"/>
      <c r="K56" s="151"/>
      <c r="L56" s="151"/>
      <c r="M56" s="151"/>
      <c r="N56" s="151"/>
      <c r="O56" s="151"/>
    </row>
    <row r="57" spans="1:15" s="148" customFormat="1" ht="60" hidden="1" x14ac:dyDescent="0.2">
      <c r="A57" s="142">
        <v>45</v>
      </c>
      <c r="B57" s="13" t="str">
        <f>IF('Kertas Kerja'!A509&gt;0,'Kertas Kerja'!A509,"")</f>
        <v/>
      </c>
      <c r="C57" s="149" t="s">
        <v>71</v>
      </c>
      <c r="D57" s="14" t="str">
        <f>'Kertas Kerja'!L509</f>
        <v>Deskripsi temuan auditor mutu internal tentang indikator yang terkait</v>
      </c>
      <c r="E57" s="14" t="str">
        <f>'Kertas Kerja'!M509</f>
        <v>Rekomendasi auditor mutu internal berkaitan dengan hasil temuan</v>
      </c>
      <c r="F57" s="162" t="str">
        <f>IF(B57="","",'Kertas Kerja'!K513)</f>
        <v/>
      </c>
      <c r="G57" s="145"/>
      <c r="H57" s="146"/>
      <c r="I57" s="7">
        <f t="shared" si="1"/>
        <v>0</v>
      </c>
      <c r="J57" s="151"/>
      <c r="K57" s="151"/>
      <c r="L57" s="151"/>
      <c r="M57" s="151"/>
      <c r="N57" s="151"/>
      <c r="O57" s="151"/>
    </row>
    <row r="58" spans="1:15" s="148" customFormat="1" ht="132" x14ac:dyDescent="0.2">
      <c r="A58" s="142">
        <v>46</v>
      </c>
      <c r="B58" s="13">
        <f>'Kertas Kerja'!A515</f>
        <v>40</v>
      </c>
      <c r="C58" s="149" t="s">
        <v>72</v>
      </c>
      <c r="D58" s="14" t="str">
        <f>'Kertas Kerja'!L515</f>
        <v>Temuan Minor:
(1)
(2)
(3)
dst…
Temuan Mayor:
(1)
(2)
(3)
dst…</v>
      </c>
      <c r="E58" s="14" t="str">
        <f>'Kertas Kerja'!M515</f>
        <v>Rekomendasi berdasarkan temuan AMI, antara lain sebagai berikut:
(1)
(2)
(3)
dst…</v>
      </c>
      <c r="F58" s="163">
        <f>'Kertas Kerja'!K521</f>
        <v>0</v>
      </c>
      <c r="H58" s="146">
        <v>2.1630094043887</v>
      </c>
      <c r="I58" s="7">
        <f t="shared" si="1"/>
        <v>0</v>
      </c>
      <c r="J58" s="151"/>
      <c r="K58" s="151"/>
      <c r="L58" s="151"/>
      <c r="M58" s="151"/>
      <c r="N58" s="151"/>
      <c r="O58" s="151"/>
    </row>
    <row r="59" spans="1:15" s="148" customFormat="1" ht="409.5" x14ac:dyDescent="0.2">
      <c r="A59" s="142">
        <v>47</v>
      </c>
      <c r="B59" s="13">
        <f>'Kertas Kerja'!A523</f>
        <v>41</v>
      </c>
      <c r="C59" s="149" t="s">
        <v>73</v>
      </c>
      <c r="D59" s="14" t="str">
        <f>'Kertas Kerja'!L523</f>
        <v>Temuan Minor:
(1)
(2)
(3)
dst…
Temuan Mayor:
(1)
(2)
(3)
dst…</v>
      </c>
      <c r="E59" s="14" t="str">
        <f>'Kertas Kerja'!M523</f>
        <v>Rekomendasi berdasarkan temuan AMI, antara lain sebagai berikut:
(1)
(2)
(3)
dst…</v>
      </c>
      <c r="F59" s="161">
        <f>'Kertas Kerja'!K541</f>
        <v>0</v>
      </c>
      <c r="H59" s="146">
        <v>1.4420062695925</v>
      </c>
      <c r="I59" s="7">
        <f t="shared" si="1"/>
        <v>0</v>
      </c>
      <c r="J59" s="151"/>
      <c r="K59" s="151"/>
      <c r="L59" s="151"/>
      <c r="M59" s="151"/>
      <c r="N59" s="151"/>
      <c r="O59" s="151"/>
    </row>
    <row r="60" spans="1:15" s="148" customFormat="1" ht="132" x14ac:dyDescent="0.2">
      <c r="A60" s="142">
        <v>48</v>
      </c>
      <c r="B60" s="13">
        <f>'Kertas Kerja'!A543</f>
        <v>42</v>
      </c>
      <c r="C60" s="149" t="s">
        <v>74</v>
      </c>
      <c r="D60" s="14" t="str">
        <f>'Kertas Kerja'!L543</f>
        <v>Temuan Minor:
(1)
(2)
(3)
dst…
Temuan Mayor:
(1)
(2)
(3)
dst…</v>
      </c>
      <c r="E60" s="14" t="str">
        <f>'Kertas Kerja'!M543</f>
        <v>Rekomendasi berdasarkan temuan AMI, antara lain sebagai berikut:
(1)
(2)
(3)
dst…</v>
      </c>
      <c r="F60" s="163">
        <f>'Kertas Kerja'!K547</f>
        <v>2</v>
      </c>
      <c r="H60" s="146">
        <v>1.4420062695925</v>
      </c>
      <c r="I60" s="7">
        <f t="shared" si="1"/>
        <v>2.884012539185</v>
      </c>
      <c r="J60" s="151"/>
      <c r="K60" s="151"/>
      <c r="L60" s="151"/>
      <c r="M60" s="151"/>
      <c r="N60" s="151"/>
      <c r="O60" s="151"/>
    </row>
    <row r="61" spans="1:15" s="148" customFormat="1" ht="132" x14ac:dyDescent="0.2">
      <c r="A61" s="142">
        <v>49</v>
      </c>
      <c r="B61" s="13">
        <f>'Kertas Kerja'!A549</f>
        <v>43</v>
      </c>
      <c r="C61" s="149" t="s">
        <v>75</v>
      </c>
      <c r="D61" s="14" t="str">
        <f>'Kertas Kerja'!L549</f>
        <v>Temuan Minor:
(1)
(2)
(3)
dst…
Temuan Mayor:
(1)
(2)
(3)
dst…</v>
      </c>
      <c r="E61" s="14" t="str">
        <f>'Kertas Kerja'!M549</f>
        <v>Rekomendasi berdasarkan temuan AMI, antara lain sebagai berikut:
(1)
(2)
(3)
dst…</v>
      </c>
      <c r="F61" s="163">
        <f>'Kertas Kerja'!K555</f>
        <v>0</v>
      </c>
      <c r="H61" s="146">
        <v>2.1630094043887</v>
      </c>
      <c r="I61" s="7">
        <f t="shared" si="1"/>
        <v>0</v>
      </c>
      <c r="J61" s="151"/>
      <c r="K61" s="151"/>
      <c r="L61" s="151"/>
      <c r="M61" s="151"/>
      <c r="N61" s="151"/>
      <c r="O61" s="151"/>
    </row>
    <row r="62" spans="1:15" s="148" customFormat="1" ht="132" x14ac:dyDescent="0.2">
      <c r="A62" s="142">
        <v>50</v>
      </c>
      <c r="B62" s="13">
        <f>'Kertas Kerja'!A557</f>
        <v>44</v>
      </c>
      <c r="C62" s="149" t="s">
        <v>76</v>
      </c>
      <c r="D62" s="15" t="str">
        <f>'Kertas Kerja'!L557</f>
        <v>Temuan Minor:
(1)
(2)
(3)
dst…
Temuan Mayor:
(1)
(2)
(3)
dst…</v>
      </c>
      <c r="E62" s="15" t="str">
        <f>'Kertas Kerja'!M557</f>
        <v>Rekomendasi berdasarkan temuan AMI, antara lain sebagai berikut:
(1)
(2)
(3)
dst…</v>
      </c>
      <c r="F62" s="163">
        <f>'Kertas Kerja'!K567</f>
        <v>0</v>
      </c>
      <c r="H62" s="146">
        <v>2.884012539185</v>
      </c>
      <c r="I62" s="7">
        <f t="shared" si="1"/>
        <v>0</v>
      </c>
      <c r="J62" s="151"/>
      <c r="K62" s="151"/>
      <c r="L62" s="151"/>
      <c r="M62" s="151"/>
      <c r="N62" s="151"/>
      <c r="O62" s="151"/>
    </row>
    <row r="63" spans="1:15" s="148" customFormat="1" ht="240" x14ac:dyDescent="0.2">
      <c r="A63" s="142">
        <v>51</v>
      </c>
      <c r="B63" s="13">
        <f>'Kertas Kerja'!A569</f>
        <v>45</v>
      </c>
      <c r="C63" s="149" t="s">
        <v>77</v>
      </c>
      <c r="D63" s="14" t="str">
        <f>'Kertas Kerja'!L569</f>
        <v>Temuan Minor:
(1)
(2)
(3)
dst…
Temuan Mayor:
(1)
(2)
(3)
dst…</v>
      </c>
      <c r="E63" s="14" t="str">
        <f>'Kertas Kerja'!M569</f>
        <v>Rekomendasi berdasarkan temuan AMI, antara lain sebagai berikut:
(1)
(2)
(3)
dst…</v>
      </c>
      <c r="F63" s="163">
        <f>'Kertas Kerja'!K575</f>
        <v>0</v>
      </c>
      <c r="H63" s="146">
        <v>2.6436781609194999</v>
      </c>
      <c r="I63" s="7">
        <f t="shared" si="1"/>
        <v>0</v>
      </c>
      <c r="J63" s="151"/>
      <c r="K63" s="151"/>
      <c r="L63" s="151"/>
      <c r="M63" s="151"/>
      <c r="N63" s="151"/>
      <c r="O63" s="151"/>
    </row>
    <row r="64" spans="1:15" s="148" customFormat="1" ht="132" x14ac:dyDescent="0.2">
      <c r="A64" s="142">
        <v>52</v>
      </c>
      <c r="B64" s="13">
        <f>'Kertas Kerja'!A593</f>
        <v>46</v>
      </c>
      <c r="C64" s="149" t="s">
        <v>78</v>
      </c>
      <c r="D64" s="14" t="str">
        <f>'Kertas Kerja'!L593</f>
        <v>Temuan Minor:
(1)
(2)
(3)
dst…
Temuan Mayor:
(1)
(2)
(3)
dst…</v>
      </c>
      <c r="E64" s="14" t="str">
        <f>'Kertas Kerja'!M593</f>
        <v>Rekomendasi berdasarkan temuan AMI, antara lain sebagai berikut:
(1)
(2)
(3)
dst…</v>
      </c>
      <c r="F64" s="163">
        <f>'Kertas Kerja'!K595</f>
        <v>2</v>
      </c>
      <c r="H64" s="146">
        <v>2.6436781609194999</v>
      </c>
      <c r="I64" s="7">
        <f t="shared" si="1"/>
        <v>5.2873563218389998</v>
      </c>
      <c r="J64" s="151"/>
      <c r="K64" s="151"/>
      <c r="L64" s="151"/>
      <c r="M64" s="151"/>
      <c r="N64" s="151"/>
      <c r="O64" s="151"/>
    </row>
    <row r="65" spans="1:15" s="148" customFormat="1" ht="132" x14ac:dyDescent="0.2">
      <c r="A65" s="142"/>
      <c r="B65" s="13">
        <f>'Kertas Kerja'!A597</f>
        <v>47</v>
      </c>
      <c r="C65" s="14" t="s">
        <v>921</v>
      </c>
      <c r="D65" s="14" t="str">
        <f>'Kertas Kerja'!L597</f>
        <v>Temuan Minor:
(1)
(2)
(3)
dst…
Temuan Mayor:
(1)
(2)
(3)
dst…</v>
      </c>
      <c r="E65" s="14" t="str">
        <f>'Kertas Kerja'!M597</f>
        <v>Rekomendasi berdasarkan temuan AMI, antara lain sebagai berikut:
(1)
(2)
(3)
dst…</v>
      </c>
      <c r="F65" s="163">
        <f>'Kertas Kerja'!K599</f>
        <v>1</v>
      </c>
      <c r="H65" s="146">
        <v>2.6436781609194999</v>
      </c>
      <c r="I65" s="7">
        <f t="shared" si="1"/>
        <v>2.6436781609194999</v>
      </c>
      <c r="J65" s="151"/>
      <c r="K65" s="151"/>
      <c r="L65" s="151"/>
      <c r="M65" s="151"/>
      <c r="N65" s="151"/>
      <c r="O65" s="151"/>
    </row>
    <row r="66" spans="1:15" s="148" customFormat="1" ht="228" x14ac:dyDescent="0.2">
      <c r="A66" s="142">
        <v>54</v>
      </c>
      <c r="B66" s="13">
        <f>'Kertas Kerja'!A601</f>
        <v>48</v>
      </c>
      <c r="C66" s="149" t="s">
        <v>79</v>
      </c>
      <c r="D66" s="14" t="str">
        <f>'Kertas Kerja'!L601</f>
        <v>Temuan Minor:
(1)
(2)
(3)
dst…
Temuan Mayor:
(1)
(2)
(3)
dst…</v>
      </c>
      <c r="E66" s="14" t="str">
        <f>'Kertas Kerja'!M601</f>
        <v>Rekomendasi berdasarkan temuan AMI, antara lain sebagai berikut:
(1)
(2)
(3)
dst…</v>
      </c>
      <c r="F66" s="163">
        <f>'Kertas Kerja'!K607</f>
        <v>0</v>
      </c>
      <c r="H66" s="146">
        <v>1.5862068965517</v>
      </c>
      <c r="I66" s="7">
        <f t="shared" si="1"/>
        <v>0</v>
      </c>
      <c r="J66" s="151"/>
      <c r="K66" s="151"/>
      <c r="L66" s="151"/>
      <c r="M66" s="151"/>
      <c r="N66" s="151"/>
      <c r="O66" s="151"/>
    </row>
    <row r="67" spans="1:15" s="148" customFormat="1" ht="84" hidden="1" x14ac:dyDescent="0.2">
      <c r="A67" s="142">
        <v>55</v>
      </c>
      <c r="B67" s="13" t="str">
        <f>IF('Kertas Kerja'!A609&gt;0,'Kertas Kerja'!A609,"")</f>
        <v/>
      </c>
      <c r="C67" s="149" t="s">
        <v>80</v>
      </c>
      <c r="D67" s="14" t="str">
        <f>'Kertas Kerja'!L609</f>
        <v>Deskripsi temuan auditor mutu internal tentang indikator yang terkait</v>
      </c>
      <c r="E67" s="14" t="str">
        <f>'Kertas Kerja'!M609</f>
        <v>Rekomendasi auditor mutu internal berkaitan dengan hasil temuan</v>
      </c>
      <c r="F67" s="163" t="str">
        <f>IF(B67="","",'Kertas Kerja'!K611)</f>
        <v/>
      </c>
      <c r="H67" s="146"/>
      <c r="I67" s="7">
        <f t="shared" si="1"/>
        <v>0</v>
      </c>
      <c r="J67" s="151"/>
      <c r="K67" s="151"/>
      <c r="L67" s="151"/>
      <c r="M67" s="151"/>
      <c r="N67" s="151"/>
      <c r="O67" s="151"/>
    </row>
    <row r="68" spans="1:15" s="148" customFormat="1" ht="168" x14ac:dyDescent="0.2">
      <c r="A68" s="142">
        <v>56</v>
      </c>
      <c r="B68" s="13">
        <f>'Kertas Kerja'!A613</f>
        <v>49</v>
      </c>
      <c r="C68" s="149" t="s">
        <v>81</v>
      </c>
      <c r="D68" s="14" t="str">
        <f>'Kertas Kerja'!L613</f>
        <v>Temuan Minor:
(1)
(2)
(3)
dst…
Temuan Mayor:
(1)
(2)
(3)
dst…</v>
      </c>
      <c r="E68" s="14" t="str">
        <f>'Kertas Kerja'!M613</f>
        <v>Rekomendasi berdasarkan temuan AMI, antara lain sebagai berikut:
(1)
(2)
(3)
dst…</v>
      </c>
      <c r="F68" s="163">
        <f>'Kertas Kerja'!K619</f>
        <v>0</v>
      </c>
      <c r="H68" s="146">
        <v>2.1630094043887</v>
      </c>
      <c r="I68" s="7">
        <f t="shared" si="1"/>
        <v>0</v>
      </c>
      <c r="J68" s="151"/>
      <c r="K68" s="151"/>
      <c r="L68" s="151"/>
      <c r="M68" s="151"/>
      <c r="N68" s="151"/>
      <c r="O68" s="151"/>
    </row>
    <row r="69" spans="1:15" s="148" customFormat="1" ht="132" x14ac:dyDescent="0.2">
      <c r="A69" s="142">
        <v>57</v>
      </c>
      <c r="B69" s="13">
        <f>'Kertas Kerja'!A621</f>
        <v>50</v>
      </c>
      <c r="C69" s="149" t="s">
        <v>82</v>
      </c>
      <c r="D69" s="14" t="str">
        <f>'Kertas Kerja'!L621</f>
        <v>Temuan Minor:
(1)
(2)
(3)
dst…
Temuan Mayor:
(1)
(2)
(3)
dst…</v>
      </c>
      <c r="E69" s="14" t="str">
        <f>'Kertas Kerja'!M621</f>
        <v>Rekomendasi berdasarkan temuan AMI, antara lain sebagai berikut:
(1)
(2)
(3)
dst…</v>
      </c>
      <c r="F69" s="163">
        <f>'Kertas Kerja'!K631</f>
        <v>2</v>
      </c>
      <c r="H69" s="146">
        <v>2.1630094043887</v>
      </c>
      <c r="I69" s="7">
        <f t="shared" si="1"/>
        <v>4.3260188087774001</v>
      </c>
      <c r="J69" s="151"/>
      <c r="K69" s="151"/>
      <c r="L69" s="151"/>
      <c r="M69" s="151"/>
      <c r="N69" s="151"/>
      <c r="O69" s="151"/>
    </row>
    <row r="70" spans="1:15" s="148" customFormat="1" ht="132" x14ac:dyDescent="0.2">
      <c r="A70" s="142">
        <v>58</v>
      </c>
      <c r="B70" s="13">
        <f>'Kertas Kerja'!A633</f>
        <v>51</v>
      </c>
      <c r="C70" s="149" t="s">
        <v>83</v>
      </c>
      <c r="D70" s="16" t="str">
        <f>'Kertas Kerja'!L633</f>
        <v>Temuan Minor:
(1)
(2)
(3)
dst…
Temuan Mayor:
(1)
(2)
(3)
dst…</v>
      </c>
      <c r="E70" s="16" t="str">
        <f>'Kertas Kerja'!M633</f>
        <v>Rekomendasi berdasarkan temuan AMI, antara lain sebagai berikut:
(1)
(2)
(3)
dst…</v>
      </c>
      <c r="F70" s="163">
        <f>'Kertas Kerja'!K644</f>
        <v>0</v>
      </c>
      <c r="H70" s="146">
        <v>3.2445141065830998</v>
      </c>
      <c r="I70" s="7">
        <f t="shared" si="1"/>
        <v>0</v>
      </c>
      <c r="J70" s="151"/>
      <c r="K70" s="151"/>
      <c r="L70" s="151"/>
      <c r="M70" s="151"/>
      <c r="N70" s="151"/>
      <c r="O70" s="151"/>
    </row>
    <row r="71" spans="1:15" s="148" customFormat="1" ht="48" hidden="1" x14ac:dyDescent="0.2">
      <c r="A71" s="142">
        <v>59</v>
      </c>
      <c r="B71" s="13" t="str">
        <f>IF('Kertas Kerja'!A646&gt;0,'Kertas Kerja'!A646,"")</f>
        <v/>
      </c>
      <c r="C71" s="149" t="s">
        <v>84</v>
      </c>
      <c r="D71" s="14" t="str">
        <f>'Kertas Kerja'!L646</f>
        <v>Deskripsi temuan auditor mutu internal tentang indikator yang terkait</v>
      </c>
      <c r="E71" s="14" t="str">
        <f>'Kertas Kerja'!M646</f>
        <v>Rekomendasi auditor mutu internal berkaitan dengan hasil temuan</v>
      </c>
      <c r="F71" s="163" t="str">
        <f>IF(B71="","",'Kertas Kerja'!K657)</f>
        <v/>
      </c>
      <c r="H71" s="146"/>
      <c r="I71" s="7">
        <f t="shared" si="1"/>
        <v>0</v>
      </c>
      <c r="J71" s="151"/>
      <c r="K71" s="151"/>
      <c r="L71" s="151"/>
      <c r="M71" s="151"/>
      <c r="N71" s="151"/>
      <c r="O71" s="151"/>
    </row>
    <row r="72" spans="1:15" s="148" customFormat="1" ht="132" x14ac:dyDescent="0.2">
      <c r="A72" s="142">
        <v>60</v>
      </c>
      <c r="B72" s="13">
        <f>'Kertas Kerja'!A659</f>
        <v>52</v>
      </c>
      <c r="C72" s="149" t="s">
        <v>85</v>
      </c>
      <c r="D72" s="14" t="str">
        <f>'Kertas Kerja'!L659</f>
        <v>Temuan Minor:
(1)
(2)
(3)
dst…
Temuan Mayor:
(1)
(2)
(3)
dst…</v>
      </c>
      <c r="E72" s="14" t="str">
        <f>'Kertas Kerja'!M659</f>
        <v>Rekomendasi berdasarkan temuan AMI, antara lain sebagai berikut:
(1)
(2)
(3)
dst…</v>
      </c>
      <c r="F72" s="163">
        <f>'Kertas Kerja'!K669</f>
        <v>0</v>
      </c>
      <c r="H72" s="146">
        <v>2.1630094043887</v>
      </c>
      <c r="I72" s="7">
        <f t="shared" si="1"/>
        <v>0</v>
      </c>
      <c r="J72" s="151"/>
      <c r="K72" s="151"/>
      <c r="L72" s="151"/>
      <c r="M72" s="151"/>
      <c r="N72" s="151"/>
      <c r="O72" s="151"/>
    </row>
    <row r="73" spans="1:15" s="148" customFormat="1" ht="132" x14ac:dyDescent="0.2">
      <c r="A73" s="142">
        <v>61</v>
      </c>
      <c r="B73" s="13">
        <f>'Kertas Kerja'!A671</f>
        <v>53</v>
      </c>
      <c r="C73" s="149" t="s">
        <v>86</v>
      </c>
      <c r="D73" s="14" t="str">
        <f>'Kertas Kerja'!L671</f>
        <v>Temuan Minor:
(1)
(2)
(3)
dst…
Temuan Mayor:
(1)
(2)
(3)
dst…</v>
      </c>
      <c r="E73" s="14" t="str">
        <f>'Kertas Kerja'!M671</f>
        <v>Rekomendasi berdasarkan temuan AMI, antara lain sebagai berikut:
(1)
(2)
(3)
dst…</v>
      </c>
      <c r="F73" s="163">
        <f>'Kertas Kerja'!K679</f>
        <v>1</v>
      </c>
      <c r="H73" s="146">
        <v>2.1630094043887</v>
      </c>
      <c r="I73" s="7">
        <f t="shared" si="1"/>
        <v>2.1630094043887</v>
      </c>
      <c r="J73" s="151"/>
      <c r="K73" s="151"/>
      <c r="L73" s="151"/>
      <c r="M73" s="151"/>
      <c r="N73" s="151"/>
      <c r="O73" s="151"/>
    </row>
    <row r="74" spans="1:15" s="148" customFormat="1" ht="132" x14ac:dyDescent="0.2">
      <c r="A74" s="142">
        <v>62</v>
      </c>
      <c r="B74" s="13">
        <f>'Kertas Kerja'!A681</f>
        <v>54</v>
      </c>
      <c r="C74" s="149" t="s">
        <v>87</v>
      </c>
      <c r="D74" s="14" t="str">
        <f>'Kertas Kerja'!L681</f>
        <v>Temuan Minor:
(1)
(2)
(3)
dst…
Temuan Mayor:
(1)
(2)
(3)
dst…</v>
      </c>
      <c r="E74" s="14" t="str">
        <f>'Kertas Kerja'!M681</f>
        <v>Rekomendasi berdasarkan temuan AMI, antara lain sebagai berikut:
(1)
(2)
(3)
dst…</v>
      </c>
      <c r="F74" s="163">
        <f>'Kertas Kerja'!K689</f>
        <v>0</v>
      </c>
      <c r="H74" s="146">
        <v>2.1630094043887</v>
      </c>
      <c r="I74" s="7">
        <f t="shared" si="1"/>
        <v>0</v>
      </c>
      <c r="J74" s="151"/>
      <c r="K74" s="151"/>
      <c r="L74" s="151"/>
      <c r="M74" s="151"/>
      <c r="N74" s="151"/>
      <c r="O74" s="151"/>
    </row>
    <row r="75" spans="1:15" s="148" customFormat="1" ht="180" x14ac:dyDescent="0.2">
      <c r="A75" s="142">
        <v>63</v>
      </c>
      <c r="B75" s="13">
        <f>'Kertas Kerja'!A691</f>
        <v>55</v>
      </c>
      <c r="C75" s="149" t="s">
        <v>88</v>
      </c>
      <c r="D75" s="14" t="str">
        <f>'Kertas Kerja'!L691</f>
        <v>Temuan Minor:
(1)
(2)
(3)
dst…
Temuan Mayor:
(1)
(2)
(3)
dst…</v>
      </c>
      <c r="E75" s="14" t="str">
        <f>'Kertas Kerja'!M691</f>
        <v>Rekomendasi berdasarkan temuan AMI, antara lain sebagai berikut:
(1)
(2)
(3)
dst…</v>
      </c>
      <c r="F75" s="163">
        <f>'Kertas Kerja'!K697</f>
        <v>0</v>
      </c>
      <c r="H75" s="146">
        <v>3.2445141065830998</v>
      </c>
      <c r="I75" s="7">
        <f t="shared" si="1"/>
        <v>0</v>
      </c>
      <c r="J75" s="151"/>
      <c r="K75" s="151"/>
      <c r="L75" s="151"/>
      <c r="M75" s="151"/>
      <c r="N75" s="151"/>
      <c r="O75" s="151"/>
    </row>
    <row r="76" spans="1:15" s="148" customFormat="1" ht="24" hidden="1" x14ac:dyDescent="0.2">
      <c r="A76" s="142">
        <v>64</v>
      </c>
      <c r="B76" s="13" t="str">
        <f>IF('Kertas Kerja'!A699&gt;0,'Kertas Kerja'!A699,"")</f>
        <v/>
      </c>
      <c r="C76" s="149" t="s">
        <v>89</v>
      </c>
      <c r="D76" s="14" t="str">
        <f>'Kertas Kerja'!L699</f>
        <v>Deskripsi temuan auditor mutu internal tentang indikator yang terkait</v>
      </c>
      <c r="E76" s="14" t="str">
        <f>'Kertas Kerja'!M699</f>
        <v>Rekomendasi auditor mutu internal berkaitan dengan hasil temuan</v>
      </c>
      <c r="F76" s="163" t="str">
        <f>IF(B76="","",'Kertas Kerja'!K726)</f>
        <v/>
      </c>
      <c r="H76" s="146"/>
      <c r="I76" s="7">
        <f t="shared" si="1"/>
        <v>0</v>
      </c>
      <c r="J76" s="152"/>
      <c r="K76" s="152"/>
      <c r="L76" s="152"/>
      <c r="M76" s="153"/>
      <c r="N76" s="152"/>
      <c r="O76" s="153"/>
    </row>
    <row r="77" spans="1:15" s="148" customFormat="1" ht="132" x14ac:dyDescent="0.2">
      <c r="A77" s="142">
        <v>65</v>
      </c>
      <c r="B77" s="13">
        <f>'Kertas Kerja'!A728</f>
        <v>56</v>
      </c>
      <c r="C77" s="149" t="s">
        <v>90</v>
      </c>
      <c r="D77" s="14" t="str">
        <f>'Kertas Kerja'!L728</f>
        <v>Temuan Minor:
(1)
(2)
(3)
dst…
Temuan Mayor:
(1)
(2)
(3)
dst…</v>
      </c>
      <c r="E77" s="14" t="str">
        <f>'Kertas Kerja'!M728</f>
        <v>Rekomendasi berdasarkan temuan AMI, antara lain sebagai berikut:
(1)
(2)
(3)
dst…</v>
      </c>
      <c r="F77" s="163">
        <f>'Kertas Kerja'!K753</f>
        <v>0</v>
      </c>
      <c r="H77" s="146">
        <v>3.2445141065830998</v>
      </c>
      <c r="I77" s="7">
        <f t="shared" si="1"/>
        <v>0</v>
      </c>
      <c r="J77" s="152"/>
      <c r="K77" s="152"/>
      <c r="L77" s="152"/>
      <c r="M77" s="153"/>
      <c r="N77" s="152"/>
      <c r="O77" s="153"/>
    </row>
    <row r="78" spans="1:15" s="148" customFormat="1" ht="36" hidden="1" x14ac:dyDescent="0.2">
      <c r="A78" s="142">
        <v>66</v>
      </c>
      <c r="B78" s="13" t="str">
        <f>IF('Kertas Kerja'!A755&gt;0,'Kertas Kerja'!A755,"")</f>
        <v/>
      </c>
      <c r="C78" s="149" t="s">
        <v>91</v>
      </c>
      <c r="D78" s="14" t="str">
        <f>'Kertas Kerja'!L755</f>
        <v>Deskripsi temuan auditor mutu internal tentang indikator yang terkait</v>
      </c>
      <c r="E78" s="14" t="str">
        <f>'Kertas Kerja'!M755</f>
        <v>Rekomendasi auditor mutu internal berkaitan dengan hasil temuan</v>
      </c>
      <c r="F78" s="163" t="str">
        <f>IF(B78="","",'Kertas Kerja'!K786)</f>
        <v/>
      </c>
      <c r="H78" s="146"/>
      <c r="I78" s="7">
        <f t="shared" si="1"/>
        <v>0</v>
      </c>
      <c r="J78" s="151"/>
      <c r="K78" s="151"/>
      <c r="L78" s="151"/>
      <c r="M78" s="151"/>
      <c r="N78" s="151"/>
      <c r="O78" s="151"/>
    </row>
    <row r="79" spans="1:15" s="148" customFormat="1" ht="132" x14ac:dyDescent="0.2">
      <c r="A79" s="142">
        <v>67</v>
      </c>
      <c r="B79" s="13">
        <f>'Kertas Kerja'!A788</f>
        <v>57</v>
      </c>
      <c r="C79" s="149" t="s">
        <v>92</v>
      </c>
      <c r="D79" s="14" t="str">
        <f>'Kertas Kerja'!L788</f>
        <v>Temuan Minor:
(1)
(2)
(3)
dst…
Temuan Mayor:
(1)
(2)
(3)
dst…</v>
      </c>
      <c r="E79" s="14" t="str">
        <f>'Kertas Kerja'!M788</f>
        <v>Rekomendasi berdasarkan temuan AMI, antara lain sebagai berikut:
(1)
(2)
(3)
dst…</v>
      </c>
      <c r="F79" s="163">
        <f>'Kertas Kerja'!K834</f>
        <v>0</v>
      </c>
      <c r="H79" s="146">
        <v>3.2445141065830998</v>
      </c>
      <c r="I79" s="7">
        <f t="shared" si="1"/>
        <v>0</v>
      </c>
      <c r="J79" s="151"/>
      <c r="K79" s="151"/>
      <c r="L79" s="151"/>
      <c r="M79" s="151"/>
      <c r="N79" s="151"/>
      <c r="O79" s="151"/>
    </row>
    <row r="80" spans="1:15" s="148" customFormat="1" ht="132" x14ac:dyDescent="0.2">
      <c r="A80" s="142">
        <v>68</v>
      </c>
      <c r="B80" s="13">
        <f>'Kertas Kerja'!A836</f>
        <v>58</v>
      </c>
      <c r="C80" s="149" t="s">
        <v>895</v>
      </c>
      <c r="D80" s="14" t="str">
        <f>'Kertas Kerja'!L836</f>
        <v>Temuan Minor:
(1)
(2)
(3)
dst…
Temuan Mayor:
(1)
(2)
(3)
dst…</v>
      </c>
      <c r="E80" s="14" t="str">
        <f>'Kertas Kerja'!M836</f>
        <v>Rekomendasi berdasarkan temuan AMI, antara lain sebagai berikut:
(1)
(2)
(3)
dst…</v>
      </c>
      <c r="F80" s="163">
        <f>'Kertas Kerja'!K859</f>
        <v>0</v>
      </c>
      <c r="H80" s="146">
        <v>4.5320197044335</v>
      </c>
      <c r="I80" s="7">
        <f t="shared" si="1"/>
        <v>0</v>
      </c>
      <c r="J80" s="151"/>
      <c r="K80" s="151"/>
      <c r="L80" s="152" t="s">
        <v>47</v>
      </c>
      <c r="M80" s="153" t="str">
        <f>IF(F80&gt;=3,"TERPENUHI","TIDAK TERPENUHI")</f>
        <v>TIDAK TERPENUHI</v>
      </c>
      <c r="N80" s="152" t="s">
        <v>976</v>
      </c>
      <c r="O80" s="153" t="str">
        <f>IF(F80&gt;=2.5,"TERPENUHI","TIDAK TERPENUHI")</f>
        <v>TIDAK TERPENUHI</v>
      </c>
    </row>
    <row r="81" spans="1:15" s="148" customFormat="1" ht="132" x14ac:dyDescent="0.2">
      <c r="A81" s="142"/>
      <c r="B81" s="13">
        <f>'Kertas Kerja'!A861</f>
        <v>59</v>
      </c>
      <c r="C81" s="14" t="s">
        <v>922</v>
      </c>
      <c r="D81" s="14" t="str">
        <f>'Kertas Kerja'!L861</f>
        <v>Temuan Minor:
(1)
(2)
(3)
dst…
Temuan Mayor:
(1)
(2)
(3)
dst…</v>
      </c>
      <c r="E81" s="14" t="str">
        <f>'Kertas Kerja'!M861</f>
        <v>Rekomendasi berdasarkan temuan AMI, antara lain sebagai berikut:
(1)
(2)
(3)
dst…</v>
      </c>
      <c r="F81" s="163">
        <f>'Kertas Kerja'!K863</f>
        <v>2</v>
      </c>
      <c r="H81" s="146">
        <v>2.2660098522166998</v>
      </c>
      <c r="I81" s="7">
        <f t="shared" si="1"/>
        <v>4.5320197044333996</v>
      </c>
      <c r="J81" s="151"/>
      <c r="K81" s="151"/>
      <c r="L81" s="151"/>
      <c r="M81" s="151"/>
      <c r="N81" s="151"/>
      <c r="O81" s="151"/>
    </row>
    <row r="82" spans="1:15" s="148" customFormat="1" ht="84" hidden="1" x14ac:dyDescent="0.2">
      <c r="A82" s="142">
        <v>69</v>
      </c>
      <c r="B82" s="13" t="str">
        <f>IF('Kertas Kerja'!A865&gt;0,'Kertas Kerja'!A865,"")</f>
        <v/>
      </c>
      <c r="C82" s="149" t="s">
        <v>896</v>
      </c>
      <c r="D82" s="14" t="str">
        <f>'Kertas Kerja'!L865</f>
        <v>Deskripsi temuan auditor mutu internal tentang indikator yang terkait</v>
      </c>
      <c r="E82" s="14" t="str">
        <f>'Kertas Kerja'!M865</f>
        <v>Rekomendasi auditor mutu internal berkaitan dengan hasil temuan</v>
      </c>
      <c r="F82" s="163" t="str">
        <f>IF(B82="","",'Kertas Kerja'!K867)</f>
        <v/>
      </c>
      <c r="H82" s="146"/>
      <c r="I82" s="7">
        <f t="shared" si="1"/>
        <v>0</v>
      </c>
      <c r="J82" s="151"/>
      <c r="K82" s="151"/>
      <c r="L82" s="151"/>
      <c r="M82" s="151"/>
      <c r="N82" s="151"/>
      <c r="O82" s="151"/>
    </row>
    <row r="83" spans="1:15" s="148" customFormat="1" ht="132" x14ac:dyDescent="0.2">
      <c r="A83" s="142">
        <v>71</v>
      </c>
      <c r="B83" s="13">
        <f>'Kertas Kerja'!A869</f>
        <v>60</v>
      </c>
      <c r="C83" s="149" t="s">
        <v>93</v>
      </c>
      <c r="D83" s="14" t="str">
        <f>'Kertas Kerja'!L869</f>
        <v>Temuan Minor:
(1)
(2)
(3)
dst…
Temuan Mayor:
(1)
(2)
(3)
dst…</v>
      </c>
      <c r="E83" s="14" t="str">
        <f>'Kertas Kerja'!M869</f>
        <v>Rekomendasi berdasarkan temuan AMI, antara lain sebagai berikut:
(1)
(2)
(3)
dst…</v>
      </c>
      <c r="F83" s="163">
        <f>'Kertas Kerja'!K876</f>
        <v>2</v>
      </c>
      <c r="H83" s="146">
        <v>1.1330049261084001</v>
      </c>
      <c r="I83" s="7">
        <f t="shared" si="1"/>
        <v>2.2660098522168002</v>
      </c>
      <c r="J83" s="151"/>
      <c r="K83" s="151"/>
      <c r="L83" s="151"/>
      <c r="M83" s="151"/>
      <c r="N83" s="151"/>
      <c r="O83" s="151"/>
    </row>
    <row r="84" spans="1:15" s="148" customFormat="1" ht="132" x14ac:dyDescent="0.2">
      <c r="A84" s="142">
        <v>72</v>
      </c>
      <c r="B84" s="13">
        <f>'Kertas Kerja'!A878</f>
        <v>61</v>
      </c>
      <c r="C84" s="155" t="s">
        <v>94</v>
      </c>
      <c r="D84" s="14" t="str">
        <f>'Kertas Kerja'!L878</f>
        <v>Temuan Minor:
(1)
(2)
(3)
dst…
Temuan Mayor:
(1)
(2)
(3)
dst…</v>
      </c>
      <c r="E84" s="14" t="str">
        <f>'Kertas Kerja'!M878</f>
        <v>Rekomendasi berdasarkan temuan AMI, antara lain sebagai berikut:
(1)
(2)
(3)
dst…</v>
      </c>
      <c r="F84" s="163">
        <f>'Kertas Kerja'!K884</f>
        <v>0</v>
      </c>
      <c r="H84" s="146">
        <v>1.5</v>
      </c>
      <c r="I84" s="7">
        <f t="shared" si="1"/>
        <v>0</v>
      </c>
      <c r="J84" s="151"/>
      <c r="K84" s="151"/>
      <c r="L84" s="151"/>
      <c r="M84" s="151"/>
      <c r="N84" s="151"/>
      <c r="O84" s="151"/>
    </row>
    <row r="85" spans="1:15" s="148" customFormat="1" ht="132" x14ac:dyDescent="0.2">
      <c r="A85" s="142">
        <v>73</v>
      </c>
      <c r="B85" s="13">
        <f>'Kertas Kerja'!A886</f>
        <v>62</v>
      </c>
      <c r="C85" s="155" t="s">
        <v>95</v>
      </c>
      <c r="D85" s="14" t="str">
        <f>'Kertas Kerja'!L886</f>
        <v>Temuan Minor:
(1)
(2)
(3)
dst…
Temuan Mayor:
(1)
(2)
(3)
dst…</v>
      </c>
      <c r="E85" s="14" t="str">
        <f>'Kertas Kerja'!M886</f>
        <v>Rekomendasi berdasarkan temuan AMI, antara lain sebagai berikut:
(1)
(2)
(3)
dst…</v>
      </c>
      <c r="F85" s="163">
        <f>'Kertas Kerja'!K892</f>
        <v>0</v>
      </c>
      <c r="H85" s="146">
        <v>2</v>
      </c>
      <c r="I85" s="7">
        <f t="shared" si="1"/>
        <v>0</v>
      </c>
      <c r="J85" s="151"/>
      <c r="K85" s="151"/>
      <c r="L85" s="151"/>
      <c r="M85" s="151"/>
      <c r="N85" s="151"/>
      <c r="O85" s="151"/>
    </row>
    <row r="86" spans="1:15" s="148" customFormat="1" ht="132" x14ac:dyDescent="0.2">
      <c r="A86" s="142">
        <v>74</v>
      </c>
      <c r="B86" s="13">
        <f>'Kertas Kerja'!A894</f>
        <v>63</v>
      </c>
      <c r="C86" s="155" t="s">
        <v>96</v>
      </c>
      <c r="D86" s="14" t="str">
        <f>'Kertas Kerja'!L894</f>
        <v>Temuan Minor:
(1)
(2)
(3)
dst…
Temuan Mayor:
(1)
(2)
(3)
dst…</v>
      </c>
      <c r="E86" s="14" t="str">
        <f>'Kertas Kerja'!M894</f>
        <v>Rekomendasi berdasarkan temuan AMI, antara lain sebagai berikut:
(1)
(2)
(3)
dst…</v>
      </c>
      <c r="F86" s="163">
        <f>'Kertas Kerja'!K900</f>
        <v>0</v>
      </c>
      <c r="H86" s="146">
        <v>1.5</v>
      </c>
      <c r="I86" s="7">
        <f t="shared" si="1"/>
        <v>0</v>
      </c>
      <c r="J86" s="151"/>
      <c r="K86" s="151"/>
      <c r="L86" s="151"/>
      <c r="M86" s="151"/>
      <c r="N86" s="151"/>
      <c r="O86" s="151"/>
    </row>
    <row r="87" spans="1:15" s="148" customFormat="1" ht="132" x14ac:dyDescent="0.2">
      <c r="A87" s="142">
        <v>75</v>
      </c>
      <c r="B87" s="13">
        <f>'Kertas Kerja'!A902</f>
        <v>64</v>
      </c>
      <c r="C87" s="156" t="s">
        <v>97</v>
      </c>
      <c r="D87" s="14" t="str">
        <f>'Kertas Kerja'!L902</f>
        <v>Temuan Minor:
(1)
(2)
(3)
dst…
Temuan Mayor:
(1)
(2)
(3)
dst…</v>
      </c>
      <c r="E87" s="14" t="str">
        <f>'Kertas Kerja'!M902</f>
        <v>Rekomendasi berdasarkan temuan AMI, antara lain sebagai berikut:
(1)
(2)
(3)
dst…</v>
      </c>
      <c r="F87" s="163">
        <f>'Kertas Kerja'!K908</f>
        <v>0</v>
      </c>
      <c r="H87" s="146">
        <v>1</v>
      </c>
      <c r="I87" s="7">
        <f t="shared" si="1"/>
        <v>0</v>
      </c>
      <c r="J87" s="151"/>
      <c r="K87" s="151"/>
      <c r="L87" s="151"/>
      <c r="M87" s="151"/>
      <c r="N87" s="151"/>
      <c r="O87" s="151"/>
    </row>
    <row r="88" spans="1:15" s="27" customFormat="1" ht="15" x14ac:dyDescent="0.25">
      <c r="A88" s="6"/>
      <c r="B88" s="6"/>
      <c r="C88" s="1"/>
      <c r="D88" s="8"/>
      <c r="E88" s="8"/>
      <c r="F88" s="2"/>
      <c r="J88" s="1"/>
      <c r="K88" s="1"/>
      <c r="L88" s="1"/>
    </row>
    <row r="89" spans="1:15" s="27" customFormat="1" ht="15" x14ac:dyDescent="0.25">
      <c r="A89" s="6"/>
      <c r="B89" s="6"/>
      <c r="C89" s="1"/>
      <c r="D89" s="9" t="str">
        <f>TEXT(D10,"dd mmmm yyyy")</f>
        <v>00 January 1900</v>
      </c>
      <c r="E89" s="8"/>
      <c r="F89" s="2"/>
      <c r="J89" s="1"/>
      <c r="K89" s="1"/>
      <c r="L89" s="1"/>
    </row>
    <row r="90" spans="1:15" s="27" customFormat="1" ht="15" x14ac:dyDescent="0.25">
      <c r="A90" s="6"/>
      <c r="B90" s="6"/>
      <c r="C90" s="1"/>
      <c r="D90" s="8"/>
      <c r="E90" s="8"/>
      <c r="F90" s="2"/>
      <c r="J90" s="1"/>
      <c r="K90" s="1"/>
      <c r="L90" s="1"/>
    </row>
    <row r="91" spans="1:15" s="27" customFormat="1" ht="15" x14ac:dyDescent="0.25">
      <c r="A91" s="6"/>
      <c r="B91" s="6"/>
      <c r="C91" s="1"/>
      <c r="D91" s="8"/>
      <c r="E91" s="8"/>
      <c r="F91" s="2"/>
      <c r="J91" s="1"/>
      <c r="K91" s="1"/>
      <c r="L91" s="1"/>
    </row>
    <row r="92" spans="1:15" s="27" customFormat="1" ht="15" x14ac:dyDescent="0.25">
      <c r="A92" s="6"/>
      <c r="B92" s="6"/>
      <c r="C92" s="1"/>
      <c r="D92" s="4"/>
      <c r="E92" s="4"/>
      <c r="F92" s="2"/>
      <c r="J92" s="1"/>
      <c r="K92" s="1"/>
      <c r="L92" s="1"/>
    </row>
    <row r="93" spans="1:15" s="27" customFormat="1" ht="15" x14ac:dyDescent="0.25">
      <c r="A93" s="6"/>
      <c r="B93" s="533" t="s">
        <v>98</v>
      </c>
      <c r="C93" s="533"/>
      <c r="D93" s="26"/>
      <c r="E93" s="26" t="s">
        <v>98</v>
      </c>
      <c r="F93" s="2"/>
      <c r="J93" s="1"/>
      <c r="K93" s="1"/>
      <c r="L93" s="1"/>
    </row>
    <row r="94" spans="1:15" s="27" customFormat="1" ht="15" x14ac:dyDescent="0.25">
      <c r="A94" s="6"/>
      <c r="B94" s="528"/>
      <c r="C94" s="528"/>
      <c r="D94" s="9"/>
      <c r="E94" s="9"/>
      <c r="F94" s="2"/>
      <c r="J94" s="1"/>
      <c r="K94" s="1"/>
      <c r="L94" s="1"/>
    </row>
    <row r="95" spans="1:15" s="27" customFormat="1" ht="15" x14ac:dyDescent="0.25">
      <c r="A95" s="6"/>
      <c r="B95" s="9"/>
      <c r="C95" s="9"/>
      <c r="D95" s="9"/>
      <c r="E95" s="9"/>
      <c r="F95" s="2"/>
      <c r="J95" s="1"/>
      <c r="K95" s="1"/>
      <c r="L95" s="1"/>
    </row>
    <row r="96" spans="1:15" s="27" customFormat="1" ht="15" x14ac:dyDescent="0.25">
      <c r="A96" s="6"/>
      <c r="B96" s="528"/>
      <c r="C96" s="528"/>
      <c r="D96" s="9"/>
      <c r="E96" s="9"/>
      <c r="F96" s="2"/>
      <c r="J96" s="1"/>
      <c r="K96" s="1"/>
      <c r="L96" s="1"/>
    </row>
    <row r="97" spans="1:12" s="27" customFormat="1" ht="15" x14ac:dyDescent="0.25">
      <c r="A97" s="6"/>
      <c r="B97" s="533" t="str">
        <f>"( "&amp;D8&amp;" )"</f>
        <v>(  )</v>
      </c>
      <c r="C97" s="533"/>
      <c r="D97" s="26"/>
      <c r="E97" s="26" t="str">
        <f>"( "&amp;D9&amp;" )"</f>
        <v>(  )</v>
      </c>
      <c r="F97" s="2"/>
      <c r="J97" s="1"/>
      <c r="K97" s="1"/>
      <c r="L97" s="1"/>
    </row>
  </sheetData>
  <sheetProtection algorithmName="SHA-512" hashValue="pUekyFAwu8djvN+sQcNXskGxj2hraMImr4EanbqoUjjVbPPklCUa6HFnUrnpNyEV5bncGS1tg5RMtI3jnc1Lmg==" saltValue="+aL/Lj0cEsmBXayfg5ueLw==" spinCount="100000" sheet="1" objects="1" scenarios="1" formatCells="0" formatColumns="0" formatRows="0"/>
  <mergeCells count="23">
    <mergeCell ref="B97:C97"/>
    <mergeCell ref="J12:K12"/>
    <mergeCell ref="B8:C8"/>
    <mergeCell ref="B7:C7"/>
    <mergeCell ref="B93:C93"/>
    <mergeCell ref="B94:C94"/>
    <mergeCell ref="L8:O8"/>
    <mergeCell ref="L9:O9"/>
    <mergeCell ref="B96:C96"/>
    <mergeCell ref="O5:P6"/>
    <mergeCell ref="L12:M12"/>
    <mergeCell ref="N12:O12"/>
    <mergeCell ref="L10:O10"/>
    <mergeCell ref="Q5:R6"/>
    <mergeCell ref="B1:F1"/>
    <mergeCell ref="H1:L1"/>
    <mergeCell ref="B2:F2"/>
    <mergeCell ref="H2:L2"/>
    <mergeCell ref="B3:F3"/>
    <mergeCell ref="H3:L3"/>
    <mergeCell ref="B5:F5"/>
    <mergeCell ref="H5:J6"/>
    <mergeCell ref="L5:M6"/>
  </mergeCells>
  <conditionalFormatting sqref="C24:C30 C42 C45:C47 C49:C64 C68:C71 C73:C79 C32:C36 C13:C21 C38:C39 C83:C87 C66">
    <cfRule type="cellIs" dxfId="102" priority="56" operator="equal">
      <formula>"Tidak dinilai"</formula>
    </cfRule>
  </conditionalFormatting>
  <conditionalFormatting sqref="C49">
    <cfRule type="cellIs" dxfId="101" priority="55" operator="equal">
      <formula>"Tidak dinilai"</formula>
    </cfRule>
  </conditionalFormatting>
  <conditionalFormatting sqref="C67">
    <cfRule type="cellIs" dxfId="100" priority="54" operator="equal">
      <formula>"Tidak dinilai"</formula>
    </cfRule>
  </conditionalFormatting>
  <conditionalFormatting sqref="C41">
    <cfRule type="cellIs" dxfId="99" priority="53" operator="equal">
      <formula>"Tidak dinilai"</formula>
    </cfRule>
  </conditionalFormatting>
  <conditionalFormatting sqref="C44">
    <cfRule type="cellIs" dxfId="98" priority="52" operator="equal">
      <formula>"Tidak dinilai"</formula>
    </cfRule>
  </conditionalFormatting>
  <conditionalFormatting sqref="C48">
    <cfRule type="cellIs" dxfId="97" priority="51" operator="equal">
      <formula>"Tidak dinilai"</formula>
    </cfRule>
  </conditionalFormatting>
  <conditionalFormatting sqref="C40">
    <cfRule type="cellIs" dxfId="96" priority="50" operator="equal">
      <formula>"Tidak dinilai"</formula>
    </cfRule>
  </conditionalFormatting>
  <conditionalFormatting sqref="L8">
    <cfRule type="containsText" dxfId="95" priority="45" operator="containsText" text="TIDAK TERPENUHI">
      <formula>NOT(ISERROR(SEARCH("TIDAK TERPENUHI",L8)))</formula>
    </cfRule>
    <cfRule type="containsText" dxfId="94" priority="46" operator="containsText" text="TERPENUHI">
      <formula>NOT(ISERROR(SEARCH("TERPENUHI",L8)))</formula>
    </cfRule>
  </conditionalFormatting>
  <conditionalFormatting sqref="L9:L10">
    <cfRule type="containsText" dxfId="93" priority="43" operator="containsText" text="TIDAK TERPENUHI">
      <formula>NOT(ISERROR(SEARCH("TIDAK TERPENUHI",L9)))</formula>
    </cfRule>
    <cfRule type="containsText" dxfId="92" priority="44" operator="containsText" text="TERPENUHI">
      <formula>NOT(ISERROR(SEARCH("TERPENUHI",L9)))</formula>
    </cfRule>
  </conditionalFormatting>
  <conditionalFormatting sqref="C37">
    <cfRule type="cellIs" dxfId="91" priority="26" operator="equal">
      <formula>"Tidak dinilai"</formula>
    </cfRule>
  </conditionalFormatting>
  <conditionalFormatting sqref="C43">
    <cfRule type="cellIs" dxfId="90" priority="25" operator="equal">
      <formula>"Tidak dinilai"</formula>
    </cfRule>
  </conditionalFormatting>
  <conditionalFormatting sqref="H13:H87">
    <cfRule type="cellIs" dxfId="89" priority="24" operator="equal">
      <formula>"Tidak dinilai"</formula>
    </cfRule>
  </conditionalFormatting>
  <conditionalFormatting sqref="K24">
    <cfRule type="containsText" dxfId="88" priority="6" operator="containsText" text="TIDAK TERPENUHI">
      <formula>NOT(ISERROR(SEARCH("TIDAK TERPENUHI",K24)))</formula>
    </cfRule>
  </conditionalFormatting>
  <conditionalFormatting sqref="K24">
    <cfRule type="containsText" dxfId="87" priority="7" operator="containsText" text="TERPENUHI">
      <formula>NOT(ISERROR(SEARCH("TERPENUHI",K24)))</formula>
    </cfRule>
  </conditionalFormatting>
  <conditionalFormatting sqref="M76:M77">
    <cfRule type="containsText" dxfId="86" priority="8" operator="containsText" text="TIDAK TERPENUHI">
      <formula>NOT(ISERROR(SEARCH("TIDAK TERPENUHI",M76:M77)))</formula>
    </cfRule>
  </conditionalFormatting>
  <conditionalFormatting sqref="M76:M77">
    <cfRule type="containsText" dxfId="85" priority="9" operator="containsText" text="TERPENUHI">
      <formula>NOT(ISERROR(SEARCH("TERPENUHI",M76:M77)))</formula>
    </cfRule>
  </conditionalFormatting>
  <conditionalFormatting sqref="O76:O77">
    <cfRule type="containsText" dxfId="84" priority="10" operator="containsText" text="TIDAK TERPENUHI">
      <formula>NOT(ISERROR(SEARCH("TIDAK TERPENUHI",O76:O77)))</formula>
    </cfRule>
  </conditionalFormatting>
  <conditionalFormatting sqref="O76:O77">
    <cfRule type="containsText" dxfId="83" priority="11" operator="containsText" text="TERPENUHI">
      <formula>NOT(ISERROR(SEARCH("TERPENUHI",O76:O77)))</formula>
    </cfRule>
  </conditionalFormatting>
  <conditionalFormatting sqref="K29">
    <cfRule type="containsText" dxfId="82" priority="12" operator="containsText" text="TIDAK TERPENUHI">
      <formula>NOT(ISERROR(SEARCH("TIDAK TERPENUHI",K29)))</formula>
    </cfRule>
  </conditionalFormatting>
  <conditionalFormatting sqref="K29">
    <cfRule type="containsText" dxfId="81" priority="13" operator="containsText" text="TERPENUHI">
      <formula>NOT(ISERROR(SEARCH("TERPENUHI",K29)))</formula>
    </cfRule>
  </conditionalFormatting>
  <conditionalFormatting sqref="M32">
    <cfRule type="containsText" dxfId="80" priority="14" operator="containsText" text="TIDAK TERPENUHI">
      <formula>NOT(ISERROR(SEARCH("TIDAK TERPENUHI",M32)))</formula>
    </cfRule>
  </conditionalFormatting>
  <conditionalFormatting sqref="M32">
    <cfRule type="containsText" dxfId="79" priority="15" operator="containsText" text="TERPENUHI">
      <formula>NOT(ISERROR(SEARCH("TERPENUHI",M32)))</formula>
    </cfRule>
  </conditionalFormatting>
  <conditionalFormatting sqref="O32">
    <cfRule type="containsText" dxfId="78" priority="16" operator="containsText" text="TIDAK TERPENUHI">
      <formula>NOT(ISERROR(SEARCH("TIDAK TERPENUHI",O32)))</formula>
    </cfRule>
  </conditionalFormatting>
  <conditionalFormatting sqref="O32">
    <cfRule type="containsText" dxfId="77" priority="17" operator="containsText" text="TERPENUHI">
      <formula>NOT(ISERROR(SEARCH("TERPENUHI",O32)))</formula>
    </cfRule>
  </conditionalFormatting>
  <conditionalFormatting sqref="K53">
    <cfRule type="containsText" dxfId="76" priority="18" operator="containsText" text="TIDAK TERPENUHI">
      <formula>NOT(ISERROR(SEARCH("TIDAK TERPENUHI",K53)))</formula>
    </cfRule>
  </conditionalFormatting>
  <conditionalFormatting sqref="K53">
    <cfRule type="containsText" dxfId="75" priority="19" operator="containsText" text="TERPENUHI">
      <formula>NOT(ISERROR(SEARCH("TERPENUHI",K53)))</formula>
    </cfRule>
  </conditionalFormatting>
  <conditionalFormatting sqref="M80">
    <cfRule type="containsText" dxfId="74" priority="20" operator="containsText" text="TIDAK TERPENUHI">
      <formula>NOT(ISERROR(SEARCH("TIDAK TERPENUHI",M80)))</formula>
    </cfRule>
  </conditionalFormatting>
  <conditionalFormatting sqref="M80">
    <cfRule type="containsText" dxfId="73" priority="21" operator="containsText" text="TERPENUHI">
      <formula>NOT(ISERROR(SEARCH("TERPENUHI",M80)))</formula>
    </cfRule>
  </conditionalFormatting>
  <conditionalFormatting sqref="O80">
    <cfRule type="containsText" dxfId="72" priority="22" operator="containsText" text="TIDAK TERPENUHI">
      <formula>NOT(ISERROR(SEARCH("TIDAK TERPENUHI",O80)))</formula>
    </cfRule>
  </conditionalFormatting>
  <conditionalFormatting sqref="O80">
    <cfRule type="containsText" dxfId="71" priority="23" operator="containsText" text="TERPENUHI">
      <formula>NOT(ISERROR(SEARCH("TERPENUHI",O80)))</formula>
    </cfRule>
  </conditionalFormatting>
  <conditionalFormatting sqref="B13:B53 B87">
    <cfRule type="cellIs" dxfId="70" priority="5" operator="lessThanOrEqual">
      <formula>0</formula>
    </cfRule>
  </conditionalFormatting>
  <conditionalFormatting sqref="B54:B86">
    <cfRule type="cellIs" dxfId="69" priority="4" operator="lessThanOrEqual">
      <formula>0</formula>
    </cfRule>
  </conditionalFormatting>
  <conditionalFormatting sqref="B13:B87">
    <cfRule type="containsBlanks" dxfId="68" priority="1">
      <formula>LEN(TRIM(B13))=0</formula>
    </cfRule>
  </conditionalFormatting>
  <printOptions horizontalCentered="1"/>
  <pageMargins left="0.51181102362204722" right="0.51181102362204722" top="0.74803149606299213" bottom="0.51181102362204722" header="0.31496062992125984" footer="0.31496062992125984"/>
  <pageSetup paperSize="9" fitToHeight="0" orientation="portrait" r:id="rId1"/>
  <headerFooter>
    <oddFooter>&amp;LForm AK - &amp;D@&amp;T&amp;CAkreditasi Program Studi&amp;R&amp;P/&amp;N</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80"/>
  <sheetViews>
    <sheetView topLeftCell="A77" workbookViewId="0">
      <selection activeCell="J80" sqref="J80"/>
    </sheetView>
  </sheetViews>
  <sheetFormatPr defaultColWidth="9.140625" defaultRowHeight="15" x14ac:dyDescent="0.25"/>
  <cols>
    <col min="1" max="1" width="9.140625" style="27"/>
    <col min="2" max="2" width="37.85546875" style="27" customWidth="1"/>
    <col min="3" max="4" width="30.7109375" style="27" customWidth="1"/>
    <col min="5" max="5" width="13.7109375" style="27" customWidth="1"/>
    <col min="6" max="6" width="9.140625" style="27"/>
    <col min="7" max="8" width="9.140625" style="27" hidden="1" customWidth="1"/>
    <col min="9" max="16384" width="9.140625" style="27"/>
  </cols>
  <sheetData>
    <row r="1" spans="1:8" x14ac:dyDescent="0.25">
      <c r="A1" s="535" t="s">
        <v>875</v>
      </c>
      <c r="B1" s="535"/>
      <c r="C1" s="535"/>
      <c r="D1" s="535"/>
      <c r="E1" s="535"/>
    </row>
    <row r="2" spans="1:8" x14ac:dyDescent="0.25">
      <c r="A2" s="535" t="str">
        <f>"PROGRAM STUDI "&amp;UPPER('Isian Prodi'!C5)</f>
        <v>PROGRAM STUDI PRODI S2</v>
      </c>
      <c r="B2" s="535"/>
      <c r="C2" s="535"/>
      <c r="D2" s="535"/>
      <c r="E2" s="535"/>
    </row>
    <row r="5" spans="1:8" x14ac:dyDescent="0.25">
      <c r="A5" s="140" t="s">
        <v>19</v>
      </c>
      <c r="B5" s="140" t="s">
        <v>20</v>
      </c>
      <c r="C5" s="164" t="s">
        <v>163</v>
      </c>
      <c r="D5" s="164" t="s">
        <v>664</v>
      </c>
      <c r="E5" s="164" t="s">
        <v>663</v>
      </c>
    </row>
    <row r="6" spans="1:8" ht="84" x14ac:dyDescent="0.25">
      <c r="A6" s="142">
        <f>'Lap AK'!B13</f>
        <v>1</v>
      </c>
      <c r="B6" s="143" t="s">
        <v>27</v>
      </c>
      <c r="C6" s="165" t="str">
        <f>'Kertas Kerja'!F8</f>
        <v>Deskripsi dan penjelasan tentang :
1. Capaian terhadap indikator
2. Faktor pendukung dan faktor penghambat
3. Masalah dan akar masalah yang dihadapi
4. Data dan dokumen pendukung</v>
      </c>
      <c r="D6" s="165" t="str">
        <f>'Kertas Kerja'!G8</f>
        <v>Deskripsi dan penjelasan tentang : 
1. Peristiwa yang mungkin terjadi terkait dengan indikator
2. Dampak dari terjadinya peristiwa yang mungkin terjadi terkait dengan indikator</v>
      </c>
      <c r="E6" s="166" t="str">
        <f>'Kertas Kerja'!J8</f>
        <v>RENDAH</v>
      </c>
      <c r="G6" s="276" t="str">
        <f>'Kertas Kerja'!H8</f>
        <v>A</v>
      </c>
      <c r="H6" s="276">
        <f>'Kertas Kerja'!I8</f>
        <v>1</v>
      </c>
    </row>
    <row r="7" spans="1:8" ht="96" x14ac:dyDescent="0.25">
      <c r="A7" s="142">
        <f>'Lap AK'!B14</f>
        <v>2</v>
      </c>
      <c r="B7" s="143" t="s">
        <v>28</v>
      </c>
      <c r="C7" s="167" t="str">
        <f>'Kertas Kerja'!F16</f>
        <v>Deskripsi dan penjelasan tentang :
1. Capaian terhadap indikator
2. Faktor pendukung dan faktor penghambat
3. Masalah dan akar masalah yang dihadapi
4. Data dan dokumen pendukung</v>
      </c>
      <c r="D7" s="167" t="str">
        <f>'Kertas Kerja'!G16</f>
        <v>Deskripsi dan penjelasan tentang : 
1. Peristiwa yang mungkin terjadi terkait dengan indikator
2. Dampak dari terjadinya peristiwa yang mungkin terjadi terkait dengan indikator</v>
      </c>
      <c r="E7" s="168" t="str">
        <f>'Kertas Kerja'!J16</f>
        <v>RENDAH</v>
      </c>
      <c r="G7" s="276" t="str">
        <f>'Kertas Kerja'!H16</f>
        <v>A</v>
      </c>
      <c r="H7" s="276">
        <f>'Kertas Kerja'!I16</f>
        <v>1</v>
      </c>
    </row>
    <row r="8" spans="1:8" ht="84" x14ac:dyDescent="0.25">
      <c r="A8" s="142">
        <f>'Lap AK'!B15</f>
        <v>3</v>
      </c>
      <c r="B8" s="150" t="s">
        <v>29</v>
      </c>
      <c r="C8" s="167" t="str">
        <f>'Kertas Kerja'!F24</f>
        <v>Deskripsi dan penjelasan tentang :
1. Capaian terhadap indikator
2. Faktor pendukung dan faktor penghambat
3. Masalah dan akar masalah yang dihadapi
4. Data dan dokumen pendukung</v>
      </c>
      <c r="D8" s="167" t="str">
        <f>'Kertas Kerja'!G24</f>
        <v>Deskripsi dan penjelasan tentang : 
1. Peristiwa yang mungkin terjadi terkait dengan indikator
2. Dampak dari terjadinya peristiwa yang mungkin terjadi terkait dengan indikator</v>
      </c>
      <c r="E8" s="168" t="str">
        <f>'Kertas Kerja'!J24</f>
        <v>RENDAH</v>
      </c>
      <c r="G8" s="276" t="str">
        <f>'Kertas Kerja'!H24</f>
        <v>A</v>
      </c>
      <c r="H8" s="276">
        <f>'Kertas Kerja'!I24</f>
        <v>1</v>
      </c>
    </row>
    <row r="9" spans="1:8" ht="84" x14ac:dyDescent="0.25">
      <c r="A9" s="142">
        <f>'Lap AK'!B16</f>
        <v>4</v>
      </c>
      <c r="B9" s="150" t="s">
        <v>30</v>
      </c>
      <c r="C9" s="167" t="str">
        <f>'Kertas Kerja'!F32</f>
        <v>Deskripsi dan penjelasan tentang :
1. Capaian terhadap indikator
2. Faktor pendukung dan faktor penghambat
3. Masalah dan akar masalah yang dihadapi
4. Data dan dokumen pendukung</v>
      </c>
      <c r="D9" s="167" t="str">
        <f>'Kertas Kerja'!G32</f>
        <v>Deskripsi dan penjelasan tentang : 
1. Peristiwa yang mungkin terjadi terkait dengan indikator
2. Dampak dari terjadinya peristiwa yang mungkin terjadi terkait dengan indikator</v>
      </c>
      <c r="E9" s="168" t="str">
        <f>'Kertas Kerja'!J32</f>
        <v>RENDAH</v>
      </c>
      <c r="G9" s="276" t="str">
        <f>'Kertas Kerja'!H32</f>
        <v>A</v>
      </c>
      <c r="H9" s="276">
        <f>'Kertas Kerja'!I32</f>
        <v>1</v>
      </c>
    </row>
    <row r="10" spans="1:8" ht="84" x14ac:dyDescent="0.25">
      <c r="A10" s="142">
        <f>'Lap AK'!B17</f>
        <v>5</v>
      </c>
      <c r="B10" s="149" t="s">
        <v>31</v>
      </c>
      <c r="C10" s="167" t="str">
        <f>'Kertas Kerja'!F40</f>
        <v>Deskripsi dan penjelasan tentang :
1. Capaian terhadap indikator
2. Faktor pendukung dan faktor penghambat
3. Masalah dan akar masalah yang dihadapi
4. Data dan dokumen pendukung</v>
      </c>
      <c r="D10" s="167" t="str">
        <f>'Kertas Kerja'!G40</f>
        <v>Deskripsi dan penjelasan tentang : 
1. Peristiwa yang mungkin terjadi terkait dengan indikator
2. Dampak dari terjadinya peristiwa yang mungkin terjadi terkait dengan indikator</v>
      </c>
      <c r="E10" s="168" t="str">
        <f>'Kertas Kerja'!J40</f>
        <v>RENDAH</v>
      </c>
      <c r="G10" s="276" t="str">
        <f>'Kertas Kerja'!H40</f>
        <v>A</v>
      </c>
      <c r="H10" s="276">
        <f>'Kertas Kerja'!I40</f>
        <v>1</v>
      </c>
    </row>
    <row r="11" spans="1:8" ht="108" x14ac:dyDescent="0.25">
      <c r="A11" s="142">
        <f>'Lap AK'!B18</f>
        <v>6</v>
      </c>
      <c r="B11" s="149" t="s">
        <v>32</v>
      </c>
      <c r="C11" s="167" t="str">
        <f>'Kertas Kerja'!F48</f>
        <v>Deskripsi dan penjelasan tentang :
1. Capaian terhadap indikator
2. Faktor pendukung dan faktor penghambat
3. Masalah dan akar masalah yang dihadapi
4. Data dan dokumen pendukung</v>
      </c>
      <c r="D11" s="167" t="str">
        <f>'Kertas Kerja'!G48</f>
        <v>Deskripsi dan penjelasan tentang : 
1. Peristiwa yang mungkin terjadi terkait dengan indikator
2. Dampak dari terjadinya peristiwa yang mungkin terjadi terkait dengan indikator</v>
      </c>
      <c r="E11" s="168" t="str">
        <f>'Kertas Kerja'!J48</f>
        <v>RENDAH</v>
      </c>
      <c r="G11" s="276" t="str">
        <f>'Kertas Kerja'!H48</f>
        <v>A</v>
      </c>
      <c r="H11" s="276">
        <f>'Kertas Kerja'!I48</f>
        <v>1</v>
      </c>
    </row>
    <row r="12" spans="1:8" ht="96" x14ac:dyDescent="0.25">
      <c r="A12" s="142">
        <f>'Lap AK'!B19</f>
        <v>7</v>
      </c>
      <c r="B12" s="149" t="s">
        <v>33</v>
      </c>
      <c r="C12" s="167" t="str">
        <f>'Kertas Kerja'!F62</f>
        <v>Deskripsi dan penjelasan tentang :
1. Capaian terhadap indikator
2. Faktor pendukung dan faktor penghambat
3. Masalah dan akar masalah yang dihadapi
4. Data dan dokumen pendukung</v>
      </c>
      <c r="D12" s="167" t="str">
        <f>'Kertas Kerja'!G62</f>
        <v>Deskripsi dan penjelasan tentang : 
1. Peristiwa yang mungkin terjadi terkait dengan indikator
2. Dampak dari terjadinya peristiwa yang mungkin terjadi terkait dengan indikator</v>
      </c>
      <c r="E12" s="168" t="str">
        <f>'Kertas Kerja'!J62</f>
        <v>RENDAH</v>
      </c>
      <c r="G12" s="276" t="str">
        <f>'Kertas Kerja'!H62</f>
        <v>A</v>
      </c>
      <c r="H12" s="276">
        <f>'Kertas Kerja'!I62</f>
        <v>1</v>
      </c>
    </row>
    <row r="13" spans="1:8" ht="168" x14ac:dyDescent="0.25">
      <c r="A13" s="142">
        <f>'Lap AK'!B20</f>
        <v>8</v>
      </c>
      <c r="B13" s="149" t="s">
        <v>34</v>
      </c>
      <c r="C13" s="167" t="str">
        <f>'Kertas Kerja'!F76</f>
        <v>Deskripsi dan penjelasan tentang :
1. Capaian terhadap indikator
2. Faktor pendukung dan faktor penghambat
3. Masalah dan akar masalah yang dihadapi
4. Data dan dokumen pendukung</v>
      </c>
      <c r="D13" s="167" t="str">
        <f>'Kertas Kerja'!G76</f>
        <v>Deskripsi dan penjelasan tentang : 
1. Peristiwa yang mungkin terjadi terkait dengan indikator
2. Dampak dari terjadinya peristiwa yang mungkin terjadi terkait dengan indikator</v>
      </c>
      <c r="E13" s="168" t="str">
        <f>'Kertas Kerja'!J76</f>
        <v>RENDAH</v>
      </c>
      <c r="G13" s="276" t="str">
        <f>'Kertas Kerja'!H76</f>
        <v>A</v>
      </c>
      <c r="H13" s="276">
        <f>'Kertas Kerja'!I76</f>
        <v>1</v>
      </c>
    </row>
    <row r="14" spans="1:8" ht="96" x14ac:dyDescent="0.25">
      <c r="A14" s="142">
        <f>'Lap AK'!B21</f>
        <v>9</v>
      </c>
      <c r="B14" s="149" t="s">
        <v>35</v>
      </c>
      <c r="C14" s="169" t="str">
        <f>'Kertas Kerja'!F84</f>
        <v>Deskripsi dan penjelasan tentang :
1. Capaian terhadap indikator
2. Faktor pendukung dan faktor penghambat
3. Masalah dan akar masalah yang dihadapi
4. Data dan dokumen pendukung</v>
      </c>
      <c r="D14" s="169" t="str">
        <f>'Kertas Kerja'!G84</f>
        <v>Deskripsi dan penjelasan tentang : 
1. Peristiwa yang mungkin terjadi terkait dengan indikator
2. Dampak dari terjadinya peristiwa yang mungkin terjadi terkait dengan indikator</v>
      </c>
      <c r="E14" s="170" t="str">
        <f>'Kertas Kerja'!J84</f>
        <v>RENDAH</v>
      </c>
      <c r="G14" s="276" t="str">
        <f>'Kertas Kerja'!H84</f>
        <v>A</v>
      </c>
      <c r="H14" s="276">
        <f>'Kertas Kerja'!I84</f>
        <v>1</v>
      </c>
    </row>
    <row r="15" spans="1:8" ht="84" x14ac:dyDescent="0.25">
      <c r="A15" s="142">
        <f>'Lap AK'!B22</f>
        <v>10</v>
      </c>
      <c r="B15" s="149" t="s">
        <v>36</v>
      </c>
      <c r="C15" s="169" t="str">
        <f>'Kertas Kerja'!F111</f>
        <v>Deskripsi dan penjelasan tentang :
1. Capaian terhadap indikator
2. Faktor pendukung dan faktor penghambat
3. Masalah dan akar masalah yang dihadapi
4. Data dan dokumen pendukung</v>
      </c>
      <c r="D15" s="169" t="str">
        <f>'Kertas Kerja'!G111</f>
        <v>Deskripsi dan penjelasan tentang : 
1. Peristiwa yang mungkin terjadi terkait dengan indikator
2. Dampak dari terjadinya peristiwa yang mungkin terjadi terkait dengan indikator</v>
      </c>
      <c r="E15" s="170" t="str">
        <f>'Kertas Kerja'!J111</f>
        <v>RENDAH</v>
      </c>
      <c r="G15" s="276" t="str">
        <f>'Kertas Kerja'!H111</f>
        <v>A</v>
      </c>
      <c r="H15" s="276">
        <f>'Kertas Kerja'!I111</f>
        <v>1</v>
      </c>
    </row>
    <row r="16" spans="1:8" ht="156" x14ac:dyDescent="0.25">
      <c r="A16" s="142">
        <f>'Lap AK'!B23</f>
        <v>11</v>
      </c>
      <c r="B16" s="149" t="s">
        <v>37</v>
      </c>
      <c r="C16" s="169" t="str">
        <f>'Kertas Kerja'!F119</f>
        <v>Deskripsi dan penjelasan tentang :
1. Capaian terhadap indikator
2. Faktor pendukung dan faktor penghambat
3. Masalah dan akar masalah yang dihadapi
4. Data dan dokumen pendukung</v>
      </c>
      <c r="D16" s="169" t="str">
        <f>'Kertas Kerja'!G119</f>
        <v>Deskripsi dan penjelasan tentang : 
1. Peristiwa yang mungkin terjadi terkait dengan indikator
2. Dampak dari terjadinya peristiwa yang mungkin terjadi terkait dengan indikator</v>
      </c>
      <c r="E16" s="170" t="str">
        <f>'Kertas Kerja'!J119</f>
        <v>RENDAH</v>
      </c>
      <c r="G16" s="276" t="str">
        <f>'Kertas Kerja'!H119</f>
        <v>A</v>
      </c>
      <c r="H16" s="276">
        <f>'Kertas Kerja'!I119</f>
        <v>1</v>
      </c>
    </row>
    <row r="17" spans="1:8" ht="156" x14ac:dyDescent="0.25">
      <c r="A17" s="142">
        <f>'Lap AK'!B24</f>
        <v>12</v>
      </c>
      <c r="B17" s="149" t="s">
        <v>38</v>
      </c>
      <c r="C17" s="169" t="str">
        <f>'Kertas Kerja'!F127</f>
        <v>Deskripsi dan penjelasan tentang :
1. Capaian terhadap indikator
2. Faktor pendukung dan faktor penghambat
3. Masalah dan akar masalah yang dihadapi
4. Data dan dokumen pendukung</v>
      </c>
      <c r="D17" s="169" t="str">
        <f>'Kertas Kerja'!G127</f>
        <v>Deskripsi dan penjelasan tentang : 
1. Peristiwa yang mungkin terjadi terkait dengan indikator
2. Dampak dari terjadinya peristiwa yang mungkin terjadi terkait dengan indikator</v>
      </c>
      <c r="E17" s="170" t="str">
        <f>'Kertas Kerja'!J127</f>
        <v>RENDAH</v>
      </c>
      <c r="G17" s="276" t="str">
        <f>'Kertas Kerja'!H127</f>
        <v>A</v>
      </c>
      <c r="H17" s="276">
        <f>'Kertas Kerja'!I127</f>
        <v>1</v>
      </c>
    </row>
    <row r="18" spans="1:8" ht="240" x14ac:dyDescent="0.25">
      <c r="A18" s="142">
        <f>'Lap AK'!B25</f>
        <v>13</v>
      </c>
      <c r="B18" s="149" t="s">
        <v>40</v>
      </c>
      <c r="C18" s="169" t="str">
        <f>'Kertas Kerja'!F135</f>
        <v>Deskripsi dan penjelasan tentang :
1. Capaian terhadap indikator
2. Faktor pendukung dan faktor penghambat
3. Masalah dan akar masalah yang dihadapi
4. Data dan dokumen pendukung</v>
      </c>
      <c r="D18" s="169" t="str">
        <f>'Kertas Kerja'!G135</f>
        <v>Deskripsi dan penjelasan tentang : 
1. Peristiwa yang mungkin terjadi terkait dengan indikator
2. Dampak dari terjadinya peristiwa yang mungkin terjadi terkait dengan indikator</v>
      </c>
      <c r="E18" s="170" t="str">
        <f>'Kertas Kerja'!J135</f>
        <v>RENDAH</v>
      </c>
      <c r="G18" s="276" t="str">
        <f>'Kertas Kerja'!H135</f>
        <v>A</v>
      </c>
      <c r="H18" s="276">
        <f>'Kertas Kerja'!I135</f>
        <v>1</v>
      </c>
    </row>
    <row r="19" spans="1:8" ht="84" x14ac:dyDescent="0.25">
      <c r="A19" s="142">
        <f>'Lap AK'!B26</f>
        <v>14</v>
      </c>
      <c r="B19" s="149" t="s">
        <v>41</v>
      </c>
      <c r="C19" s="169" t="str">
        <f>'Kertas Kerja'!F143</f>
        <v>Deskripsi dan penjelasan tentang :
1. Capaian terhadap indikator
2. Faktor pendukung dan faktor penghambat
3. Masalah dan akar masalah yang dihadapi
4. Data dan dokumen pendukung</v>
      </c>
      <c r="D19" s="169" t="str">
        <f>'Kertas Kerja'!G143</f>
        <v>Deskripsi dan penjelasan tentang : 
1. Peristiwa yang mungkin terjadi terkait dengan indikator
2. Dampak dari terjadinya peristiwa yang mungkin terjadi terkait dengan indikator</v>
      </c>
      <c r="E19" s="170" t="str">
        <f>'Kertas Kerja'!J143</f>
        <v>RENDAH</v>
      </c>
      <c r="G19" s="276" t="str">
        <f>'Kertas Kerja'!H143</f>
        <v>A</v>
      </c>
      <c r="H19" s="276">
        <f>'Kertas Kerja'!I143</f>
        <v>1</v>
      </c>
    </row>
    <row r="20" spans="1:8" ht="84" x14ac:dyDescent="0.25">
      <c r="A20" s="142">
        <f>'Lap AK'!B27</f>
        <v>15</v>
      </c>
      <c r="B20" s="149" t="s">
        <v>42</v>
      </c>
      <c r="C20" s="169" t="str">
        <f>'Kertas Kerja'!F163</f>
        <v>Deskripsi dan penjelasan tentang :
1. Capaian terhadap indikator
2. Faktor pendukung dan faktor penghambat
3. Masalah dan akar masalah yang dihadapi
4. Data dan dokumen pendukung</v>
      </c>
      <c r="D20" s="169" t="str">
        <f>'Kertas Kerja'!G163</f>
        <v>Deskripsi dan penjelasan tentang : 
1. Peristiwa yang mungkin terjadi terkait dengan indikator
2. Dampak dari terjadinya peristiwa yang mungkin terjadi terkait dengan indikator</v>
      </c>
      <c r="E20" s="170" t="str">
        <f>'Kertas Kerja'!J163</f>
        <v>RENDAH</v>
      </c>
      <c r="G20" s="276" t="str">
        <f>'Kertas Kerja'!H163</f>
        <v>A</v>
      </c>
      <c r="H20" s="276">
        <f>'Kertas Kerja'!I163</f>
        <v>1</v>
      </c>
    </row>
    <row r="21" spans="1:8" ht="84" x14ac:dyDescent="0.25">
      <c r="A21" s="142">
        <f>'Lap AK'!B28</f>
        <v>16</v>
      </c>
      <c r="B21" s="149" t="s">
        <v>43</v>
      </c>
      <c r="C21" s="169" t="str">
        <f>'Kertas Kerja'!F180</f>
        <v>Deskripsi dan penjelasan tentang :
1. Capaian terhadap indikator
2. Faktor pendukung dan faktor penghambat
3. Masalah dan akar masalah yang dihadapi
4. Data dan dokumen pendukung</v>
      </c>
      <c r="D21" s="169" t="str">
        <f>'Kertas Kerja'!G180</f>
        <v>Deskripsi dan penjelasan tentang : 
1. Peristiwa yang mungkin terjadi terkait dengan indikator
2. Dampak dari terjadinya peristiwa yang mungkin terjadi terkait dengan indikator</v>
      </c>
      <c r="E21" s="170" t="str">
        <f>'Kertas Kerja'!J180</f>
        <v>RENDAH</v>
      </c>
      <c r="G21" s="276" t="str">
        <f>'Kertas Kerja'!H180</f>
        <v>A</v>
      </c>
      <c r="H21" s="276">
        <f>'Kertas Kerja'!I180</f>
        <v>1</v>
      </c>
    </row>
    <row r="22" spans="1:8" ht="84" x14ac:dyDescent="0.25">
      <c r="A22" s="142">
        <f>'Lap AK'!B29</f>
        <v>17</v>
      </c>
      <c r="B22" s="149" t="s">
        <v>44</v>
      </c>
      <c r="C22" s="169" t="str">
        <f>'Kertas Kerja'!F194</f>
        <v>Deskripsi dan penjelasan tentang :
1. Capaian terhadap indikator
2. Faktor pendukung dan faktor penghambat
3. Masalah dan akar masalah yang dihadapi
4. Data dan dokumen pendukung</v>
      </c>
      <c r="D22" s="169" t="str">
        <f>'Kertas Kerja'!G194</f>
        <v>Deskripsi dan penjelasan tentang : 
1. Peristiwa yang mungkin terjadi terkait dengan indikator
2. Dampak dari terjadinya peristiwa yang mungkin terjadi terkait dengan indikator</v>
      </c>
      <c r="E22" s="170" t="str">
        <f>'Kertas Kerja'!J194</f>
        <v>RENDAH</v>
      </c>
      <c r="G22" s="276" t="str">
        <f>'Kertas Kerja'!H194</f>
        <v>A</v>
      </c>
      <c r="H22" s="276">
        <f>'Kertas Kerja'!I194</f>
        <v>1</v>
      </c>
    </row>
    <row r="23" spans="1:8" ht="24" hidden="1" x14ac:dyDescent="0.25">
      <c r="A23" s="142" t="str">
        <f>'Lap AK'!B30</f>
        <v/>
      </c>
      <c r="B23" s="149" t="s">
        <v>45</v>
      </c>
      <c r="C23" s="169" t="str">
        <f>'Kertas Kerja'!F204</f>
        <v>Deskripsi dan penjelasan tentang indikator yang terkait</v>
      </c>
      <c r="D23" s="169" t="str">
        <f>'Kertas Kerja'!G204</f>
        <v>Deskripsi identifikasi risiko tentang indikator yang terkait</v>
      </c>
      <c r="E23" s="170" t="str">
        <f>'Kertas Kerja'!J204</f>
        <v>RENDAH</v>
      </c>
      <c r="G23" s="276" t="str">
        <f>'Kertas Kerja'!H204</f>
        <v>A</v>
      </c>
      <c r="H23" s="276">
        <f>'Kertas Kerja'!I204</f>
        <v>1</v>
      </c>
    </row>
    <row r="24" spans="1:8" ht="24" hidden="1" x14ac:dyDescent="0.25">
      <c r="A24" s="142" t="str">
        <f>'Lap AK'!B31</f>
        <v/>
      </c>
      <c r="B24" s="149" t="s">
        <v>885</v>
      </c>
      <c r="C24" s="169" t="str">
        <f>'Kertas Kerja'!F210</f>
        <v>Deskripsi dan penjelasan tentang indikator yang terkait</v>
      </c>
      <c r="D24" s="169" t="str">
        <f>'Kertas Kerja'!G210</f>
        <v>Deskripsi identifikasi risiko tentang indikator yang terkait</v>
      </c>
      <c r="E24" s="170" t="str">
        <f>'Kertas Kerja'!J210</f>
        <v>RENDAH</v>
      </c>
      <c r="G24" s="276" t="str">
        <f>'Kertas Kerja'!H210</f>
        <v>A</v>
      </c>
      <c r="H24" s="276">
        <f>'Kertas Kerja'!I210</f>
        <v>1</v>
      </c>
    </row>
    <row r="25" spans="1:8" ht="84" x14ac:dyDescent="0.25">
      <c r="A25" s="142">
        <f>'Lap AK'!B32</f>
        <v>18</v>
      </c>
      <c r="B25" s="149" t="s">
        <v>48</v>
      </c>
      <c r="C25" s="169" t="str">
        <f>'Kertas Kerja'!F216</f>
        <v>Deskripsi dan penjelasan tentang :
1. Capaian terhadap indikator
2. Faktor pendukung dan faktor penghambat
3. Masalah dan akar masalah yang dihadapi
4. Data dan dokumen pendukung</v>
      </c>
      <c r="D25" s="169" t="str">
        <f>'Kertas Kerja'!G216</f>
        <v>Deskripsi dan penjelasan tentang : 
1. Peristiwa yang mungkin terjadi terkait dengan indikator
2. Dampak dari terjadinya peristiwa yang mungkin terjadi terkait dengan indikator</v>
      </c>
      <c r="E25" s="170" t="str">
        <f>'Kertas Kerja'!J216</f>
        <v>RENDAH</v>
      </c>
      <c r="G25" s="276" t="str">
        <f>'Kertas Kerja'!H216</f>
        <v>A</v>
      </c>
      <c r="H25" s="276">
        <f>'Kertas Kerja'!I216</f>
        <v>1</v>
      </c>
    </row>
    <row r="26" spans="1:8" ht="48" hidden="1" x14ac:dyDescent="0.25">
      <c r="A26" s="142" t="str">
        <f>'Lap AK'!B33</f>
        <v/>
      </c>
      <c r="B26" s="149" t="s">
        <v>49</v>
      </c>
      <c r="C26" s="169" t="str">
        <f>'Kertas Kerja'!F224</f>
        <v>Deskripsi dan penjelasan tentang indikator yang terkait</v>
      </c>
      <c r="D26" s="169" t="str">
        <f>'Kertas Kerja'!G224</f>
        <v>Deskripsi identifikasi risiko tentang indikator yang terkait</v>
      </c>
      <c r="E26" s="170" t="str">
        <f>'Kertas Kerja'!J224</f>
        <v>RENDAH</v>
      </c>
      <c r="G26" s="276" t="str">
        <f>'Kertas Kerja'!H224</f>
        <v>A</v>
      </c>
      <c r="H26" s="276">
        <f>'Kertas Kerja'!I224</f>
        <v>1</v>
      </c>
    </row>
    <row r="27" spans="1:8" ht="84" x14ac:dyDescent="0.25">
      <c r="A27" s="142">
        <f>'Lap AK'!B34</f>
        <v>19</v>
      </c>
      <c r="B27" s="149" t="s">
        <v>50</v>
      </c>
      <c r="C27" s="169" t="str">
        <f>'Kertas Kerja'!F233</f>
        <v>Deskripsi dan penjelasan tentang :
1. Capaian terhadap indikator
2. Faktor pendukung dan faktor penghambat
3. Masalah dan akar masalah yang dihadapi
4. Data dan dokumen pendukung</v>
      </c>
      <c r="D27" s="169" t="str">
        <f>'Kertas Kerja'!G233</f>
        <v>Deskripsi dan penjelasan tentang : 
1. Peristiwa yang mungkin terjadi terkait dengan indikator
2. Dampak dari terjadinya peristiwa yang mungkin terjadi terkait dengan indikator</v>
      </c>
      <c r="E27" s="170" t="str">
        <f>'Kertas Kerja'!J233</f>
        <v>RENDAH</v>
      </c>
      <c r="G27" s="276" t="str">
        <f>'Kertas Kerja'!H233</f>
        <v>A</v>
      </c>
      <c r="H27" s="276">
        <f>'Kertas Kerja'!I233</f>
        <v>1</v>
      </c>
    </row>
    <row r="28" spans="1:8" ht="84" x14ac:dyDescent="0.25">
      <c r="A28" s="142">
        <f>'Lap AK'!B35</f>
        <v>20</v>
      </c>
      <c r="B28" s="149" t="s">
        <v>51</v>
      </c>
      <c r="C28" s="169" t="str">
        <f>'Kertas Kerja'!F239</f>
        <v>Deskripsi dan penjelasan tentang :
1. Capaian terhadap indikator
2. Faktor pendukung dan faktor penghambat
3. Masalah dan akar masalah yang dihadapi
4. Data dan dokumen pendukung</v>
      </c>
      <c r="D28" s="169" t="str">
        <f>'Kertas Kerja'!G239</f>
        <v>Deskripsi dan penjelasan tentang : 
1. Peristiwa yang mungkin terjadi terkait dengan indikator
2. Dampak dari terjadinya peristiwa yang mungkin terjadi terkait dengan indikator</v>
      </c>
      <c r="E28" s="170" t="str">
        <f>'Kertas Kerja'!J239</f>
        <v>RENDAH</v>
      </c>
      <c r="G28" s="276" t="str">
        <f>'Kertas Kerja'!H239</f>
        <v>A</v>
      </c>
      <c r="H28" s="276">
        <f>'Kertas Kerja'!I239</f>
        <v>1</v>
      </c>
    </row>
    <row r="29" spans="1:8" ht="84" x14ac:dyDescent="0.25">
      <c r="A29" s="142">
        <f>'Lap AK'!B36</f>
        <v>21</v>
      </c>
      <c r="B29" s="149" t="s">
        <v>52</v>
      </c>
      <c r="C29" s="169" t="str">
        <f>'Kertas Kerja'!F243</f>
        <v>Deskripsi dan penjelasan tentang :
1. Capaian terhadap indikator
2. Faktor pendukung dan faktor penghambat
3. Masalah dan akar masalah yang dihadapi
4. Data dan dokumen pendukung</v>
      </c>
      <c r="D29" s="169" t="str">
        <f>'Kertas Kerja'!G243</f>
        <v>Deskripsi dan penjelasan tentang : 
1. Peristiwa yang mungkin terjadi terkait dengan indikator
2. Dampak dari terjadinya peristiwa yang mungkin terjadi terkait dengan indikator</v>
      </c>
      <c r="E29" s="170" t="str">
        <f>'Kertas Kerja'!J243</f>
        <v>RENDAH</v>
      </c>
      <c r="G29" s="276" t="str">
        <f>'Kertas Kerja'!H243</f>
        <v>A</v>
      </c>
      <c r="H29" s="276">
        <f>'Kertas Kerja'!I243</f>
        <v>1</v>
      </c>
    </row>
    <row r="30" spans="1:8" ht="24" hidden="1" x14ac:dyDescent="0.25">
      <c r="A30" s="142" t="str">
        <f>'Lap AK'!B37</f>
        <v/>
      </c>
      <c r="B30" s="149" t="s">
        <v>887</v>
      </c>
      <c r="C30" s="169" t="str">
        <f>'Kertas Kerja'!F249</f>
        <v>Deskripsi dan penjelasan tentang indikator yang terkait</v>
      </c>
      <c r="D30" s="169" t="str">
        <f>'Kertas Kerja'!G249</f>
        <v>Deskripsi identifikasi risiko tentang indikator yang terkait</v>
      </c>
      <c r="E30" s="170" t="str">
        <f>'Kertas Kerja'!J249</f>
        <v>RENDAH</v>
      </c>
      <c r="G30" s="276" t="str">
        <f>'Kertas Kerja'!H249</f>
        <v>A</v>
      </c>
      <c r="H30" s="276">
        <f>'Kertas Kerja'!I249</f>
        <v>1</v>
      </c>
    </row>
    <row r="31" spans="1:8" ht="84" x14ac:dyDescent="0.25">
      <c r="A31" s="142">
        <f>'Lap AK'!B38</f>
        <v>22</v>
      </c>
      <c r="B31" s="149" t="s">
        <v>53</v>
      </c>
      <c r="C31" s="169" t="str">
        <f>'Kertas Kerja'!F255</f>
        <v>Deskripsi dan penjelasan tentang :
1. Capaian terhadap indikator
2. Faktor pendukung dan faktor penghambat
3. Masalah dan akar masalah yang dihadapi
4. Data dan dokumen pendukung</v>
      </c>
      <c r="D31" s="169" t="str">
        <f>'Kertas Kerja'!G255</f>
        <v>Deskripsi dan penjelasan tentang : 
1. Peristiwa yang mungkin terjadi terkait dengan indikator
2. Dampak dari terjadinya peristiwa yang mungkin terjadi terkait dengan indikator</v>
      </c>
      <c r="E31" s="170" t="str">
        <f>'Kertas Kerja'!J255</f>
        <v>RENDAH</v>
      </c>
      <c r="G31" s="276" t="str">
        <f>'Kertas Kerja'!H255</f>
        <v>A</v>
      </c>
      <c r="H31" s="276">
        <f>'Kertas Kerja'!I255</f>
        <v>1</v>
      </c>
    </row>
    <row r="32" spans="1:8" ht="84" x14ac:dyDescent="0.25">
      <c r="A32" s="142">
        <f>'Lap AK'!B39</f>
        <v>23</v>
      </c>
      <c r="B32" s="149" t="s">
        <v>54</v>
      </c>
      <c r="C32" s="169" t="str">
        <f>'Kertas Kerja'!F261</f>
        <v>Deskripsi dan penjelasan tentang :
1. Capaian terhadap indikator
2. Faktor pendukung dan faktor penghambat
3. Masalah dan akar masalah yang dihadapi
4. Data dan dokumen pendukung</v>
      </c>
      <c r="D32" s="169" t="str">
        <f>'Kertas Kerja'!G261</f>
        <v>Deskripsi dan penjelasan tentang : 
1. Peristiwa yang mungkin terjadi terkait dengan indikator
2. Dampak dari terjadinya peristiwa yang mungkin terjadi terkait dengan indikator</v>
      </c>
      <c r="E32" s="170" t="str">
        <f>'Kertas Kerja'!J261</f>
        <v>RENDAH</v>
      </c>
      <c r="G32" s="276" t="str">
        <f>'Kertas Kerja'!H261</f>
        <v>A</v>
      </c>
      <c r="H32" s="276">
        <f>'Kertas Kerja'!I261</f>
        <v>1</v>
      </c>
    </row>
    <row r="33" spans="1:8" ht="84" x14ac:dyDescent="0.25">
      <c r="A33" s="142">
        <f>'Lap AK'!B40</f>
        <v>24</v>
      </c>
      <c r="B33" s="149" t="s">
        <v>55</v>
      </c>
      <c r="C33" s="169" t="str">
        <f>'Kertas Kerja'!F279</f>
        <v>Deskripsi dan penjelasan tentang :
1. Capaian terhadap indikator
2. Faktor pendukung dan faktor penghambat
3. Masalah dan akar masalah yang dihadapi
4. Data dan dokumen pendukung</v>
      </c>
      <c r="D33" s="169" t="str">
        <f>'Kertas Kerja'!G279</f>
        <v>Deskripsi dan penjelasan tentang : 
1. Peristiwa yang mungkin terjadi terkait dengan indikator
2. Dampak dari terjadinya peristiwa yang mungkin terjadi terkait dengan indikator</v>
      </c>
      <c r="E33" s="170" t="str">
        <f>'Kertas Kerja'!J279</f>
        <v>RENDAH</v>
      </c>
      <c r="G33" s="276" t="str">
        <f>'Kertas Kerja'!H279</f>
        <v>A</v>
      </c>
      <c r="H33" s="276">
        <f>'Kertas Kerja'!I279</f>
        <v>1</v>
      </c>
    </row>
    <row r="34" spans="1:8" ht="84" x14ac:dyDescent="0.25">
      <c r="A34" s="142">
        <f>'Lap AK'!B41</f>
        <v>25</v>
      </c>
      <c r="B34" s="14" t="s">
        <v>56</v>
      </c>
      <c r="C34" s="169" t="str">
        <f>'Kertas Kerja'!F297</f>
        <v>Deskripsi dan penjelasan tentang :
1. Capaian terhadap indikator
2. Faktor pendukung dan faktor penghambat
3. Masalah dan akar masalah yang dihadapi
4. Data dan dokumen pendukung</v>
      </c>
      <c r="D34" s="169" t="str">
        <f>'Kertas Kerja'!G297</f>
        <v>Deskripsi dan penjelasan tentang : 
1. Peristiwa yang mungkin terjadi terkait dengan indikator
2. Dampak dari terjadinya peristiwa yang mungkin terjadi terkait dengan indikator</v>
      </c>
      <c r="E34" s="170" t="str">
        <f>'Kertas Kerja'!J297</f>
        <v>RENDAH</v>
      </c>
      <c r="G34" s="276" t="str">
        <f>'Kertas Kerja'!H297</f>
        <v>A</v>
      </c>
      <c r="H34" s="276">
        <f>'Kertas Kerja'!I297</f>
        <v>1</v>
      </c>
    </row>
    <row r="35" spans="1:8" ht="84" x14ac:dyDescent="0.25">
      <c r="A35" s="142">
        <f>'Lap AK'!B42</f>
        <v>26</v>
      </c>
      <c r="B35" s="154" t="s">
        <v>57</v>
      </c>
      <c r="C35" s="169" t="str">
        <f>'Kertas Kerja'!F322</f>
        <v>Deskripsi dan penjelasan tentang :
1. Capaian terhadap indikator
2. Faktor pendukung dan faktor penghambat
3. Masalah dan akar masalah yang dihadapi
4. Data dan dokumen pendukung</v>
      </c>
      <c r="D35" s="169" t="str">
        <f>'Kertas Kerja'!G322</f>
        <v>Deskripsi dan penjelasan tentang : 
1. Peristiwa yang mungkin terjadi terkait dengan indikator
2. Dampak dari terjadinya peristiwa yang mungkin terjadi terkait dengan indikator</v>
      </c>
      <c r="E35" s="170" t="str">
        <f>'Kertas Kerja'!J322</f>
        <v>RENDAH</v>
      </c>
      <c r="G35" s="276" t="str">
        <f>'Kertas Kerja'!H322</f>
        <v>A</v>
      </c>
      <c r="H35" s="276">
        <f>'Kertas Kerja'!I322</f>
        <v>1</v>
      </c>
    </row>
    <row r="36" spans="1:8" ht="36" hidden="1" x14ac:dyDescent="0.25">
      <c r="A36" s="142" t="str">
        <f>'Lap AK'!B43</f>
        <v/>
      </c>
      <c r="B36" s="149" t="s">
        <v>894</v>
      </c>
      <c r="C36" s="169" t="str">
        <f>'Kertas Kerja'!F329</f>
        <v>Deskripsi dan penjelasan tentang indikator yang terkait</v>
      </c>
      <c r="D36" s="169" t="str">
        <f>'Kertas Kerja'!G329</f>
        <v>Deskripsi identifikasi risiko tentang indikator yang terkait</v>
      </c>
      <c r="E36" s="170" t="str">
        <f>'Kertas Kerja'!J329</f>
        <v>RENDAH</v>
      </c>
      <c r="G36" s="276" t="str">
        <f>'Kertas Kerja'!H329</f>
        <v>A</v>
      </c>
      <c r="H36" s="276">
        <f>'Kertas Kerja'!I329</f>
        <v>1</v>
      </c>
    </row>
    <row r="37" spans="1:8" ht="84" x14ac:dyDescent="0.25">
      <c r="A37" s="142">
        <f>'Lap AK'!B44</f>
        <v>27</v>
      </c>
      <c r="B37" s="154" t="s">
        <v>58</v>
      </c>
      <c r="C37" s="169" t="str">
        <f>'Kertas Kerja'!F335</f>
        <v>Deskripsi dan penjelasan tentang :
1. Capaian terhadap indikator
2. Faktor pendukung dan faktor penghambat
3. Masalah dan akar masalah yang dihadapi
4. Data dan dokumen pendukung</v>
      </c>
      <c r="D37" s="169" t="str">
        <f>'Kertas Kerja'!G335</f>
        <v>Deskripsi dan penjelasan tentang : 
1. Peristiwa yang mungkin terjadi terkait dengan indikator
2. Dampak dari terjadinya peristiwa yang mungkin terjadi terkait dengan indikator</v>
      </c>
      <c r="E37" s="170" t="str">
        <f>'Kertas Kerja'!J335</f>
        <v>RENDAH</v>
      </c>
      <c r="G37" s="276" t="str">
        <f>'Kertas Kerja'!H335</f>
        <v>A</v>
      </c>
      <c r="H37" s="276">
        <f>'Kertas Kerja'!I335</f>
        <v>1</v>
      </c>
    </row>
    <row r="38" spans="1:8" ht="84" x14ac:dyDescent="0.25">
      <c r="A38" s="142">
        <f>'Lap AK'!B45</f>
        <v>28</v>
      </c>
      <c r="B38" s="149" t="s">
        <v>59</v>
      </c>
      <c r="C38" s="169" t="str">
        <f>'Kertas Kerja'!F345</f>
        <v>Deskripsi dan penjelasan tentang :
1. Capaian terhadap indikator
2. Faktor pendukung dan faktor penghambat
3. Masalah dan akar masalah yang dihadapi
4. Data dan dokumen pendukung</v>
      </c>
      <c r="D38" s="169" t="str">
        <f>'Kertas Kerja'!G345</f>
        <v>Deskripsi dan penjelasan tentang : 
1. Peristiwa yang mungkin terjadi terkait dengan indikator
2. Dampak dari terjadinya peristiwa yang mungkin terjadi terkait dengan indikator</v>
      </c>
      <c r="E38" s="170" t="str">
        <f>'Kertas Kerja'!J345</f>
        <v>RENDAH</v>
      </c>
      <c r="G38" s="276" t="str">
        <f>'Kertas Kerja'!H345</f>
        <v>A</v>
      </c>
      <c r="H38" s="276">
        <f>'Kertas Kerja'!I345</f>
        <v>1</v>
      </c>
    </row>
    <row r="39" spans="1:8" ht="96" x14ac:dyDescent="0.25">
      <c r="A39" s="142">
        <f>'Lap AK'!B46</f>
        <v>29</v>
      </c>
      <c r="B39" s="149" t="s">
        <v>60</v>
      </c>
      <c r="C39" s="169" t="str">
        <f>'Kertas Kerja'!F354</f>
        <v>Deskripsi dan penjelasan tentang :
1. Capaian terhadap indikator
2. Faktor pendukung dan faktor penghambat
3. Masalah dan akar masalah yang dihadapi
4. Data dan dokumen pendukung</v>
      </c>
      <c r="D39" s="169" t="str">
        <f>'Kertas Kerja'!G354</f>
        <v>Deskripsi dan penjelasan tentang : 
1. Peristiwa yang mungkin terjadi terkait dengan indikator
2. Dampak dari terjadinya peristiwa yang mungkin terjadi terkait dengan indikator</v>
      </c>
      <c r="E39" s="170" t="str">
        <f>'Kertas Kerja'!J354</f>
        <v>RENDAH</v>
      </c>
      <c r="G39" s="276" t="str">
        <f>'Kertas Kerja'!H354</f>
        <v>A</v>
      </c>
      <c r="H39" s="276">
        <f>'Kertas Kerja'!I354</f>
        <v>1</v>
      </c>
    </row>
    <row r="40" spans="1:8" ht="84" x14ac:dyDescent="0.25">
      <c r="A40" s="142">
        <f>'Lap AK'!B47</f>
        <v>30</v>
      </c>
      <c r="B40" s="149" t="s">
        <v>61</v>
      </c>
      <c r="C40" s="169" t="str">
        <f>'Kertas Kerja'!F392</f>
        <v>Deskripsi dan penjelasan tentang :
1. Capaian terhadap indikator
2. Faktor pendukung dan faktor penghambat
3. Masalah dan akar masalah yang dihadapi
4. Data dan dokumen pendukung</v>
      </c>
      <c r="D40" s="169" t="str">
        <f>'Kertas Kerja'!G392</f>
        <v>Deskripsi dan penjelasan tentang : 
1. Peristiwa yang mungkin terjadi terkait dengan indikator
2. Dampak dari terjadinya peristiwa yang mungkin terjadi terkait dengan indikator</v>
      </c>
      <c r="E40" s="170" t="str">
        <f>'Kertas Kerja'!J392</f>
        <v>RENDAH</v>
      </c>
      <c r="G40" s="276" t="str">
        <f>'Kertas Kerja'!H392</f>
        <v>A</v>
      </c>
      <c r="H40" s="276">
        <f>'Kertas Kerja'!I392</f>
        <v>1</v>
      </c>
    </row>
    <row r="41" spans="1:8" ht="84" x14ac:dyDescent="0.25">
      <c r="A41" s="142">
        <f>'Lap AK'!B48</f>
        <v>31</v>
      </c>
      <c r="B41" s="149" t="s">
        <v>62</v>
      </c>
      <c r="C41" s="169" t="str">
        <f>'Kertas Kerja'!F398</f>
        <v>Deskripsi dan penjelasan tentang :
1. Capaian terhadap indikator
2. Faktor pendukung dan faktor penghambat
3. Masalah dan akar masalah yang dihadapi
4. Data dan dokumen pendukung</v>
      </c>
      <c r="D41" s="169" t="str">
        <f>'Kertas Kerja'!G398</f>
        <v>Deskripsi dan penjelasan tentang : 
1. Peristiwa yang mungkin terjadi terkait dengan indikator
2. Dampak dari terjadinya peristiwa yang mungkin terjadi terkait dengan indikator</v>
      </c>
      <c r="E41" s="170" t="str">
        <f>'Kertas Kerja'!J398</f>
        <v>RENDAH</v>
      </c>
      <c r="G41" s="276" t="str">
        <f>'Kertas Kerja'!H398</f>
        <v>A</v>
      </c>
      <c r="H41" s="276">
        <f>'Kertas Kerja'!I398</f>
        <v>1</v>
      </c>
    </row>
    <row r="42" spans="1:8" ht="84" x14ac:dyDescent="0.25">
      <c r="A42" s="142">
        <f>'Lap AK'!B49</f>
        <v>32</v>
      </c>
      <c r="B42" s="149" t="s">
        <v>63</v>
      </c>
      <c r="C42" s="169" t="str">
        <f>'Kertas Kerja'!F404</f>
        <v>Deskripsi dan penjelasan tentang :
1. Capaian terhadap indikator
2. Faktor pendukung dan faktor penghambat
3. Masalah dan akar masalah yang dihadapi
4. Data dan dokumen pendukung</v>
      </c>
      <c r="D42" s="169" t="str">
        <f>'Kertas Kerja'!G404</f>
        <v>Deskripsi dan penjelasan tentang : 
1. Peristiwa yang mungkin terjadi terkait dengan indikator
2. Dampak dari terjadinya peristiwa yang mungkin terjadi terkait dengan indikator</v>
      </c>
      <c r="E42" s="170" t="str">
        <f>'Kertas Kerja'!J404</f>
        <v>RENDAH</v>
      </c>
      <c r="G42" s="276" t="str">
        <f>'Kertas Kerja'!H404</f>
        <v>A</v>
      </c>
      <c r="H42" s="276">
        <f>'Kertas Kerja'!I404</f>
        <v>1</v>
      </c>
    </row>
    <row r="43" spans="1:8" ht="84" x14ac:dyDescent="0.25">
      <c r="A43" s="142">
        <f>'Lap AK'!B50</f>
        <v>33</v>
      </c>
      <c r="B43" s="149" t="s">
        <v>64</v>
      </c>
      <c r="C43" s="169" t="str">
        <f>'Kertas Kerja'!F410</f>
        <v>Deskripsi dan penjelasan tentang :
1. Capaian terhadap indikator
2. Faktor pendukung dan faktor penghambat
3. Masalah dan akar masalah yang dihadapi
4. Data dan dokumen pendukung</v>
      </c>
      <c r="D43" s="169" t="str">
        <f>'Kertas Kerja'!G410</f>
        <v>Deskripsi dan penjelasan tentang : 
1. Peristiwa yang mungkin terjadi terkait dengan indikator
2. Dampak dari terjadinya peristiwa yang mungkin terjadi terkait dengan indikator</v>
      </c>
      <c r="E43" s="170" t="str">
        <f>'Kertas Kerja'!J410</f>
        <v>RENDAH</v>
      </c>
      <c r="G43" s="276" t="str">
        <f>'Kertas Kerja'!H410</f>
        <v>A</v>
      </c>
      <c r="H43" s="276">
        <f>'Kertas Kerja'!I410</f>
        <v>1</v>
      </c>
    </row>
    <row r="44" spans="1:8" ht="84" x14ac:dyDescent="0.25">
      <c r="A44" s="142">
        <f>'Lap AK'!B51</f>
        <v>34</v>
      </c>
      <c r="B44" s="149" t="s">
        <v>65</v>
      </c>
      <c r="C44" s="169" t="str">
        <f>'Kertas Kerja'!F419</f>
        <v>Deskripsi dan penjelasan tentang :
1. Capaian terhadap indikator
2. Faktor pendukung dan faktor penghambat
3. Masalah dan akar masalah yang dihadapi
4. Data dan dokumen pendukung</v>
      </c>
      <c r="D44" s="169" t="str">
        <f>'Kertas Kerja'!G419</f>
        <v>Deskripsi dan penjelasan tentang : 
1. Peristiwa yang mungkin terjadi terkait dengan indikator
2. Dampak dari terjadinya peristiwa yang mungkin terjadi terkait dengan indikator</v>
      </c>
      <c r="E44" s="170" t="str">
        <f>'Kertas Kerja'!J419</f>
        <v>RENDAH</v>
      </c>
      <c r="G44" s="276" t="str">
        <f>'Kertas Kerja'!H419</f>
        <v>A</v>
      </c>
      <c r="H44" s="276">
        <f>'Kertas Kerja'!I419</f>
        <v>1</v>
      </c>
    </row>
    <row r="45" spans="1:8" ht="84" x14ac:dyDescent="0.25">
      <c r="A45" s="142">
        <f>'Lap AK'!B52</f>
        <v>35</v>
      </c>
      <c r="B45" s="149" t="s">
        <v>66</v>
      </c>
      <c r="C45" s="169" t="str">
        <f>'Kertas Kerja'!F427</f>
        <v>Deskripsi dan penjelasan tentang :
1. Capaian terhadap indikator
2. Faktor pendukung dan faktor penghambat
3. Masalah dan akar masalah yang dihadapi
4. Data dan dokumen pendukung</v>
      </c>
      <c r="D45" s="169" t="str">
        <f>'Kertas Kerja'!G427</f>
        <v>Deskripsi dan penjelasan tentang : 
1. Peristiwa yang mungkin terjadi terkait dengan indikator
2. Dampak dari terjadinya peristiwa yang mungkin terjadi terkait dengan indikator</v>
      </c>
      <c r="E45" s="170" t="str">
        <f>'Kertas Kerja'!J427</f>
        <v>RENDAH</v>
      </c>
      <c r="G45" s="276" t="str">
        <f>'Kertas Kerja'!H427</f>
        <v>A</v>
      </c>
      <c r="H45" s="276">
        <f>'Kertas Kerja'!I427</f>
        <v>1</v>
      </c>
    </row>
    <row r="46" spans="1:8" ht="108" x14ac:dyDescent="0.25">
      <c r="A46" s="142">
        <f>'Lap AK'!B53</f>
        <v>36</v>
      </c>
      <c r="B46" s="149" t="s">
        <v>67</v>
      </c>
      <c r="C46" s="169" t="str">
        <f>'Kertas Kerja'!F435</f>
        <v>Deskripsi dan penjelasan tentang :
1. Capaian terhadap indikator
2. Faktor pendukung dan faktor penghambat
3. Masalah dan akar masalah yang dihadapi
4. Data dan dokumen pendukung</v>
      </c>
      <c r="D46" s="169" t="str">
        <f>'Kertas Kerja'!G435</f>
        <v>Deskripsi dan penjelasan tentang : 
1. Peristiwa yang mungkin terjadi terkait dengan indikator
2. Dampak dari terjadinya peristiwa yang mungkin terjadi terkait dengan indikator</v>
      </c>
      <c r="E46" s="170" t="str">
        <f>'Kertas Kerja'!J435</f>
        <v>RENDAH</v>
      </c>
      <c r="G46" s="276" t="str">
        <f>'Kertas Kerja'!H435</f>
        <v>A</v>
      </c>
      <c r="H46" s="276">
        <f>'Kertas Kerja'!I435</f>
        <v>1</v>
      </c>
    </row>
    <row r="47" spans="1:8" ht="84" x14ac:dyDescent="0.25">
      <c r="A47" s="142">
        <f>'Lap AK'!B54</f>
        <v>37</v>
      </c>
      <c r="B47" s="149" t="s">
        <v>68</v>
      </c>
      <c r="C47" s="169" t="str">
        <f>'Kertas Kerja'!F455</f>
        <v>Deskripsi dan penjelasan tentang :
1. Capaian terhadap indikator
2. Faktor pendukung dan faktor penghambat
3. Masalah dan akar masalah yang dihadapi
4. Data dan dokumen pendukung</v>
      </c>
      <c r="D47" s="169" t="str">
        <f>'Kertas Kerja'!G455</f>
        <v>Deskripsi dan penjelasan tentang : 
1. Peristiwa yang mungkin terjadi terkait dengan indikator
2. Dampak dari terjadinya peristiwa yang mungkin terjadi terkait dengan indikator</v>
      </c>
      <c r="E47" s="170" t="str">
        <f>'Kertas Kerja'!J455</f>
        <v>RENDAH</v>
      </c>
      <c r="G47" s="276" t="str">
        <f>'Kertas Kerja'!H455</f>
        <v>A</v>
      </c>
      <c r="H47" s="276">
        <f>'Kertas Kerja'!I455</f>
        <v>1</v>
      </c>
    </row>
    <row r="48" spans="1:8" ht="84" x14ac:dyDescent="0.25">
      <c r="A48" s="142">
        <f>'Lap AK'!B55</f>
        <v>38</v>
      </c>
      <c r="B48" s="149" t="s">
        <v>69</v>
      </c>
      <c r="C48" s="169" t="str">
        <f>'Kertas Kerja'!F463</f>
        <v>Deskripsi dan penjelasan tentang :
1. Capaian terhadap indikator
2. Faktor pendukung dan faktor penghambat
3. Masalah dan akar masalah yang dihadapi
4. Data dan dokumen pendukung</v>
      </c>
      <c r="D48" s="169" t="str">
        <f>'Kertas Kerja'!G463</f>
        <v>Deskripsi dan penjelasan tentang : 
1. Peristiwa yang mungkin terjadi terkait dengan indikator
2. Dampak dari terjadinya peristiwa yang mungkin terjadi terkait dengan indikator</v>
      </c>
      <c r="E48" s="170" t="str">
        <f>'Kertas Kerja'!J463</f>
        <v>RENDAH</v>
      </c>
      <c r="G48" s="276" t="str">
        <f>'Kertas Kerja'!H463</f>
        <v>A</v>
      </c>
      <c r="H48" s="276">
        <f>'Kertas Kerja'!I463</f>
        <v>1</v>
      </c>
    </row>
    <row r="49" spans="1:8" ht="384" x14ac:dyDescent="0.25">
      <c r="A49" s="142">
        <f>'Lap AK'!B56</f>
        <v>39</v>
      </c>
      <c r="B49" s="149" t="s">
        <v>70</v>
      </c>
      <c r="C49" s="169" t="str">
        <f>'Kertas Kerja'!F477</f>
        <v>Deskripsi dan penjelasan tentang :
1. Capaian terhadap indikator
2. Faktor pendukung dan faktor penghambat
3. Masalah dan akar masalah yang dihadapi
4. Data dan dokumen pendukung</v>
      </c>
      <c r="D49" s="169" t="str">
        <f>'Kertas Kerja'!G477</f>
        <v>Deskripsi dan penjelasan tentang : 
1. Peristiwa yang mungkin terjadi terkait dengan indikator
2. Dampak dari terjadinya peristiwa yang mungkin terjadi terkait dengan indikator</v>
      </c>
      <c r="E49" s="170" t="str">
        <f>'Kertas Kerja'!J477</f>
        <v>RENDAH</v>
      </c>
      <c r="G49" s="276" t="str">
        <f>'Kertas Kerja'!H477</f>
        <v>A</v>
      </c>
      <c r="H49" s="276">
        <f>'Kertas Kerja'!I477</f>
        <v>1</v>
      </c>
    </row>
    <row r="50" spans="1:8" ht="48" hidden="1" x14ac:dyDescent="0.25">
      <c r="A50" s="142" t="str">
        <f>'Lap AK'!B57</f>
        <v/>
      </c>
      <c r="B50" s="149" t="s">
        <v>71</v>
      </c>
      <c r="C50" s="169" t="str">
        <f>'Kertas Kerja'!F509</f>
        <v>Deskripsi dan penjelasan tentang indikator yang terkait</v>
      </c>
      <c r="D50" s="169" t="str">
        <f>'Kertas Kerja'!G509</f>
        <v>Deskripsi identifikasi risiko tentang indikator yang terkait</v>
      </c>
      <c r="E50" s="170" t="str">
        <f>'Kertas Kerja'!J509</f>
        <v>RENDAH</v>
      </c>
      <c r="G50" s="276" t="str">
        <f>'Kertas Kerja'!H509</f>
        <v>A</v>
      </c>
      <c r="H50" s="276">
        <f>'Kertas Kerja'!I509</f>
        <v>1</v>
      </c>
    </row>
    <row r="51" spans="1:8" ht="96" x14ac:dyDescent="0.25">
      <c r="A51" s="142">
        <f>'Lap AK'!B58</f>
        <v>40</v>
      </c>
      <c r="B51" s="149" t="s">
        <v>72</v>
      </c>
      <c r="C51" s="169" t="str">
        <f>'Kertas Kerja'!F515</f>
        <v>Deskripsi dan penjelasan tentang :
1. Capaian terhadap indikator
2. Faktor pendukung dan faktor penghambat
3. Masalah dan akar masalah yang dihadapi
4. Data dan dokumen pendukung</v>
      </c>
      <c r="D51" s="169" t="str">
        <f>'Kertas Kerja'!G515</f>
        <v>Deskripsi dan penjelasan tentang : 
1. Peristiwa yang mungkin terjadi terkait dengan indikator
2. Dampak dari terjadinya peristiwa yang mungkin terjadi terkait dengan indikator</v>
      </c>
      <c r="E51" s="170" t="str">
        <f>'Kertas Kerja'!J515</f>
        <v>RENDAH</v>
      </c>
      <c r="G51" s="276" t="str">
        <f>'Kertas Kerja'!H515</f>
        <v>A</v>
      </c>
      <c r="H51" s="276">
        <f>'Kertas Kerja'!I515</f>
        <v>1</v>
      </c>
    </row>
    <row r="52" spans="1:8" ht="409.5" x14ac:dyDescent="0.25">
      <c r="A52" s="142">
        <f>'Lap AK'!B59</f>
        <v>41</v>
      </c>
      <c r="B52" s="149" t="s">
        <v>73</v>
      </c>
      <c r="C52" s="169" t="str">
        <f>'Kertas Kerja'!F523</f>
        <v>Deskripsi dan penjelasan tentang :
1. Capaian terhadap indikator
2. Faktor pendukung dan faktor penghambat
3. Masalah dan akar masalah yang dihadapi
4. Data dan dokumen pendukung</v>
      </c>
      <c r="D52" s="169" t="str">
        <f>'Kertas Kerja'!G523</f>
        <v>Deskripsi dan penjelasan tentang : 
1. Peristiwa yang mungkin terjadi terkait dengan indikator
2. Dampak dari terjadinya peristiwa yang mungkin terjadi terkait dengan indikator</v>
      </c>
      <c r="E52" s="170" t="str">
        <f>'Kertas Kerja'!J523</f>
        <v>RENDAH</v>
      </c>
      <c r="G52" s="276" t="str">
        <f>'Kertas Kerja'!H523</f>
        <v>A</v>
      </c>
      <c r="H52" s="276">
        <f>'Kertas Kerja'!I523</f>
        <v>1</v>
      </c>
    </row>
    <row r="53" spans="1:8" ht="84" x14ac:dyDescent="0.25">
      <c r="A53" s="142">
        <f>'Lap AK'!B60</f>
        <v>42</v>
      </c>
      <c r="B53" s="149" t="s">
        <v>74</v>
      </c>
      <c r="C53" s="169" t="str">
        <f>'Kertas Kerja'!F543</f>
        <v>Deskripsi dan penjelasan tentang :
1. Capaian terhadap indikator
2. Faktor pendukung dan faktor penghambat
3. Masalah dan akar masalah yang dihadapi
4. Data dan dokumen pendukung</v>
      </c>
      <c r="D53" s="169" t="str">
        <f>'Kertas Kerja'!G543</f>
        <v>Deskripsi dan penjelasan tentang : 
1. Peristiwa yang mungkin terjadi terkait dengan indikator
2. Dampak dari terjadinya peristiwa yang mungkin terjadi terkait dengan indikator</v>
      </c>
      <c r="E53" s="170" t="str">
        <f>'Kertas Kerja'!J543</f>
        <v>RENDAH</v>
      </c>
      <c r="G53" s="276" t="str">
        <f>'Kertas Kerja'!H543</f>
        <v>A</v>
      </c>
      <c r="H53" s="276">
        <f>'Kertas Kerja'!I543</f>
        <v>1</v>
      </c>
    </row>
    <row r="54" spans="1:8" ht="96" x14ac:dyDescent="0.25">
      <c r="A54" s="142">
        <f>'Lap AK'!B61</f>
        <v>43</v>
      </c>
      <c r="B54" s="149" t="s">
        <v>75</v>
      </c>
      <c r="C54" s="169" t="str">
        <f>'Kertas Kerja'!F549</f>
        <v>Deskripsi dan penjelasan tentang :
1. Capaian terhadap indikator
2. Faktor pendukung dan faktor penghambat
3. Masalah dan akar masalah yang dihadapi
4. Data dan dokumen pendukung</v>
      </c>
      <c r="D54" s="169" t="str">
        <f>'Kertas Kerja'!G549</f>
        <v>Deskripsi dan penjelasan tentang : 
1. Peristiwa yang mungkin terjadi terkait dengan indikator
2. Dampak dari terjadinya peristiwa yang mungkin terjadi terkait dengan indikator</v>
      </c>
      <c r="E54" s="170" t="str">
        <f>'Kertas Kerja'!J549</f>
        <v>RENDAH</v>
      </c>
      <c r="G54" s="276" t="str">
        <f>'Kertas Kerja'!H549</f>
        <v>A</v>
      </c>
      <c r="H54" s="276">
        <f>'Kertas Kerja'!I549</f>
        <v>1</v>
      </c>
    </row>
    <row r="55" spans="1:8" ht="84" x14ac:dyDescent="0.25">
      <c r="A55" s="142">
        <f>'Lap AK'!B62</f>
        <v>44</v>
      </c>
      <c r="B55" s="149" t="s">
        <v>76</v>
      </c>
      <c r="C55" s="165" t="str">
        <f>'Kertas Kerja'!F557</f>
        <v>Deskripsi dan penjelasan tentang :
1. Capaian terhadap indikator
2. Faktor pendukung dan faktor penghambat
3. Masalah dan akar masalah yang dihadapi
4. Data dan dokumen pendukung</v>
      </c>
      <c r="D55" s="165" t="str">
        <f>'Kertas Kerja'!G557</f>
        <v>Deskripsi dan penjelasan tentang : 
1. Peristiwa yang mungkin terjadi terkait dengan indikator
2. Dampak dari terjadinya peristiwa yang mungkin terjadi terkait dengan indikator</v>
      </c>
      <c r="E55" s="166" t="str">
        <f>'Kertas Kerja'!J557</f>
        <v>RENDAH</v>
      </c>
      <c r="G55" s="276" t="str">
        <f>'Kertas Kerja'!H557</f>
        <v>A</v>
      </c>
      <c r="H55" s="276">
        <f>'Kertas Kerja'!I557</f>
        <v>1</v>
      </c>
    </row>
    <row r="56" spans="1:8" ht="180" x14ac:dyDescent="0.25">
      <c r="A56" s="142">
        <f>'Lap AK'!B63</f>
        <v>45</v>
      </c>
      <c r="B56" s="149" t="s">
        <v>77</v>
      </c>
      <c r="C56" s="169" t="str">
        <f>'Kertas Kerja'!F569</f>
        <v>Deskripsi dan penjelasan tentang :
1. Capaian terhadap indikator
2. Faktor pendukung dan faktor penghambat
3. Masalah dan akar masalah yang dihadapi
4. Data dan dokumen pendukung</v>
      </c>
      <c r="D56" s="169" t="str">
        <f>'Kertas Kerja'!G569</f>
        <v>Deskripsi dan penjelasan tentang : 
1. Peristiwa yang mungkin terjadi terkait dengan indikator
2. Dampak dari terjadinya peristiwa yang mungkin terjadi terkait dengan indikator</v>
      </c>
      <c r="E56" s="170" t="str">
        <f>'Kertas Kerja'!J569</f>
        <v>RENDAH</v>
      </c>
      <c r="G56" s="276" t="str">
        <f>'Kertas Kerja'!H569</f>
        <v>A</v>
      </c>
      <c r="H56" s="276">
        <f>'Kertas Kerja'!I569</f>
        <v>1</v>
      </c>
    </row>
    <row r="57" spans="1:8" ht="84" x14ac:dyDescent="0.25">
      <c r="A57" s="142">
        <f>'Lap AK'!B64</f>
        <v>46</v>
      </c>
      <c r="B57" s="149" t="s">
        <v>78</v>
      </c>
      <c r="C57" s="169" t="str">
        <f>'Kertas Kerja'!F593</f>
        <v>Deskripsi dan penjelasan tentang :
1. Capaian terhadap indikator
2. Faktor pendukung dan faktor penghambat
3. Masalah dan akar masalah yang dihadapi
4. Data dan dokumen pendukung</v>
      </c>
      <c r="D57" s="169" t="str">
        <f>'Kertas Kerja'!G593</f>
        <v>Deskripsi dan penjelasan tentang : 
1. Peristiwa yang mungkin terjadi terkait dengan indikator
2. Dampak dari terjadinya peristiwa yang mungkin terjadi terkait dengan indikator</v>
      </c>
      <c r="E57" s="170" t="str">
        <f>'Kertas Kerja'!J593</f>
        <v>RENDAH</v>
      </c>
      <c r="G57" s="276" t="str">
        <f>'Kertas Kerja'!H593</f>
        <v>A</v>
      </c>
      <c r="H57" s="276">
        <f>'Kertas Kerja'!I593</f>
        <v>1</v>
      </c>
    </row>
    <row r="58" spans="1:8" ht="84" x14ac:dyDescent="0.25">
      <c r="A58" s="142">
        <f>'Lap AK'!B65</f>
        <v>47</v>
      </c>
      <c r="B58" s="14" t="s">
        <v>921</v>
      </c>
      <c r="C58" s="169" t="str">
        <f>'Kertas Kerja'!F597</f>
        <v>Deskripsi dan penjelasan tentang :
1. Capaian terhadap indikator
2. Faktor pendukung dan faktor penghambat
3. Masalah dan akar masalah yang dihadapi
4. Data dan dokumen pendukung</v>
      </c>
      <c r="D58" s="169" t="str">
        <f>'Kertas Kerja'!G597</f>
        <v>Deskripsi dan penjelasan tentang : 
1. Peristiwa yang mungkin terjadi terkait dengan indikator
2. Dampak dari terjadinya peristiwa yang mungkin terjadi terkait dengan indikator</v>
      </c>
      <c r="E58" s="170" t="str">
        <f>'Kertas Kerja'!J597</f>
        <v>RENDAH</v>
      </c>
      <c r="G58" s="276" t="str">
        <f>'Kertas Kerja'!H597</f>
        <v>A</v>
      </c>
      <c r="H58" s="276">
        <f>'Kertas Kerja'!I597</f>
        <v>1</v>
      </c>
    </row>
    <row r="59" spans="1:8" ht="180" x14ac:dyDescent="0.25">
      <c r="A59" s="142">
        <f>'Lap AK'!B66</f>
        <v>48</v>
      </c>
      <c r="B59" s="149" t="s">
        <v>79</v>
      </c>
      <c r="C59" s="169" t="str">
        <f>'Kertas Kerja'!F601</f>
        <v>Deskripsi dan penjelasan tentang :
1. Capaian terhadap indikator
2. Faktor pendukung dan faktor penghambat
3. Masalah dan akar masalah yang dihadapi
4. Data dan dokumen pendukung</v>
      </c>
      <c r="D59" s="169" t="str">
        <f>'Kertas Kerja'!G601</f>
        <v>Deskripsi dan penjelasan tentang : 
1. Peristiwa yang mungkin terjadi terkait dengan indikator
2. Dampak dari terjadinya peristiwa yang mungkin terjadi terkait dengan indikator</v>
      </c>
      <c r="E59" s="170" t="str">
        <f>'Kertas Kerja'!J601</f>
        <v>RENDAH</v>
      </c>
      <c r="G59" s="276" t="str">
        <f>'Kertas Kerja'!H601</f>
        <v>A</v>
      </c>
      <c r="H59" s="276">
        <f>'Kertas Kerja'!I601</f>
        <v>1</v>
      </c>
    </row>
    <row r="60" spans="1:8" ht="60" hidden="1" x14ac:dyDescent="0.25">
      <c r="A60" s="142" t="str">
        <f>'Lap AK'!B67</f>
        <v/>
      </c>
      <c r="B60" s="149" t="s">
        <v>80</v>
      </c>
      <c r="C60" s="169" t="str">
        <f>'Kertas Kerja'!F609</f>
        <v>Deskripsi dan penjelasan tentang indikator yang terkait</v>
      </c>
      <c r="D60" s="169" t="str">
        <f>'Kertas Kerja'!G609</f>
        <v>Deskripsi identifikasi risiko tentang indikator yang terkait</v>
      </c>
      <c r="E60" s="170" t="str">
        <f>'Kertas Kerja'!J609</f>
        <v>RENDAH</v>
      </c>
      <c r="G60" s="276" t="str">
        <f>'Kertas Kerja'!H609</f>
        <v>A</v>
      </c>
      <c r="H60" s="276">
        <f>'Kertas Kerja'!I609</f>
        <v>1</v>
      </c>
    </row>
    <row r="61" spans="1:8" ht="132" x14ac:dyDescent="0.25">
      <c r="A61" s="142">
        <f>'Lap AK'!B68</f>
        <v>49</v>
      </c>
      <c r="B61" s="149" t="s">
        <v>81</v>
      </c>
      <c r="C61" s="169" t="str">
        <f>'Kertas Kerja'!F613</f>
        <v>Deskripsi dan penjelasan tentang :
1. Capaian terhadap indikator
2. Faktor pendukung dan faktor penghambat
3. Masalah dan akar masalah yang dihadapi
4. Data dan dokumen pendukung</v>
      </c>
      <c r="D61" s="169" t="str">
        <f>'Kertas Kerja'!G613</f>
        <v>Deskripsi dan penjelasan tentang : 
1. Peristiwa yang mungkin terjadi terkait dengan indikator
2. Dampak dari terjadinya peristiwa yang mungkin terjadi terkait dengan indikator</v>
      </c>
      <c r="E61" s="170" t="str">
        <f>'Kertas Kerja'!J613</f>
        <v>RENDAH</v>
      </c>
      <c r="G61" s="276" t="str">
        <f>'Kertas Kerja'!H613</f>
        <v>A</v>
      </c>
      <c r="H61" s="276">
        <f>'Kertas Kerja'!I613</f>
        <v>1</v>
      </c>
    </row>
    <row r="62" spans="1:8" ht="84" x14ac:dyDescent="0.25">
      <c r="A62" s="142">
        <f>'Lap AK'!B69</f>
        <v>50</v>
      </c>
      <c r="B62" s="149" t="s">
        <v>82</v>
      </c>
      <c r="C62" s="169" t="str">
        <f>'Kertas Kerja'!F621</f>
        <v>Deskripsi dan penjelasan tentang :
1. Capaian terhadap indikator
2. Faktor pendukung dan faktor penghambat
3. Masalah dan akar masalah yang dihadapi
4. Data dan dokumen pendukung</v>
      </c>
      <c r="D62" s="169" t="str">
        <f>'Kertas Kerja'!G621</f>
        <v>Deskripsi dan penjelasan tentang : 
1. Peristiwa yang mungkin terjadi terkait dengan indikator
2. Dampak dari terjadinya peristiwa yang mungkin terjadi terkait dengan indikator</v>
      </c>
      <c r="E62" s="170" t="str">
        <f>'Kertas Kerja'!J621</f>
        <v>RENDAH</v>
      </c>
      <c r="G62" s="276" t="str">
        <f>'Kertas Kerja'!H621</f>
        <v>A</v>
      </c>
      <c r="H62" s="276">
        <f>'Kertas Kerja'!I621</f>
        <v>1</v>
      </c>
    </row>
    <row r="63" spans="1:8" ht="84" x14ac:dyDescent="0.25">
      <c r="A63" s="142">
        <f>'Lap AK'!B70</f>
        <v>51</v>
      </c>
      <c r="B63" s="149" t="s">
        <v>83</v>
      </c>
      <c r="C63" s="169" t="str">
        <f>'Kertas Kerja'!F633</f>
        <v>Deskripsi dan penjelasan tentang :
1. Capaian terhadap indikator
2. Faktor pendukung dan faktor penghambat
3. Masalah dan akar masalah yang dihadapi
4. Data dan dokumen pendukung</v>
      </c>
      <c r="D63" s="169" t="str">
        <f>'Kertas Kerja'!G633</f>
        <v>Deskripsi dan penjelasan tentang : 
1. Peristiwa yang mungkin terjadi terkait dengan indikator
2. Dampak dari terjadinya peristiwa yang mungkin terjadi terkait dengan indikator</v>
      </c>
      <c r="E63" s="163" t="str">
        <f>'Kertas Kerja'!J633</f>
        <v>RENDAH</v>
      </c>
      <c r="G63" s="276" t="str">
        <f>'Kertas Kerja'!H633</f>
        <v>A</v>
      </c>
      <c r="H63" s="276">
        <f>'Kertas Kerja'!I633</f>
        <v>1</v>
      </c>
    </row>
    <row r="64" spans="1:8" ht="36" hidden="1" x14ac:dyDescent="0.25">
      <c r="A64" s="142" t="str">
        <f>'Lap AK'!B71</f>
        <v/>
      </c>
      <c r="B64" s="149" t="s">
        <v>84</v>
      </c>
      <c r="C64" s="169" t="str">
        <f>'Kertas Kerja'!F646</f>
        <v>Deskripsi dan penjelasan tentang indikator yang terkait</v>
      </c>
      <c r="D64" s="169" t="str">
        <f>'Kertas Kerja'!G646</f>
        <v>Deskripsi identifikasi risiko tentang indikator yang terkait</v>
      </c>
      <c r="E64" s="170" t="str">
        <f>'Kertas Kerja'!J646</f>
        <v>RENDAH</v>
      </c>
      <c r="G64" s="276" t="str">
        <f>'Kertas Kerja'!H646</f>
        <v>A</v>
      </c>
      <c r="H64" s="276">
        <f>'Kertas Kerja'!I646</f>
        <v>1</v>
      </c>
    </row>
    <row r="65" spans="1:8" ht="84" x14ac:dyDescent="0.25">
      <c r="A65" s="142">
        <f>'Lap AK'!B72</f>
        <v>52</v>
      </c>
      <c r="B65" s="149" t="s">
        <v>85</v>
      </c>
      <c r="C65" s="169" t="str">
        <f>'Kertas Kerja'!F659</f>
        <v>Deskripsi dan penjelasan tentang :
1. Capaian terhadap indikator
2. Faktor pendukung dan faktor penghambat
3. Masalah dan akar masalah yang dihadapi
4. Data dan dokumen pendukung</v>
      </c>
      <c r="D65" s="169" t="str">
        <f>'Kertas Kerja'!G659</f>
        <v>Deskripsi dan penjelasan tentang : 
1. Peristiwa yang mungkin terjadi terkait dengan indikator
2. Dampak dari terjadinya peristiwa yang mungkin terjadi terkait dengan indikator</v>
      </c>
      <c r="E65" s="170" t="str">
        <f>'Kertas Kerja'!J659</f>
        <v>RENDAH</v>
      </c>
      <c r="G65" s="276" t="str">
        <f>'Kertas Kerja'!H659</f>
        <v>A</v>
      </c>
      <c r="H65" s="276">
        <f>'Kertas Kerja'!I659</f>
        <v>1</v>
      </c>
    </row>
    <row r="66" spans="1:8" ht="84" x14ac:dyDescent="0.25">
      <c r="A66" s="142">
        <f>'Lap AK'!B73</f>
        <v>53</v>
      </c>
      <c r="B66" s="149" t="s">
        <v>86</v>
      </c>
      <c r="C66" s="169" t="str">
        <f>'Kertas Kerja'!F671</f>
        <v>Deskripsi dan penjelasan tentang :
1. Capaian terhadap indikator
2. Faktor pendukung dan faktor penghambat
3. Masalah dan akar masalah yang dihadapi
4. Data dan dokumen pendukung</v>
      </c>
      <c r="D66" s="169" t="str">
        <f>'Kertas Kerja'!G671</f>
        <v>Deskripsi dan penjelasan tentang : 
1. Peristiwa yang mungkin terjadi terkait dengan indikator
2. Dampak dari terjadinya peristiwa yang mungkin terjadi terkait dengan indikator</v>
      </c>
      <c r="E66" s="170" t="str">
        <f>'Kertas Kerja'!J671</f>
        <v>RENDAH</v>
      </c>
      <c r="G66" s="276" t="str">
        <f>'Kertas Kerja'!H671</f>
        <v>A</v>
      </c>
      <c r="H66" s="276">
        <f>'Kertas Kerja'!I671</f>
        <v>1</v>
      </c>
    </row>
    <row r="67" spans="1:8" ht="84" x14ac:dyDescent="0.25">
      <c r="A67" s="142">
        <f>'Lap AK'!B74</f>
        <v>54</v>
      </c>
      <c r="B67" s="149" t="s">
        <v>87</v>
      </c>
      <c r="C67" s="169" t="str">
        <f>'Kertas Kerja'!F681</f>
        <v>Deskripsi dan penjelasan tentang :
1. Capaian terhadap indikator
2. Faktor pendukung dan faktor penghambat
3. Masalah dan akar masalah yang dihadapi
4. Data dan dokumen pendukung</v>
      </c>
      <c r="D67" s="169" t="str">
        <f>'Kertas Kerja'!G681</f>
        <v>Deskripsi dan penjelasan tentang : 
1. Peristiwa yang mungkin terjadi terkait dengan indikator
2. Dampak dari terjadinya peristiwa yang mungkin terjadi terkait dengan indikator</v>
      </c>
      <c r="E67" s="170" t="str">
        <f>'Kertas Kerja'!J681</f>
        <v>RENDAH</v>
      </c>
      <c r="G67" s="276" t="str">
        <f>'Kertas Kerja'!H681</f>
        <v>A</v>
      </c>
      <c r="H67" s="276">
        <f>'Kertas Kerja'!I681</f>
        <v>1</v>
      </c>
    </row>
    <row r="68" spans="1:8" ht="132" x14ac:dyDescent="0.25">
      <c r="A68" s="142">
        <f>'Lap AK'!B75</f>
        <v>55</v>
      </c>
      <c r="B68" s="149" t="s">
        <v>88</v>
      </c>
      <c r="C68" s="169" t="str">
        <f>'Kertas Kerja'!F691</f>
        <v>Deskripsi dan penjelasan tentang :
1. Capaian terhadap indikator
2. Faktor pendukung dan faktor penghambat
3. Masalah dan akar masalah yang dihadapi
4. Data dan dokumen pendukung</v>
      </c>
      <c r="D68" s="169" t="str">
        <f>'Kertas Kerja'!G691</f>
        <v>Deskripsi dan penjelasan tentang : 
1. Peristiwa yang mungkin terjadi terkait dengan indikator
2. Dampak dari terjadinya peristiwa yang mungkin terjadi terkait dengan indikator</v>
      </c>
      <c r="E68" s="170" t="str">
        <f>'Kertas Kerja'!J691</f>
        <v>RENDAH</v>
      </c>
      <c r="G68" s="276" t="str">
        <f>'Kertas Kerja'!H691</f>
        <v>A</v>
      </c>
      <c r="H68" s="276">
        <f>'Kertas Kerja'!I691</f>
        <v>1</v>
      </c>
    </row>
    <row r="69" spans="1:8" ht="24" hidden="1" x14ac:dyDescent="0.25">
      <c r="A69" s="142" t="str">
        <f>'Lap AK'!B76</f>
        <v/>
      </c>
      <c r="B69" s="149" t="s">
        <v>89</v>
      </c>
      <c r="C69" s="169" t="str">
        <f>'Kertas Kerja'!F699</f>
        <v>Deskripsi dan penjelasan tentang indikator yang terkait</v>
      </c>
      <c r="D69" s="169" t="str">
        <f>'Kertas Kerja'!G699</f>
        <v>Deskripsi identifikasi risiko tentang indikator yang terkait</v>
      </c>
      <c r="E69" s="170" t="str">
        <f>'Kertas Kerja'!J699</f>
        <v>RENDAH</v>
      </c>
      <c r="G69" s="276" t="str">
        <f>'Kertas Kerja'!H699</f>
        <v>A</v>
      </c>
      <c r="H69" s="276">
        <f>'Kertas Kerja'!I699</f>
        <v>1</v>
      </c>
    </row>
    <row r="70" spans="1:8" ht="84" x14ac:dyDescent="0.25">
      <c r="A70" s="142">
        <f>'Lap AK'!B77</f>
        <v>56</v>
      </c>
      <c r="B70" s="149" t="s">
        <v>90</v>
      </c>
      <c r="C70" s="169" t="str">
        <f>'Kertas Kerja'!F728</f>
        <v>Deskripsi dan penjelasan tentang :
1. Capaian terhadap indikator
2. Faktor pendukung dan faktor penghambat
3. Masalah dan akar masalah yang dihadapi
4. Data dan dokumen pendukung</v>
      </c>
      <c r="D70" s="169" t="str">
        <f>'Kertas Kerja'!G728</f>
        <v>Deskripsi dan penjelasan tentang : 
1. Peristiwa yang mungkin terjadi terkait dengan indikator
2. Dampak dari terjadinya peristiwa yang mungkin terjadi terkait dengan indikator</v>
      </c>
      <c r="E70" s="170" t="str">
        <f>'Kertas Kerja'!J728</f>
        <v>RENDAH</v>
      </c>
      <c r="G70" s="276" t="str">
        <f>'Kertas Kerja'!H728</f>
        <v>A</v>
      </c>
      <c r="H70" s="276">
        <f>'Kertas Kerja'!I728</f>
        <v>1</v>
      </c>
    </row>
    <row r="71" spans="1:8" ht="24" hidden="1" x14ac:dyDescent="0.25">
      <c r="A71" s="142" t="str">
        <f>'Lap AK'!B78</f>
        <v/>
      </c>
      <c r="B71" s="149" t="s">
        <v>91</v>
      </c>
      <c r="C71" s="169" t="str">
        <f>'Kertas Kerja'!F755</f>
        <v>Deskripsi dan penjelasan tentang indikator yang terkait</v>
      </c>
      <c r="D71" s="169" t="str">
        <f>'Kertas Kerja'!G755</f>
        <v>Deskripsi identifikasi risiko tentang indikator yang terkait</v>
      </c>
      <c r="E71" s="170" t="str">
        <f>'Kertas Kerja'!J755</f>
        <v>RENDAH</v>
      </c>
      <c r="G71" s="276" t="str">
        <f>'Kertas Kerja'!H755</f>
        <v>A</v>
      </c>
      <c r="H71" s="276">
        <f>'Kertas Kerja'!I755</f>
        <v>1</v>
      </c>
    </row>
    <row r="72" spans="1:8" ht="84" x14ac:dyDescent="0.25">
      <c r="A72" s="142">
        <f>'Lap AK'!B79</f>
        <v>57</v>
      </c>
      <c r="B72" s="149" t="s">
        <v>92</v>
      </c>
      <c r="C72" s="169" t="str">
        <f>'Kertas Kerja'!F788</f>
        <v>Deskripsi dan penjelasan tentang :
1. Capaian terhadap indikator
2. Faktor pendukung dan faktor penghambat
3. Masalah dan akar masalah yang dihadapi
4. Data dan dokumen pendukung</v>
      </c>
      <c r="D72" s="169" t="str">
        <f>'Kertas Kerja'!G788</f>
        <v>Deskripsi dan penjelasan tentang : 
1. Peristiwa yang mungkin terjadi terkait dengan indikator
2. Dampak dari terjadinya peristiwa yang mungkin terjadi terkait dengan indikator</v>
      </c>
      <c r="E72" s="170" t="str">
        <f>'Kertas Kerja'!J788</f>
        <v>RENDAH</v>
      </c>
      <c r="G72" s="276" t="str">
        <f>'Kertas Kerja'!H788</f>
        <v>A</v>
      </c>
      <c r="H72" s="276">
        <f>'Kertas Kerja'!I788</f>
        <v>1</v>
      </c>
    </row>
    <row r="73" spans="1:8" ht="84" x14ac:dyDescent="0.25">
      <c r="A73" s="142">
        <f>'Lap AK'!B80</f>
        <v>58</v>
      </c>
      <c r="B73" s="149" t="s">
        <v>895</v>
      </c>
      <c r="C73" s="169" t="str">
        <f>'Kertas Kerja'!F836</f>
        <v>Deskripsi dan penjelasan tentang :
1. Capaian terhadap indikator
2. Faktor pendukung dan faktor penghambat
3. Masalah dan akar masalah yang dihadapi
4. Data dan dokumen pendukung</v>
      </c>
      <c r="D73" s="169" t="str">
        <f>'Kertas Kerja'!G836</f>
        <v>Deskripsi dan penjelasan tentang : 
1. Peristiwa yang mungkin terjadi terkait dengan indikator
2. Dampak dari terjadinya peristiwa yang mungkin terjadi terkait dengan indikator</v>
      </c>
      <c r="E73" s="170" t="str">
        <f>'Kertas Kerja'!J836</f>
        <v>RENDAH</v>
      </c>
      <c r="G73" s="276" t="str">
        <f>'Kertas Kerja'!H836</f>
        <v>A</v>
      </c>
      <c r="H73" s="276">
        <f>'Kertas Kerja'!I836</f>
        <v>1</v>
      </c>
    </row>
    <row r="74" spans="1:8" ht="84" x14ac:dyDescent="0.25">
      <c r="A74" s="142">
        <f>'Lap AK'!B81</f>
        <v>59</v>
      </c>
      <c r="B74" s="14" t="s">
        <v>922</v>
      </c>
      <c r="C74" s="169" t="str">
        <f>'Kertas Kerja'!F861</f>
        <v>Deskripsi dan penjelasan tentang :
1. Capaian terhadap indikator
2. Faktor pendukung dan faktor penghambat
3. Masalah dan akar masalah yang dihadapi
4. Data dan dokumen pendukung</v>
      </c>
      <c r="D74" s="169" t="str">
        <f>'Kertas Kerja'!G861</f>
        <v>Deskripsi dan penjelasan tentang : 
1. Peristiwa yang mungkin terjadi terkait dengan indikator
2. Dampak dari terjadinya peristiwa yang mungkin terjadi terkait dengan indikator</v>
      </c>
      <c r="E74" s="170" t="str">
        <f>'Kertas Kerja'!J861</f>
        <v>RENDAH</v>
      </c>
      <c r="G74" s="276" t="str">
        <f>'Kertas Kerja'!H861</f>
        <v>A</v>
      </c>
      <c r="H74" s="276">
        <f>'Kertas Kerja'!I861</f>
        <v>1</v>
      </c>
    </row>
    <row r="75" spans="1:8" ht="72" hidden="1" x14ac:dyDescent="0.25">
      <c r="A75" s="142" t="str">
        <f>'Lap AK'!B82</f>
        <v/>
      </c>
      <c r="B75" s="149" t="s">
        <v>896</v>
      </c>
      <c r="C75" s="169" t="str">
        <f>'Kertas Kerja'!F865</f>
        <v>Deskripsi dan penjelasan tentang indikator yang terkait</v>
      </c>
      <c r="D75" s="169" t="str">
        <f>'Kertas Kerja'!G865</f>
        <v>Deskripsi identifikasi risiko tentang indikator yang terkait</v>
      </c>
      <c r="E75" s="170" t="str">
        <f>'Kertas Kerja'!J865</f>
        <v>RENDAH</v>
      </c>
      <c r="G75" s="276" t="str">
        <f>'Kertas Kerja'!H865</f>
        <v>A</v>
      </c>
      <c r="H75" s="276">
        <f>'Kertas Kerja'!I865</f>
        <v>1</v>
      </c>
    </row>
    <row r="76" spans="1:8" ht="84" x14ac:dyDescent="0.25">
      <c r="A76" s="142">
        <f>'Lap AK'!B83</f>
        <v>60</v>
      </c>
      <c r="B76" s="149" t="s">
        <v>93</v>
      </c>
      <c r="C76" s="169" t="str">
        <f>'Kertas Kerja'!F869</f>
        <v>Deskripsi dan penjelasan tentang :
1. Capaian terhadap indikator
2. Faktor pendukung dan faktor penghambat
3. Masalah dan akar masalah yang dihadapi
4. Data dan dokumen pendukung</v>
      </c>
      <c r="D76" s="169" t="str">
        <f>'Kertas Kerja'!G869</f>
        <v>Deskripsi dan penjelasan tentang : 
1. Peristiwa yang mungkin terjadi terkait dengan indikator
2. Dampak dari terjadinya peristiwa yang mungkin terjadi terkait dengan indikator</v>
      </c>
      <c r="E76" s="170" t="str">
        <f>'Kertas Kerja'!J869</f>
        <v>RENDAH</v>
      </c>
      <c r="G76" s="276" t="str">
        <f>'Kertas Kerja'!H869</f>
        <v>A</v>
      </c>
      <c r="H76" s="276">
        <f>'Kertas Kerja'!I869</f>
        <v>1</v>
      </c>
    </row>
    <row r="77" spans="1:8" ht="84" x14ac:dyDescent="0.25">
      <c r="A77" s="142">
        <f>'Lap AK'!B84</f>
        <v>61</v>
      </c>
      <c r="B77" s="155" t="s">
        <v>94</v>
      </c>
      <c r="C77" s="169" t="str">
        <f>'Kertas Kerja'!F878</f>
        <v>Deskripsi dan penjelasan tentang :
1. Capaian terhadap indikator
2. Faktor pendukung dan faktor penghambat
3. Masalah dan akar masalah yang dihadapi
4. Data dan dokumen pendukung</v>
      </c>
      <c r="D77" s="169" t="str">
        <f>'Kertas Kerja'!G878</f>
        <v>Deskripsi dan penjelasan tentang : 
1. Peristiwa yang mungkin terjadi terkait dengan indikator
2. Dampak dari terjadinya peristiwa yang mungkin terjadi terkait dengan indikator</v>
      </c>
      <c r="E77" s="170" t="str">
        <f>'Kertas Kerja'!J878</f>
        <v>RENDAH</v>
      </c>
      <c r="G77" s="276" t="str">
        <f>'Kertas Kerja'!H878</f>
        <v>A</v>
      </c>
      <c r="H77" s="276">
        <f>'Kertas Kerja'!I878</f>
        <v>1</v>
      </c>
    </row>
    <row r="78" spans="1:8" ht="84" x14ac:dyDescent="0.25">
      <c r="A78" s="142">
        <f>'Lap AK'!B85</f>
        <v>62</v>
      </c>
      <c r="B78" s="155" t="s">
        <v>95</v>
      </c>
      <c r="C78" s="169" t="str">
        <f>'Kertas Kerja'!F886</f>
        <v>Deskripsi dan penjelasan tentang :
1. Capaian terhadap indikator
2. Faktor pendukung dan faktor penghambat
3. Masalah dan akar masalah yang dihadapi
4. Data dan dokumen pendukung</v>
      </c>
      <c r="D78" s="169" t="str">
        <f>'Kertas Kerja'!G886</f>
        <v>Deskripsi dan penjelasan tentang : 
1. Peristiwa yang mungkin terjadi terkait dengan indikator
2. Dampak dari terjadinya peristiwa yang mungkin terjadi terkait dengan indikator</v>
      </c>
      <c r="E78" s="170" t="str">
        <f>'Kertas Kerja'!J886</f>
        <v>RENDAH</v>
      </c>
      <c r="G78" s="276" t="str">
        <f>'Kertas Kerja'!H886</f>
        <v>A</v>
      </c>
      <c r="H78" s="276">
        <f>'Kertas Kerja'!I886</f>
        <v>1</v>
      </c>
    </row>
    <row r="79" spans="1:8" ht="84" x14ac:dyDescent="0.25">
      <c r="A79" s="142">
        <f>'Lap AK'!B86</f>
        <v>63</v>
      </c>
      <c r="B79" s="155" t="s">
        <v>96</v>
      </c>
      <c r="C79" s="169" t="str">
        <f>'Kertas Kerja'!F894</f>
        <v>Deskripsi dan penjelasan tentang :
1. Capaian terhadap indikator
2. Faktor pendukung dan faktor penghambat
3. Masalah dan akar masalah yang dihadapi
4. Data dan dokumen pendukung</v>
      </c>
      <c r="D79" s="169" t="str">
        <f>'Kertas Kerja'!G894</f>
        <v>Deskripsi dan penjelasan tentang : 
1. Peristiwa yang mungkin terjadi terkait dengan indikator
2. Dampak dari terjadinya peristiwa yang mungkin terjadi terkait dengan indikator</v>
      </c>
      <c r="E79" s="170" t="str">
        <f>'Kertas Kerja'!J894</f>
        <v>RENDAH</v>
      </c>
      <c r="G79" s="276" t="str">
        <f>'Kertas Kerja'!H894</f>
        <v>A</v>
      </c>
      <c r="H79" s="276">
        <f>'Kertas Kerja'!I894</f>
        <v>1</v>
      </c>
    </row>
    <row r="80" spans="1:8" ht="84" x14ac:dyDescent="0.25">
      <c r="A80" s="142">
        <f>'Lap AK'!B87</f>
        <v>64</v>
      </c>
      <c r="B80" s="156" t="s">
        <v>97</v>
      </c>
      <c r="C80" s="169" t="str">
        <f>'Kertas Kerja'!F902</f>
        <v>Deskripsi dan penjelasan tentang :
1. Capaian terhadap indikator
2. Faktor pendukung dan faktor penghambat
3. Masalah dan akar masalah yang dihadapi
4. Data dan dokumen pendukung</v>
      </c>
      <c r="D80" s="169" t="str">
        <f>'Kertas Kerja'!G902</f>
        <v>Deskripsi dan penjelasan tentang : 
1. Peristiwa yang mungkin terjadi terkait dengan indikator
2. Dampak dari terjadinya peristiwa yang mungkin terjadi terkait dengan indikator</v>
      </c>
      <c r="E80" s="170" t="str">
        <f>'Kertas Kerja'!J902</f>
        <v>RENDAH</v>
      </c>
      <c r="G80" s="276" t="str">
        <f>'Kertas Kerja'!H902</f>
        <v>A</v>
      </c>
      <c r="H80" s="276">
        <f>'Kertas Kerja'!I902</f>
        <v>1</v>
      </c>
    </row>
  </sheetData>
  <sheetProtection algorithmName="SHA-512" hashValue="VZaclMZgctIj5fCDhOKZVX7P0ooVkxjO+HnDJKw39kyYs0ABQ97JBjdmZJAs0pPtkMFqMXcWEJ2esvVATLLoNQ==" saltValue="exmHK2iAwcDtiIAoWpuayA==" spinCount="100000" sheet="1" objects="1" scenarios="1" formatCells="0" formatColumns="0" formatRows="0"/>
  <mergeCells count="2">
    <mergeCell ref="A1:E1"/>
    <mergeCell ref="A2:E2"/>
  </mergeCells>
  <conditionalFormatting sqref="E6:E57 E75:E80 E59:E73">
    <cfRule type="cellIs" dxfId="67" priority="22" operator="equal">
      <formula>"RENDAH"</formula>
    </cfRule>
    <cfRule type="cellIs" dxfId="66" priority="23" operator="equal">
      <formula>"MODERAT"</formula>
    </cfRule>
    <cfRule type="cellIs" dxfId="65" priority="24" operator="equal">
      <formula>"TINGGI"</formula>
    </cfRule>
    <cfRule type="cellIs" dxfId="64" priority="25" operator="equal">
      <formula>"EKSTREM"</formula>
    </cfRule>
  </conditionalFormatting>
  <conditionalFormatting sqref="B30">
    <cfRule type="cellIs" dxfId="63" priority="12" operator="equal">
      <formula>"Tidak dinilai"</formula>
    </cfRule>
  </conditionalFormatting>
  <conditionalFormatting sqref="B36">
    <cfRule type="cellIs" dxfId="62" priority="11" operator="equal">
      <formula>"Tidak dinilai"</formula>
    </cfRule>
  </conditionalFormatting>
  <conditionalFormatting sqref="B17:B23 B35 B38:B40 B42:B57 B61:B64 B66:B72 B25:B29 B6:B14 B31:B32 B76:B80 B59">
    <cfRule type="cellIs" dxfId="61" priority="19" operator="equal">
      <formula>"Tidak dinilai"</formula>
    </cfRule>
  </conditionalFormatting>
  <conditionalFormatting sqref="B42">
    <cfRule type="cellIs" dxfId="60" priority="18" operator="equal">
      <formula>"Tidak dinilai"</formula>
    </cfRule>
  </conditionalFormatting>
  <conditionalFormatting sqref="B60">
    <cfRule type="cellIs" dxfId="59" priority="17" operator="equal">
      <formula>"Tidak dinilai"</formula>
    </cfRule>
  </conditionalFormatting>
  <conditionalFormatting sqref="B34">
    <cfRule type="cellIs" dxfId="58" priority="16" operator="equal">
      <formula>"Tidak dinilai"</formula>
    </cfRule>
  </conditionalFormatting>
  <conditionalFormatting sqref="B37">
    <cfRule type="cellIs" dxfId="57" priority="15" operator="equal">
      <formula>"Tidak dinilai"</formula>
    </cfRule>
  </conditionalFormatting>
  <conditionalFormatting sqref="B41">
    <cfRule type="cellIs" dxfId="56" priority="14" operator="equal">
      <formula>"Tidak dinilai"</formula>
    </cfRule>
  </conditionalFormatting>
  <conditionalFormatting sqref="B33">
    <cfRule type="cellIs" dxfId="55" priority="13" operator="equal">
      <formula>"Tidak dinilai"</formula>
    </cfRule>
  </conditionalFormatting>
  <conditionalFormatting sqref="E58">
    <cfRule type="cellIs" dxfId="54" priority="7" operator="equal">
      <formula>"RENDAH"</formula>
    </cfRule>
    <cfRule type="cellIs" dxfId="53" priority="8" operator="equal">
      <formula>"MODERAT"</formula>
    </cfRule>
    <cfRule type="cellIs" dxfId="52" priority="9" operator="equal">
      <formula>"TINGGI"</formula>
    </cfRule>
    <cfRule type="cellIs" dxfId="51" priority="10" operator="equal">
      <formula>"EKSTREM"</formula>
    </cfRule>
  </conditionalFormatting>
  <conditionalFormatting sqref="E74">
    <cfRule type="cellIs" dxfId="50" priority="3" operator="equal">
      <formula>"RENDAH"</formula>
    </cfRule>
    <cfRule type="cellIs" dxfId="49" priority="4" operator="equal">
      <formula>"MODERAT"</formula>
    </cfRule>
    <cfRule type="cellIs" dxfId="48" priority="5" operator="equal">
      <formula>"TINGGI"</formula>
    </cfRule>
    <cfRule type="cellIs" dxfId="47" priority="6" operator="equal">
      <formula>"EKSTREM"</formula>
    </cfRule>
  </conditionalFormatting>
  <conditionalFormatting sqref="A6:A80">
    <cfRule type="containsBlanks" dxfId="46" priority="1">
      <formula>LEN(TRIM(A6))=0</formula>
    </cfRule>
    <cfRule type="cellIs" dxfId="45" priority="2" operator="equal">
      <formula>0</formula>
    </cfRule>
  </conditionalFormatting>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A89"/>
  <sheetViews>
    <sheetView topLeftCell="A7" workbookViewId="0">
      <selection activeCell="A13" sqref="A13:XFD90"/>
    </sheetView>
  </sheetViews>
  <sheetFormatPr defaultColWidth="9.140625" defaultRowHeight="15" x14ac:dyDescent="0.25"/>
  <cols>
    <col min="1" max="1" width="4.7109375" style="27" customWidth="1"/>
    <col min="2" max="2" width="5.7109375" style="27" customWidth="1"/>
    <col min="3" max="3" width="13.7109375" style="27" customWidth="1"/>
    <col min="4" max="4" width="5.7109375" style="27" customWidth="1"/>
    <col min="5" max="9" width="28.7109375" style="27" customWidth="1"/>
    <col min="10" max="16384" width="9.140625" style="27"/>
  </cols>
  <sheetData>
    <row r="1" spans="1:27" x14ac:dyDescent="0.25">
      <c r="A1" s="535" t="s">
        <v>849</v>
      </c>
      <c r="B1" s="535"/>
      <c r="C1" s="535"/>
      <c r="D1" s="535"/>
      <c r="E1" s="535"/>
      <c r="F1" s="535"/>
      <c r="G1" s="535"/>
      <c r="H1" s="535"/>
      <c r="I1" s="535"/>
    </row>
    <row r="2" spans="1:27" x14ac:dyDescent="0.25">
      <c r="A2" s="535" t="str">
        <f>"PROGRAM STUDI "&amp;UPPER('Isian Prodi'!C5)</f>
        <v>PROGRAM STUDI PRODI S2</v>
      </c>
      <c r="B2" s="535"/>
      <c r="C2" s="535"/>
      <c r="D2" s="535"/>
      <c r="E2" s="535"/>
      <c r="F2" s="535"/>
      <c r="G2" s="535"/>
      <c r="H2" s="535"/>
      <c r="I2" s="535"/>
    </row>
    <row r="3" spans="1:27" ht="15.75" thickBot="1" x14ac:dyDescent="0.3"/>
    <row r="4" spans="1:27" ht="105" customHeight="1" x14ac:dyDescent="0.25">
      <c r="B4" s="536" t="s">
        <v>839</v>
      </c>
      <c r="C4" s="171" t="s">
        <v>838</v>
      </c>
      <c r="D4" s="172" t="s">
        <v>804</v>
      </c>
      <c r="E4" s="183" t="str">
        <f>C15&amp;" "&amp;C16&amp;" "&amp;C17&amp;" "&amp;C18&amp;" "&amp;C19&amp;" "&amp;C20&amp;" "&amp;C21&amp;" "&amp;C22&amp;" "&amp;C23&amp;" "&amp;C24&amp;" "&amp;C25&amp;" "&amp;C26&amp;" "&amp;C27&amp;" "&amp;C28&amp;" "&amp;C29&amp;" "&amp;C30&amp;" "&amp;C31&amp;" "&amp;C32&amp;" "&amp;C33&amp;" "&amp;C34&amp;" "&amp;C35&amp;" "&amp;C36&amp;" "&amp;C37&amp;" "&amp;C38&amp;" "&amp;C39&amp;" "&amp;C40&amp;" "&amp;C41&amp;" "&amp;C42&amp;" "&amp;C43&amp;" "&amp;C44&amp;" "&amp;C45&amp;" "&amp;C46&amp;" "&amp;C47&amp;" "&amp;C48&amp;" "&amp;C49&amp;" "&amp;C50&amp;" "&amp;C51&amp;" "&amp;C52&amp;" "&amp;C53&amp;" "&amp;C54&amp;" "&amp;C55&amp;" "&amp;C56&amp;" "&amp;C57&amp;" "&amp;C58&amp;" "&amp;C59&amp;" "&amp;C60&amp;" "&amp;C61&amp;" "&amp;C62&amp;" "&amp;C63&amp;" "&amp;C64&amp;" "&amp;C65&amp;" "&amp;C66&amp;" "&amp;C67&amp;" "&amp;C68&amp;" "&amp;C69&amp;" "&amp;C70&amp;" "&amp;C71&amp;" "&amp;C72&amp;" "&amp;C73&amp;" "&amp;C74&amp;" "&amp;C75&amp;" "&amp;C76&amp;" "&amp;C77&amp;" "&amp;C78&amp;" "&amp;C79&amp;" "&amp;C80&amp;" "&amp;C81&amp;" "&amp;C82&amp;" "&amp;C83&amp;" "&amp;C84&amp;" "&amp;C85&amp;" "&amp;C86&amp;" "&amp;C87&amp;" "&amp;C88&amp;" "&amp;C89</f>
        <v xml:space="preserve">                                                                          </v>
      </c>
      <c r="F4" s="184" t="str">
        <f t="shared" ref="F4:I4" si="0">D15&amp;" "&amp;D16&amp;" "&amp;D17&amp;" "&amp;D18&amp;" "&amp;D19&amp;" "&amp;D20&amp;" "&amp;D21&amp;" "&amp;D22&amp;" "&amp;D23&amp;" "&amp;D24&amp;" "&amp;D25&amp;" "&amp;D26&amp;" "&amp;D27&amp;" "&amp;D28&amp;" "&amp;D29&amp;" "&amp;D30&amp;" "&amp;D31&amp;" "&amp;D32&amp;" "&amp;D33&amp;" "&amp;D34&amp;" "&amp;D35&amp;" "&amp;D36&amp;" "&amp;D37&amp;" "&amp;D38&amp;" "&amp;D39&amp;" "&amp;D40&amp;" "&amp;D41&amp;" "&amp;D42&amp;" "&amp;D43&amp;" "&amp;D44&amp;" "&amp;D45&amp;" "&amp;D46&amp;" "&amp;D47&amp;" "&amp;D48&amp;" "&amp;D49&amp;" "&amp;D50&amp;" "&amp;D51&amp;" "&amp;D52&amp;" "&amp;D53&amp;" "&amp;D54&amp;" "&amp;D55&amp;" "&amp;D56&amp;" "&amp;D57&amp;" "&amp;D58&amp;" "&amp;D59&amp;" "&amp;D60&amp;" "&amp;D61&amp;" "&amp;D62&amp;" "&amp;D63&amp;" "&amp;D64&amp;" "&amp;D65&amp;" "&amp;D66&amp;" "&amp;D67&amp;" "&amp;D68&amp;" "&amp;D69&amp;" "&amp;D70&amp;" "&amp;D71&amp;" "&amp;D72&amp;" "&amp;D73&amp;" "&amp;D74&amp;" "&amp;D75&amp;" "&amp;D76&amp;" "&amp;D77&amp;" "&amp;D78&amp;" "&amp;D79&amp;" "&amp;D80&amp;" "&amp;D81&amp;" "&amp;D82&amp;" "&amp;D83&amp;" "&amp;D84&amp;" "&amp;D85&amp;" "&amp;D86&amp;" "&amp;D87&amp;" "&amp;D88&amp;" "&amp;D89</f>
        <v xml:space="preserve">                                                                          </v>
      </c>
      <c r="G4" s="185" t="str">
        <f t="shared" si="0"/>
        <v xml:space="preserve">                                                                          </v>
      </c>
      <c r="H4" s="186" t="str">
        <f t="shared" si="0"/>
        <v xml:space="preserve">                                                                          </v>
      </c>
      <c r="I4" s="187" t="str">
        <f t="shared" si="0"/>
        <v xml:space="preserve">                                                                          </v>
      </c>
    </row>
    <row r="5" spans="1:27" ht="105" customHeight="1" x14ac:dyDescent="0.25">
      <c r="B5" s="537"/>
      <c r="C5" s="171" t="s">
        <v>840</v>
      </c>
      <c r="D5" s="172" t="s">
        <v>837</v>
      </c>
      <c r="E5" s="188" t="str">
        <f>H15&amp;" "&amp;H16&amp;" "&amp;H17&amp;" "&amp;H18&amp;" "&amp;H19&amp;" "&amp;H20&amp;" "&amp;H21&amp;" "&amp;H22&amp;" "&amp;H23&amp;" "&amp;H24&amp;" "&amp;H25&amp;" "&amp;H26&amp;" "&amp;H27&amp;" "&amp;H28&amp;" "&amp;H29&amp;" "&amp;H30&amp;" "&amp;H31&amp;" "&amp;H32&amp;" "&amp;H33&amp;" "&amp;H34&amp;" "&amp;H35&amp;" "&amp;H36&amp;" "&amp;H37&amp;" "&amp;H38&amp;" "&amp;H39&amp;" "&amp;H40&amp;" "&amp;H41&amp;" "&amp;H42&amp;" "&amp;H43&amp;" "&amp;H44&amp;" "&amp;H45&amp;" "&amp;H46&amp;" "&amp;H47&amp;" "&amp;H48&amp;" "&amp;H49&amp;" "&amp;H50&amp;" "&amp;H51&amp;" "&amp;H52&amp;" "&amp;H53&amp;" "&amp;H54&amp;" "&amp;H55&amp;" "&amp;H56&amp;" "&amp;H57&amp;" "&amp;H58&amp;" "&amp;H59&amp;" "&amp;H60&amp;" "&amp;H61&amp;" "&amp;H62&amp;" "&amp;H63&amp;" "&amp;H64&amp;" "&amp;H65&amp;" "&amp;H66&amp;" "&amp;H67&amp;" "&amp;H68&amp;" "&amp;H69&amp;" "&amp;H70&amp;" "&amp;H71&amp;" "&amp;H72&amp;" "&amp;H73&amp;" "&amp;H74&amp;" "&amp;H75&amp;" "&amp;H76&amp;" "&amp;H77&amp;" "&amp;H78&amp;" "&amp;H79&amp;" "&amp;H80&amp;" "&amp;H81&amp;" "&amp;H82&amp;" "&amp;H83&amp;" "&amp;H84&amp;" "&amp;H85&amp;" "&amp;H86&amp;" "&amp;H87&amp;" "&amp;H88&amp;" "&amp;H89</f>
        <v xml:space="preserve">                                                                          </v>
      </c>
      <c r="F5" s="189" t="str">
        <f t="shared" ref="F5:I5" si="1">I15&amp;" "&amp;I16&amp;" "&amp;I17&amp;" "&amp;I18&amp;" "&amp;I19&amp;" "&amp;I20&amp;" "&amp;I21&amp;" "&amp;I22&amp;" "&amp;I23&amp;" "&amp;I24&amp;" "&amp;I25&amp;" "&amp;I26&amp;" "&amp;I27&amp;" "&amp;I28&amp;" "&amp;I29&amp;" "&amp;I30&amp;" "&amp;I31&amp;" "&amp;I32&amp;" "&amp;I33&amp;" "&amp;I34&amp;" "&amp;I35&amp;" "&amp;I36&amp;" "&amp;I37&amp;" "&amp;I38&amp;" "&amp;I39&amp;" "&amp;I40&amp;" "&amp;I41&amp;" "&amp;I42&amp;" "&amp;I43&amp;" "&amp;I44&amp;" "&amp;I45&amp;" "&amp;I46&amp;" "&amp;I47&amp;" "&amp;I48&amp;" "&amp;I49&amp;" "&amp;I50&amp;" "&amp;I51&amp;" "&amp;I52&amp;" "&amp;I53&amp;" "&amp;I54&amp;" "&amp;I55&amp;" "&amp;I56&amp;" "&amp;I57&amp;" "&amp;I58&amp;" "&amp;I59&amp;" "&amp;I60&amp;" "&amp;I61&amp;" "&amp;I62&amp;" "&amp;I63&amp;" "&amp;I64&amp;" "&amp;I65&amp;" "&amp;I66&amp;" "&amp;I67&amp;" "&amp;I68&amp;" "&amp;I69&amp;" "&amp;I70&amp;" "&amp;I71&amp;" "&amp;I72&amp;" "&amp;I73&amp;" "&amp;I74&amp;" "&amp;I75&amp;" "&amp;I76&amp;" "&amp;I77&amp;" "&amp;I78&amp;" "&amp;I79&amp;" "&amp;I80&amp;" "&amp;I81&amp;" "&amp;I82&amp;" "&amp;I83&amp;" "&amp;I84&amp;" "&amp;I85&amp;" "&amp;I86&amp;" "&amp;I87&amp;" "&amp;I88&amp;" "&amp;I89</f>
        <v xml:space="preserve">                                                                          </v>
      </c>
      <c r="G5" s="190" t="str">
        <f t="shared" si="1"/>
        <v xml:space="preserve">                                                                          </v>
      </c>
      <c r="H5" s="191" t="str">
        <f t="shared" si="1"/>
        <v xml:space="preserve">                                                                          </v>
      </c>
      <c r="I5" s="192" t="str">
        <f t="shared" si="1"/>
        <v xml:space="preserve">                                                                          </v>
      </c>
    </row>
    <row r="6" spans="1:27" ht="105" customHeight="1" x14ac:dyDescent="0.25">
      <c r="B6" s="537"/>
      <c r="C6" s="171" t="s">
        <v>391</v>
      </c>
      <c r="D6" s="172" t="s">
        <v>848</v>
      </c>
      <c r="E6" s="188" t="str">
        <f>M15&amp;" "&amp;M16&amp;" "&amp;M17&amp;" "&amp;M18&amp;" "&amp;M19&amp;" "&amp;M20&amp;" "&amp;M21&amp;" "&amp;M22&amp;" "&amp;M23&amp;" "&amp;M24&amp;" "&amp;M25&amp;" "&amp;M26&amp;" "&amp;M27&amp;" "&amp;M28&amp;" "&amp;M29&amp;" "&amp;M30&amp;" "&amp;M31&amp;" "&amp;M32&amp;" "&amp;M33&amp;" "&amp;M34&amp;" "&amp;M35&amp;" "&amp;M36&amp;" "&amp;M37&amp;" "&amp;M38&amp;" "&amp;M39&amp;" "&amp;M40&amp;" "&amp;M41&amp;" "&amp;M42&amp;" "&amp;M43&amp;" "&amp;M44&amp;" "&amp;M45&amp;" "&amp;M46&amp;" "&amp;M47&amp;" "&amp;M48&amp;" "&amp;M49&amp;" "&amp;M50&amp;" "&amp;M51&amp;" "&amp;M52&amp;" "&amp;M53&amp;" "&amp;M54&amp;" "&amp;M55&amp;" "&amp;M56&amp;" "&amp;M57&amp;" "&amp;M58&amp;" "&amp;M59&amp;" "&amp;M60&amp;" "&amp;M61&amp;" "&amp;M62&amp;" "&amp;M63&amp;" "&amp;M64&amp;" "&amp;M65&amp;" "&amp;M66&amp;" "&amp;M67&amp;" "&amp;M68&amp;" "&amp;M69&amp;" "&amp;M70&amp;" "&amp;M71&amp;" "&amp;M72&amp;" "&amp;M73&amp;" "&amp;M74&amp;" "&amp;M75&amp;" "&amp;M76&amp;" "&amp;M77&amp;" "&amp;M78&amp;" "&amp;M79&amp;" "&amp;M80&amp;" "&amp;M81&amp;" "&amp;M82&amp;" "&amp;M83&amp;" "&amp;M84&amp;" "&amp;M85&amp;" "&amp;M86&amp;" "&amp;M87&amp;" "&amp;M88&amp;" "&amp;M89</f>
        <v xml:space="preserve">                                                                          </v>
      </c>
      <c r="F6" s="189" t="str">
        <f t="shared" ref="F6:I6" si="2">N15&amp;" "&amp;N16&amp;" "&amp;N17&amp;" "&amp;N18&amp;" "&amp;N19&amp;" "&amp;N20&amp;" "&amp;N21&amp;" "&amp;N22&amp;" "&amp;N23&amp;" "&amp;N24&amp;" "&amp;N25&amp;" "&amp;N26&amp;" "&amp;N27&amp;" "&amp;N28&amp;" "&amp;N29&amp;" "&amp;N30&amp;" "&amp;N31&amp;" "&amp;N32&amp;" "&amp;N33&amp;" "&amp;N34&amp;" "&amp;N35&amp;" "&amp;N36&amp;" "&amp;N37&amp;" "&amp;N38&amp;" "&amp;N39&amp;" "&amp;N40&amp;" "&amp;N41&amp;" "&amp;N42&amp;" "&amp;N43&amp;" "&amp;N44&amp;" "&amp;N45&amp;" "&amp;N46&amp;" "&amp;N47&amp;" "&amp;N48&amp;" "&amp;N49&amp;" "&amp;N50&amp;" "&amp;N51&amp;" "&amp;N52&amp;" "&amp;N53&amp;" "&amp;N54&amp;" "&amp;N55&amp;" "&amp;N56&amp;" "&amp;N57&amp;" "&amp;N58&amp;" "&amp;N59&amp;" "&amp;N60&amp;" "&amp;N61&amp;" "&amp;N62&amp;" "&amp;N63&amp;" "&amp;N64&amp;" "&amp;N65&amp;" "&amp;N66&amp;" "&amp;N67&amp;" "&amp;N68&amp;" "&amp;N69&amp;" "&amp;N70&amp;" "&amp;N71&amp;" "&amp;N72&amp;" "&amp;N73&amp;" "&amp;N74&amp;" "&amp;N75&amp;" "&amp;N76&amp;" "&amp;N77&amp;" "&amp;N78&amp;" "&amp;N79&amp;" "&amp;N80&amp;" "&amp;N81&amp;" "&amp;N82&amp;" "&amp;N83&amp;" "&amp;N84&amp;" "&amp;N85&amp;" "&amp;N86&amp;" "&amp;N87&amp;" "&amp;N88&amp;" "&amp;N89</f>
        <v xml:space="preserve">                                                                          </v>
      </c>
      <c r="G6" s="190" t="str">
        <f t="shared" si="2"/>
        <v xml:space="preserve">                                                                          </v>
      </c>
      <c r="H6" s="190" t="str">
        <f t="shared" si="2"/>
        <v xml:space="preserve">                                                                          </v>
      </c>
      <c r="I6" s="192" t="str">
        <f t="shared" si="2"/>
        <v xml:space="preserve">                                                                          </v>
      </c>
    </row>
    <row r="7" spans="1:27" ht="105" customHeight="1" x14ac:dyDescent="0.25">
      <c r="B7" s="537"/>
      <c r="C7" s="171" t="s">
        <v>841</v>
      </c>
      <c r="D7" s="172" t="s">
        <v>583</v>
      </c>
      <c r="E7" s="188" t="str">
        <f>R15&amp;" "&amp;R16&amp;" "&amp;R17&amp;" "&amp;R18&amp;" "&amp;R19&amp;" "&amp;R20&amp;" "&amp;R21&amp;" "&amp;R22&amp;" "&amp;R23&amp;" "&amp;R24&amp;" "&amp;R25&amp;" "&amp;R26&amp;" "&amp;R27&amp;" "&amp;R28&amp;" "&amp;R29&amp;" "&amp;R30&amp;" "&amp;R31&amp;" "&amp;R32&amp;" "&amp;R33&amp;" "&amp;R34&amp;" "&amp;R35&amp;" "&amp;R36&amp;" "&amp;R37&amp;" "&amp;R38&amp;" "&amp;R39&amp;" "&amp;R40&amp;" "&amp;R41&amp;" "&amp;R42&amp;" "&amp;R43&amp;" "&amp;R44&amp;" "&amp;R45&amp;" "&amp;R46&amp;" "&amp;R47&amp;" "&amp;R48&amp;" "&amp;R49&amp;" "&amp;R50&amp;" "&amp;R51&amp;" "&amp;R52&amp;" "&amp;R53&amp;" "&amp;R54&amp;" "&amp;R55&amp;" "&amp;R56&amp;" "&amp;R57&amp;" "&amp;R58&amp;" "&amp;R59&amp;" "&amp;R60&amp;" "&amp;R61&amp;" "&amp;R62&amp;" "&amp;R63&amp;" "&amp;R64&amp;" "&amp;R65&amp;" "&amp;R66&amp;" "&amp;R67&amp;" "&amp;R68&amp;" "&amp;R69&amp;" "&amp;R70&amp;" "&amp;R71&amp;" "&amp;R72&amp;" "&amp;R73&amp;" "&amp;R74&amp;" "&amp;R75&amp;" "&amp;R76&amp;" "&amp;R77&amp;" "&amp;R78&amp;" "&amp;R79&amp;" "&amp;R80&amp;" "&amp;R81&amp;" "&amp;R82&amp;" "&amp;R83&amp;" "&amp;R84&amp;" "&amp;R85&amp;" "&amp;R86&amp;" "&amp;R87&amp;" "&amp;R88&amp;" "&amp;R89</f>
        <v xml:space="preserve">                                                                          </v>
      </c>
      <c r="F7" s="193" t="str">
        <f t="shared" ref="F7:I7" si="3">S15&amp;" "&amp;S16&amp;" "&amp;S17&amp;" "&amp;S18&amp;" "&amp;S19&amp;" "&amp;S20&amp;" "&amp;S21&amp;" "&amp;S22&amp;" "&amp;S23&amp;" "&amp;S24&amp;" "&amp;S25&amp;" "&amp;S26&amp;" "&amp;S27&amp;" "&amp;S28&amp;" "&amp;S29&amp;" "&amp;S30&amp;" "&amp;S31&amp;" "&amp;S32&amp;" "&amp;S33&amp;" "&amp;S34&amp;" "&amp;S35&amp;" "&amp;S36&amp;" "&amp;S37&amp;" "&amp;S38&amp;" "&amp;S39&amp;" "&amp;S40&amp;" "&amp;S41&amp;" "&amp;S42&amp;" "&amp;S43&amp;" "&amp;S44&amp;" "&amp;S45&amp;" "&amp;S46&amp;" "&amp;S47&amp;" "&amp;S48&amp;" "&amp;S49&amp;" "&amp;S50&amp;" "&amp;S51&amp;" "&amp;S52&amp;" "&amp;S53&amp;" "&amp;S54&amp;" "&amp;S55&amp;" "&amp;S56&amp;" "&amp;S57&amp;" "&amp;S58&amp;" "&amp;S59&amp;" "&amp;S60&amp;" "&amp;S61&amp;" "&amp;S62&amp;" "&amp;S63&amp;" "&amp;S64&amp;" "&amp;S65&amp;" "&amp;S66&amp;" "&amp;S67&amp;" "&amp;S68&amp;" "&amp;S69&amp;" "&amp;S70&amp;" "&amp;S71&amp;" "&amp;S72&amp;" "&amp;S73&amp;" "&amp;S74&amp;" "&amp;S75&amp;" "&amp;S76&amp;" "&amp;S77&amp;" "&amp;S78&amp;" "&amp;S79&amp;" "&amp;S80&amp;" "&amp;S81&amp;" "&amp;S82&amp;" "&amp;S83&amp;" "&amp;S84&amp;" "&amp;S85&amp;" "&amp;S86&amp;" "&amp;S87&amp;" "&amp;S88&amp;" "&amp;S89</f>
        <v xml:space="preserve">                                                                          </v>
      </c>
      <c r="G7" s="189" t="str">
        <f t="shared" si="3"/>
        <v xml:space="preserve">                                                                          </v>
      </c>
      <c r="H7" s="190" t="str">
        <f t="shared" si="3"/>
        <v xml:space="preserve">                                                                          </v>
      </c>
      <c r="I7" s="192" t="str">
        <f t="shared" si="3"/>
        <v xml:space="preserve">                                                                          </v>
      </c>
    </row>
    <row r="8" spans="1:27" ht="105" customHeight="1" thickBot="1" x14ac:dyDescent="0.3">
      <c r="B8" s="538"/>
      <c r="C8" s="171" t="s">
        <v>842</v>
      </c>
      <c r="D8" s="172" t="s">
        <v>582</v>
      </c>
      <c r="E8" s="194" t="str">
        <f>W15&amp;" "&amp;W16&amp;" "&amp;W17&amp;" "&amp;W18&amp;" "&amp;W19&amp;" "&amp;W20&amp;" "&amp;W21&amp;" "&amp;W22&amp;" "&amp;W23&amp;" "&amp;W24&amp;" "&amp;W25&amp;" "&amp;W26&amp;" "&amp;W27&amp;" "&amp;W28&amp;" "&amp;W29&amp;" "&amp;W30&amp;" "&amp;W31&amp;" "&amp;W32&amp;" "&amp;W33&amp;" "&amp;W34&amp;" "&amp;W35&amp;" "&amp;W36&amp;" "&amp;W37&amp;" "&amp;W38&amp;" "&amp;W39&amp;" "&amp;W40&amp;" "&amp;W41&amp;" "&amp;W42&amp;" "&amp;W43&amp;" "&amp;W44&amp;" "&amp;W45&amp;" "&amp;W46&amp;" "&amp;W47&amp;" "&amp;W48&amp;" "&amp;W49&amp;" "&amp;W50&amp;" "&amp;W51&amp;" "&amp;W52&amp;" "&amp;W53&amp;" "&amp;W54&amp;" "&amp;W55&amp;" "&amp;W56&amp;" "&amp;W57&amp;" "&amp;W58&amp;" "&amp;W59&amp;" "&amp;W60&amp;" "&amp;W61&amp;" "&amp;W62&amp;" "&amp;W63&amp;" "&amp;W64&amp;" "&amp;W65&amp;" "&amp;W66&amp;" "&amp;W67&amp;" "&amp;W68&amp;" "&amp;W69&amp;" "&amp;W70&amp;" "&amp;W71&amp;" "&amp;W72&amp;" "&amp;W73&amp;" "&amp;W74&amp;" "&amp;W75&amp;" "&amp;W76&amp;" "&amp;W77&amp;" "&amp;W78&amp;" "&amp;W79&amp;" "&amp;W80&amp;" "&amp;W81&amp;" "&amp;W82&amp;" "&amp;W83&amp;" "&amp;W84&amp;" "&amp;W85&amp;" "&amp;W86&amp;" "&amp;W87&amp;" "&amp;W88&amp;" "&amp;W89</f>
        <v>1 2 3 4 5 6 7 8 9 10 11 12 13 14 15 16 17   18  19 20 21  22 23 24 25 26  27 28 29 30 31 32 33 34 35 36 37 38 39  40 41 42 43 44 45 46 47 48  49 50 51  52 53 54 55  56  57 58 59  60 61 62 63 64</v>
      </c>
      <c r="F8" s="195" t="str">
        <f t="shared" ref="F8:I8" si="4">X15&amp;" "&amp;X16&amp;" "&amp;X17&amp;" "&amp;X18&amp;" "&amp;X19&amp;" "&amp;X20&amp;" "&amp;X21&amp;" "&amp;X22&amp;" "&amp;X23&amp;" "&amp;X24&amp;" "&amp;X25&amp;" "&amp;X26&amp;" "&amp;X27&amp;" "&amp;X28&amp;" "&amp;X29&amp;" "&amp;X30&amp;" "&amp;X31&amp;" "&amp;X32&amp;" "&amp;X33&amp;" "&amp;X34&amp;" "&amp;X35&amp;" "&amp;X36&amp;" "&amp;X37&amp;" "&amp;X38&amp;" "&amp;X39&amp;" "&amp;X40&amp;" "&amp;X41&amp;" "&amp;X42&amp;" "&amp;X43&amp;" "&amp;X44&amp;" "&amp;X45&amp;" "&amp;X46&amp;" "&amp;X47&amp;" "&amp;X48&amp;" "&amp;X49&amp;" "&amp;X50&amp;" "&amp;X51&amp;" "&amp;X52&amp;" "&amp;X53&amp;" "&amp;X54&amp;" "&amp;X55&amp;" "&amp;X56&amp;" "&amp;X57&amp;" "&amp;X58&amp;" "&amp;X59&amp;" "&amp;X60&amp;" "&amp;X61&amp;" "&amp;X62&amp;" "&amp;X63&amp;" "&amp;X64&amp;" "&amp;X65&amp;" "&amp;X66&amp;" "&amp;X67&amp;" "&amp;X68&amp;" "&amp;X69&amp;" "&amp;X70&amp;" "&amp;X71&amp;" "&amp;X72&amp;" "&amp;X73&amp;" "&amp;X74&amp;" "&amp;X75&amp;" "&amp;X76&amp;" "&amp;X77&amp;" "&amp;X78&amp;" "&amp;X79&amp;" "&amp;X80&amp;" "&amp;X81&amp;" "&amp;X82&amp;" "&amp;X83&amp;" "&amp;X84&amp;" "&amp;X85&amp;" "&amp;X86&amp;" "&amp;X87&amp;" "&amp;X88&amp;" "&amp;X89</f>
        <v xml:space="preserve">                                                                          </v>
      </c>
      <c r="G8" s="196" t="str">
        <f t="shared" si="4"/>
        <v xml:space="preserve">                                                                          </v>
      </c>
      <c r="H8" s="197" t="str">
        <f t="shared" si="4"/>
        <v xml:space="preserve">                                                                          </v>
      </c>
      <c r="I8" s="198" t="str">
        <f t="shared" si="4"/>
        <v xml:space="preserve">                                                                          </v>
      </c>
    </row>
    <row r="9" spans="1:27" ht="15.75" x14ac:dyDescent="0.25">
      <c r="B9" s="30"/>
      <c r="C9" s="173"/>
      <c r="D9" s="174"/>
      <c r="E9" s="175">
        <v>1</v>
      </c>
      <c r="F9" s="175">
        <v>2</v>
      </c>
      <c r="G9" s="175">
        <v>3</v>
      </c>
      <c r="H9" s="175">
        <v>4</v>
      </c>
      <c r="I9" s="175">
        <v>5</v>
      </c>
    </row>
    <row r="10" spans="1:27" ht="54.95" customHeight="1" x14ac:dyDescent="0.25">
      <c r="B10" s="107"/>
      <c r="C10" s="176"/>
      <c r="D10" s="177"/>
      <c r="E10" s="178" t="s">
        <v>843</v>
      </c>
      <c r="F10" s="178" t="s">
        <v>844</v>
      </c>
      <c r="G10" s="178" t="s">
        <v>845</v>
      </c>
      <c r="H10" s="178" t="s">
        <v>846</v>
      </c>
      <c r="I10" s="178" t="s">
        <v>847</v>
      </c>
    </row>
    <row r="11" spans="1:27" ht="26.25" customHeight="1" x14ac:dyDescent="0.25">
      <c r="B11" s="107"/>
      <c r="C11" s="107"/>
      <c r="D11" s="30"/>
      <c r="E11" s="376" t="s">
        <v>803</v>
      </c>
      <c r="F11" s="377"/>
      <c r="G11" s="377"/>
      <c r="H11" s="377"/>
      <c r="I11" s="378"/>
    </row>
    <row r="13" spans="1:27" x14ac:dyDescent="0.25">
      <c r="E13" s="107"/>
      <c r="F13" s="107" t="s">
        <v>811</v>
      </c>
      <c r="G13" s="107" t="s">
        <v>809</v>
      </c>
      <c r="H13" s="107" t="s">
        <v>807</v>
      </c>
      <c r="I13" s="107" t="s">
        <v>805</v>
      </c>
    </row>
    <row r="14" spans="1:27" hidden="1" x14ac:dyDescent="0.25">
      <c r="C14" s="179" t="s">
        <v>850</v>
      </c>
      <c r="D14" s="179" t="s">
        <v>851</v>
      </c>
      <c r="E14" s="180" t="s">
        <v>852</v>
      </c>
      <c r="F14" s="181" t="s">
        <v>853</v>
      </c>
      <c r="G14" s="181" t="s">
        <v>854</v>
      </c>
      <c r="H14" s="182" t="s">
        <v>855</v>
      </c>
      <c r="I14" s="179" t="s">
        <v>856</v>
      </c>
      <c r="J14" s="180" t="s">
        <v>857</v>
      </c>
      <c r="K14" s="181" t="s">
        <v>858</v>
      </c>
      <c r="L14" s="181" t="s">
        <v>859</v>
      </c>
      <c r="M14" s="182" t="s">
        <v>860</v>
      </c>
      <c r="N14" s="179" t="s">
        <v>861</v>
      </c>
      <c r="O14" s="180" t="s">
        <v>862</v>
      </c>
      <c r="P14" s="180" t="s">
        <v>863</v>
      </c>
      <c r="Q14" s="181" t="s">
        <v>864</v>
      </c>
      <c r="R14" s="182" t="s">
        <v>865</v>
      </c>
      <c r="S14" s="182" t="s">
        <v>866</v>
      </c>
      <c r="T14" s="179" t="s">
        <v>867</v>
      </c>
      <c r="U14" s="180" t="s">
        <v>868</v>
      </c>
      <c r="V14" s="181" t="s">
        <v>869</v>
      </c>
      <c r="W14" s="182" t="s">
        <v>870</v>
      </c>
      <c r="X14" s="182" t="s">
        <v>871</v>
      </c>
      <c r="Y14" s="179" t="s">
        <v>872</v>
      </c>
      <c r="Z14" s="180" t="s">
        <v>873</v>
      </c>
      <c r="AA14" s="180" t="s">
        <v>874</v>
      </c>
    </row>
    <row r="15" spans="1:27" hidden="1" x14ac:dyDescent="0.25">
      <c r="B15" s="27">
        <v>1</v>
      </c>
      <c r="C15" s="27" t="str">
        <f>IF(AND('Lap ED'!G6='Peta Risiko'!$D$4,'Lap ED'!H6='Peta Risiko'!$E$9),'Lap ED'!A6,"")</f>
        <v/>
      </c>
      <c r="D15" s="27" t="str">
        <f>IF(AND('Lap ED'!G6='Peta Risiko'!$D$4,'Lap ED'!H6='Peta Risiko'!$F$9),'Lap ED'!A6,"")</f>
        <v/>
      </c>
      <c r="E15" s="27" t="str">
        <f>IF(AND('Lap ED'!G6='Peta Risiko'!$D$4,'Lap ED'!H6='Peta Risiko'!$G$9),'Lap ED'!A6,"")</f>
        <v/>
      </c>
      <c r="F15" s="27" t="str">
        <f>IF(AND('Lap ED'!G6='Peta Risiko'!$D$4,'Lap ED'!H6='Peta Risiko'!$H$9),'Lap ED'!A6,"")</f>
        <v/>
      </c>
      <c r="G15" s="27" t="str">
        <f>IF(AND('Lap ED'!G6='Peta Risiko'!$D$4,'Lap ED'!H6='Peta Risiko'!$I$9),'Lap ED'!A6,"")</f>
        <v/>
      </c>
      <c r="H15" s="27" t="str">
        <f>IF(AND('Lap ED'!G6='Peta Risiko'!$D$5,'Lap ED'!H6='Peta Risiko'!$E$9),'Lap ED'!A6,"")</f>
        <v/>
      </c>
      <c r="I15" s="27" t="str">
        <f>IF(AND('Lap ED'!G6='Peta Risiko'!$D$5,'Lap ED'!H6='Peta Risiko'!$F$9),'Lap ED'!A6,"")</f>
        <v/>
      </c>
      <c r="J15" s="27" t="str">
        <f>IF(AND('Lap ED'!G6='Peta Risiko'!$D$5,'Lap ED'!H6='Peta Risiko'!$G$9),'Lap ED'!A6,"")</f>
        <v/>
      </c>
      <c r="K15" s="27" t="str">
        <f>IF(AND('Lap ED'!G6='Peta Risiko'!$D$5,'Lap ED'!H6='Peta Risiko'!$H$9),'Lap ED'!A6,"")</f>
        <v/>
      </c>
      <c r="L15" s="27" t="str">
        <f>IF(AND('Lap ED'!G6='Peta Risiko'!$D$5,'Lap ED'!H6='Peta Risiko'!$I$9),'Lap ED'!A6,"")</f>
        <v/>
      </c>
      <c r="M15" s="27" t="str">
        <f>IF(AND('Lap ED'!G6='Peta Risiko'!$D$6,'Lap ED'!H6='Peta Risiko'!$E$9),'Lap ED'!A6,"")</f>
        <v/>
      </c>
      <c r="N15" s="27" t="str">
        <f>IF(AND('Lap ED'!G6='Peta Risiko'!$D$6,'Lap ED'!H6='Peta Risiko'!$F$9),'Lap ED'!A6,"")</f>
        <v/>
      </c>
      <c r="O15" s="27" t="str">
        <f>IF(AND('Lap ED'!G6='Peta Risiko'!$D$6,'Lap ED'!H6='Peta Risiko'!$G$9),'Lap ED'!A6,"")</f>
        <v/>
      </c>
      <c r="P15" s="27" t="str">
        <f>IF(AND('Lap ED'!G6='Peta Risiko'!$D$6,'Lap ED'!H6='Peta Risiko'!$H$9),'Lap ED'!A6,"")</f>
        <v/>
      </c>
      <c r="Q15" s="27" t="str">
        <f>IF(AND('Lap ED'!G6='Peta Risiko'!$D$6,'Lap ED'!H6='Peta Risiko'!$I$9),'Lap ED'!A6,"")</f>
        <v/>
      </c>
      <c r="R15" s="27" t="str">
        <f>IF(AND('Lap ED'!G6='Peta Risiko'!$D$7,'Lap ED'!H6='Peta Risiko'!$E$9),'Lap ED'!A6,"")</f>
        <v/>
      </c>
      <c r="S15" s="27" t="str">
        <f>IF(AND('Lap ED'!G6='Peta Risiko'!$D$7,'Lap ED'!H6='Peta Risiko'!$F$9),'Lap ED'!A6,"")</f>
        <v/>
      </c>
      <c r="T15" s="27" t="str">
        <f>IF(AND('Lap ED'!G6='Peta Risiko'!$D$7,'Lap ED'!H6='Peta Risiko'!$G$9),'Lap ED'!A6,"")</f>
        <v/>
      </c>
      <c r="U15" s="27" t="str">
        <f>IF(AND('Lap ED'!G6='Peta Risiko'!$D$7,'Lap ED'!H6='Peta Risiko'!$H$9),'Lap ED'!A6,"")</f>
        <v/>
      </c>
      <c r="V15" s="27" t="str">
        <f>IF(AND('Lap ED'!G6='Peta Risiko'!$D$7,'Lap ED'!H6='Peta Risiko'!$I$9),'Lap ED'!A6,"")</f>
        <v/>
      </c>
      <c r="W15" s="27">
        <f>IF(AND('Lap ED'!G6='Peta Risiko'!$D$8,'Lap ED'!H6='Peta Risiko'!$E$9),'Lap ED'!A6,"")</f>
        <v>1</v>
      </c>
      <c r="X15" s="27" t="str">
        <f>IF(AND('Lap ED'!G6='Peta Risiko'!$D$8,'Lap ED'!H6='Peta Risiko'!$F$9),'Lap ED'!A6,"")</f>
        <v/>
      </c>
      <c r="Y15" s="27" t="str">
        <f>IF(AND('Lap ED'!G6='Peta Risiko'!$D$8,'Lap ED'!H6='Peta Risiko'!$G$9),'Lap ED'!A6,"")</f>
        <v/>
      </c>
      <c r="Z15" s="27" t="str">
        <f>IF(AND('Lap ED'!G6='Peta Risiko'!$D$8,'Lap ED'!H6='Peta Risiko'!$H$9),'Lap ED'!A6,"")</f>
        <v/>
      </c>
      <c r="AA15" s="27" t="str">
        <f>IF(AND('Lap ED'!G6='Peta Risiko'!$D$8,'Lap ED'!H6='Peta Risiko'!$I$9),'Lap ED'!A6,"")</f>
        <v/>
      </c>
    </row>
    <row r="16" spans="1:27" hidden="1" x14ac:dyDescent="0.25">
      <c r="B16" s="27">
        <f>B15+1</f>
        <v>2</v>
      </c>
      <c r="C16" s="27" t="str">
        <f>IF(AND('Lap ED'!G7='Peta Risiko'!$D$4,'Lap ED'!H7='Peta Risiko'!$E$9),'Lap ED'!A7,"")</f>
        <v/>
      </c>
      <c r="D16" s="27" t="str">
        <f>IF(AND('Lap ED'!G7='Peta Risiko'!$D$4,'Lap ED'!H7='Peta Risiko'!$F$9),'Lap ED'!A7,"")</f>
        <v/>
      </c>
      <c r="E16" s="27" t="str">
        <f>IF(AND('Lap ED'!G7='Peta Risiko'!$D$4,'Lap ED'!H7='Peta Risiko'!$G$9),'Lap ED'!A7,"")</f>
        <v/>
      </c>
      <c r="F16" s="27" t="str">
        <f>IF(AND('Lap ED'!G7='Peta Risiko'!$D$4,'Lap ED'!H7='Peta Risiko'!$H$9),'Lap ED'!A7,"")</f>
        <v/>
      </c>
      <c r="G16" s="27" t="str">
        <f>IF(AND('Lap ED'!G7='Peta Risiko'!$D$4,'Lap ED'!H7='Peta Risiko'!$I$9),'Lap ED'!A7,"")</f>
        <v/>
      </c>
      <c r="H16" s="27" t="str">
        <f>IF(AND('Lap ED'!G7='Peta Risiko'!$D$5,'Lap ED'!H7='Peta Risiko'!$E$9),'Lap ED'!A7,"")</f>
        <v/>
      </c>
      <c r="I16" s="27" t="str">
        <f>IF(AND('Lap ED'!G7='Peta Risiko'!$D$5,'Lap ED'!H7='Peta Risiko'!$F$9),'Lap ED'!A7,"")</f>
        <v/>
      </c>
      <c r="J16" s="27" t="str">
        <f>IF(AND('Lap ED'!G7='Peta Risiko'!$D$5,'Lap ED'!H7='Peta Risiko'!$G$9),'Lap ED'!A7,"")</f>
        <v/>
      </c>
      <c r="K16" s="27" t="str">
        <f>IF(AND('Lap ED'!G7='Peta Risiko'!$D$5,'Lap ED'!H7='Peta Risiko'!$H$9),'Lap ED'!A7,"")</f>
        <v/>
      </c>
      <c r="L16" s="27" t="str">
        <f>IF(AND('Lap ED'!G7='Peta Risiko'!$D$5,'Lap ED'!H7='Peta Risiko'!$I$9),'Lap ED'!A7,"")</f>
        <v/>
      </c>
      <c r="M16" s="27" t="str">
        <f>IF(AND('Lap ED'!G7='Peta Risiko'!$D$6,'Lap ED'!H7='Peta Risiko'!$E$9),'Lap ED'!A7,"")</f>
        <v/>
      </c>
      <c r="N16" s="27" t="str">
        <f>IF(AND('Lap ED'!G7='Peta Risiko'!$D$6,'Lap ED'!H7='Peta Risiko'!$F$9),'Lap ED'!A7,"")</f>
        <v/>
      </c>
      <c r="O16" s="27" t="str">
        <f>IF(AND('Lap ED'!G7='Peta Risiko'!$D$6,'Lap ED'!H7='Peta Risiko'!$G$9),'Lap ED'!A7,"")</f>
        <v/>
      </c>
      <c r="P16" s="27" t="str">
        <f>IF(AND('Lap ED'!G7='Peta Risiko'!$D$6,'Lap ED'!H7='Peta Risiko'!$H$9),'Lap ED'!A7,"")</f>
        <v/>
      </c>
      <c r="Q16" s="27" t="str">
        <f>IF(AND('Lap ED'!G7='Peta Risiko'!$D$6,'Lap ED'!H7='Peta Risiko'!$I$9),'Lap ED'!A7,"")</f>
        <v/>
      </c>
      <c r="R16" s="27" t="str">
        <f>IF(AND('Lap ED'!G7='Peta Risiko'!$D$7,'Lap ED'!H7='Peta Risiko'!$E$9),'Lap ED'!A7,"")</f>
        <v/>
      </c>
      <c r="S16" s="27" t="str">
        <f>IF(AND('Lap ED'!G7='Peta Risiko'!$D$7,'Lap ED'!H7='Peta Risiko'!$F$9),'Lap ED'!A7,"")</f>
        <v/>
      </c>
      <c r="T16" s="27" t="str">
        <f>IF(AND('Lap ED'!G7='Peta Risiko'!$D$7,'Lap ED'!H7='Peta Risiko'!$G$9),'Lap ED'!A7,"")</f>
        <v/>
      </c>
      <c r="U16" s="27" t="str">
        <f>IF(AND('Lap ED'!G7='Peta Risiko'!$D$7,'Lap ED'!H7='Peta Risiko'!$H$9),'Lap ED'!A7,"")</f>
        <v/>
      </c>
      <c r="V16" s="27" t="str">
        <f>IF(AND('Lap ED'!G7='Peta Risiko'!$D$7,'Lap ED'!H7='Peta Risiko'!$I$9),'Lap ED'!A7,"")</f>
        <v/>
      </c>
      <c r="W16" s="27">
        <f>IF(AND('Lap ED'!G7='Peta Risiko'!$D$8,'Lap ED'!H7='Peta Risiko'!$E$9),'Lap ED'!A7,"")</f>
        <v>2</v>
      </c>
      <c r="X16" s="27" t="str">
        <f>IF(AND('Lap ED'!G7='Peta Risiko'!$D$8,'Lap ED'!H7='Peta Risiko'!$F$9),'Lap ED'!A7,"")</f>
        <v/>
      </c>
      <c r="Y16" s="27" t="str">
        <f>IF(AND('Lap ED'!G7='Peta Risiko'!$D$8,'Lap ED'!H7='Peta Risiko'!$G$9),'Lap ED'!A7,"")</f>
        <v/>
      </c>
      <c r="Z16" s="27" t="str">
        <f>IF(AND('Lap ED'!G7='Peta Risiko'!$D$8,'Lap ED'!H7='Peta Risiko'!$H$9),'Lap ED'!A7,"")</f>
        <v/>
      </c>
      <c r="AA16" s="27" t="str">
        <f>IF(AND('Lap ED'!G7='Peta Risiko'!$D$8,'Lap ED'!H7='Peta Risiko'!$I$9),'Lap ED'!A7,"")</f>
        <v/>
      </c>
    </row>
    <row r="17" spans="2:27" hidden="1" x14ac:dyDescent="0.25">
      <c r="B17" s="27">
        <f t="shared" ref="B17:B84" si="5">B16+1</f>
        <v>3</v>
      </c>
      <c r="C17" s="27" t="str">
        <f>IF(AND('Lap ED'!G8='Peta Risiko'!$D$4,'Lap ED'!H8='Peta Risiko'!$E$9),'Lap ED'!A8,"")</f>
        <v/>
      </c>
      <c r="D17" s="27" t="str">
        <f>IF(AND('Lap ED'!G8='Peta Risiko'!$D$4,'Lap ED'!H8='Peta Risiko'!$F$9),'Lap ED'!A8,"")</f>
        <v/>
      </c>
      <c r="E17" s="27" t="str">
        <f>IF(AND('Lap ED'!G8='Peta Risiko'!$D$4,'Lap ED'!H8='Peta Risiko'!$G$9),'Lap ED'!A8,"")</f>
        <v/>
      </c>
      <c r="F17" s="27" t="str">
        <f>IF(AND('Lap ED'!G8='Peta Risiko'!$D$4,'Lap ED'!H8='Peta Risiko'!$H$9),'Lap ED'!A8,"")</f>
        <v/>
      </c>
      <c r="G17" s="27" t="str">
        <f>IF(AND('Lap ED'!G8='Peta Risiko'!$D$4,'Lap ED'!H8='Peta Risiko'!$I$9),'Lap ED'!A8,"")</f>
        <v/>
      </c>
      <c r="H17" s="27" t="str">
        <f>IF(AND('Lap ED'!G8='Peta Risiko'!$D$5,'Lap ED'!H8='Peta Risiko'!$E$9),'Lap ED'!A8,"")</f>
        <v/>
      </c>
      <c r="I17" s="27" t="str">
        <f>IF(AND('Lap ED'!G8='Peta Risiko'!$D$5,'Lap ED'!H8='Peta Risiko'!$F$9),'Lap ED'!A8,"")</f>
        <v/>
      </c>
      <c r="J17" s="27" t="str">
        <f>IF(AND('Lap ED'!G8='Peta Risiko'!$D$5,'Lap ED'!H8='Peta Risiko'!$G$9),'Lap ED'!A8,"")</f>
        <v/>
      </c>
      <c r="K17" s="27" t="str">
        <f>IF(AND('Lap ED'!G8='Peta Risiko'!$D$5,'Lap ED'!H8='Peta Risiko'!$H$9),'Lap ED'!A8,"")</f>
        <v/>
      </c>
      <c r="L17" s="27" t="str">
        <f>IF(AND('Lap ED'!G8='Peta Risiko'!$D$5,'Lap ED'!H8='Peta Risiko'!$I$9),'Lap ED'!A8,"")</f>
        <v/>
      </c>
      <c r="M17" s="27" t="str">
        <f>IF(AND('Lap ED'!G8='Peta Risiko'!$D$6,'Lap ED'!H8='Peta Risiko'!$E$9),'Lap ED'!A8,"")</f>
        <v/>
      </c>
      <c r="N17" s="27" t="str">
        <f>IF(AND('Lap ED'!G8='Peta Risiko'!$D$6,'Lap ED'!H8='Peta Risiko'!$F$9),'Lap ED'!A8,"")</f>
        <v/>
      </c>
      <c r="O17" s="27" t="str">
        <f>IF(AND('Lap ED'!G8='Peta Risiko'!$D$6,'Lap ED'!H8='Peta Risiko'!$G$9),'Lap ED'!A8,"")</f>
        <v/>
      </c>
      <c r="P17" s="27" t="str">
        <f>IF(AND('Lap ED'!G8='Peta Risiko'!$D$6,'Lap ED'!H8='Peta Risiko'!$H$9),'Lap ED'!A8,"")</f>
        <v/>
      </c>
      <c r="Q17" s="27" t="str">
        <f>IF(AND('Lap ED'!G8='Peta Risiko'!$D$6,'Lap ED'!H8='Peta Risiko'!$I$9),'Lap ED'!A8,"")</f>
        <v/>
      </c>
      <c r="R17" s="27" t="str">
        <f>IF(AND('Lap ED'!G8='Peta Risiko'!$D$7,'Lap ED'!H8='Peta Risiko'!$E$9),'Lap ED'!A8,"")</f>
        <v/>
      </c>
      <c r="S17" s="27" t="str">
        <f>IF(AND('Lap ED'!G8='Peta Risiko'!$D$7,'Lap ED'!H8='Peta Risiko'!$F$9),'Lap ED'!A8,"")</f>
        <v/>
      </c>
      <c r="T17" s="27" t="str">
        <f>IF(AND('Lap ED'!G8='Peta Risiko'!$D$7,'Lap ED'!H8='Peta Risiko'!$G$9),'Lap ED'!A8,"")</f>
        <v/>
      </c>
      <c r="U17" s="27" t="str">
        <f>IF(AND('Lap ED'!G8='Peta Risiko'!$D$7,'Lap ED'!H8='Peta Risiko'!$H$9),'Lap ED'!A8,"")</f>
        <v/>
      </c>
      <c r="V17" s="27" t="str">
        <f>IF(AND('Lap ED'!G8='Peta Risiko'!$D$7,'Lap ED'!H8='Peta Risiko'!$I$9),'Lap ED'!A8,"")</f>
        <v/>
      </c>
      <c r="W17" s="27">
        <f>IF(AND('Lap ED'!G8='Peta Risiko'!$D$8,'Lap ED'!H8='Peta Risiko'!$E$9),'Lap ED'!A8,"")</f>
        <v>3</v>
      </c>
      <c r="X17" s="27" t="str">
        <f>IF(AND('Lap ED'!G8='Peta Risiko'!$D$8,'Lap ED'!H8='Peta Risiko'!$F$9),'Lap ED'!A8,"")</f>
        <v/>
      </c>
      <c r="Y17" s="27" t="str">
        <f>IF(AND('Lap ED'!G8='Peta Risiko'!$D$8,'Lap ED'!H8='Peta Risiko'!$G$9),'Lap ED'!A8,"")</f>
        <v/>
      </c>
      <c r="Z17" s="27" t="str">
        <f>IF(AND('Lap ED'!G8='Peta Risiko'!$D$8,'Lap ED'!H8='Peta Risiko'!$H$9),'Lap ED'!A8,"")</f>
        <v/>
      </c>
      <c r="AA17" s="27" t="str">
        <f>IF(AND('Lap ED'!G8='Peta Risiko'!$D$8,'Lap ED'!H8='Peta Risiko'!$I$9),'Lap ED'!A8,"")</f>
        <v/>
      </c>
    </row>
    <row r="18" spans="2:27" hidden="1" x14ac:dyDescent="0.25">
      <c r="B18" s="27">
        <f t="shared" si="5"/>
        <v>4</v>
      </c>
      <c r="C18" s="27" t="str">
        <f>IF(AND('Lap ED'!G9='Peta Risiko'!$D$4,'Lap ED'!H9='Peta Risiko'!$E$9),'Lap ED'!A9,"")</f>
        <v/>
      </c>
      <c r="D18" s="27" t="str">
        <f>IF(AND('Lap ED'!G9='Peta Risiko'!$D$4,'Lap ED'!H9='Peta Risiko'!$F$9),'Lap ED'!A9,"")</f>
        <v/>
      </c>
      <c r="E18" s="27" t="str">
        <f>IF(AND('Lap ED'!G9='Peta Risiko'!$D$4,'Lap ED'!H9='Peta Risiko'!$G$9),'Lap ED'!A9,"")</f>
        <v/>
      </c>
      <c r="F18" s="27" t="str">
        <f>IF(AND('Lap ED'!G9='Peta Risiko'!$D$4,'Lap ED'!H9='Peta Risiko'!$H$9),'Lap ED'!A9,"")</f>
        <v/>
      </c>
      <c r="G18" s="27" t="str">
        <f>IF(AND('Lap ED'!G9='Peta Risiko'!$D$4,'Lap ED'!H9='Peta Risiko'!$I$9),'Lap ED'!A9,"")</f>
        <v/>
      </c>
      <c r="H18" s="27" t="str">
        <f>IF(AND('Lap ED'!G9='Peta Risiko'!$D$5,'Lap ED'!H9='Peta Risiko'!$E$9),'Lap ED'!A9,"")</f>
        <v/>
      </c>
      <c r="I18" s="27" t="str">
        <f>IF(AND('Lap ED'!G9='Peta Risiko'!$D$5,'Lap ED'!H9='Peta Risiko'!$F$9),'Lap ED'!A9,"")</f>
        <v/>
      </c>
      <c r="J18" s="27" t="str">
        <f>IF(AND('Lap ED'!G9='Peta Risiko'!$D$5,'Lap ED'!H9='Peta Risiko'!$G$9),'Lap ED'!A9,"")</f>
        <v/>
      </c>
      <c r="K18" s="27" t="str">
        <f>IF(AND('Lap ED'!G9='Peta Risiko'!$D$5,'Lap ED'!H9='Peta Risiko'!$H$9),'Lap ED'!A9,"")</f>
        <v/>
      </c>
      <c r="L18" s="27" t="str">
        <f>IF(AND('Lap ED'!G9='Peta Risiko'!$D$5,'Lap ED'!H9='Peta Risiko'!$I$9),'Lap ED'!A9,"")</f>
        <v/>
      </c>
      <c r="M18" s="27" t="str">
        <f>IF(AND('Lap ED'!G9='Peta Risiko'!$D$6,'Lap ED'!H9='Peta Risiko'!$E$9),'Lap ED'!A9,"")</f>
        <v/>
      </c>
      <c r="N18" s="27" t="str">
        <f>IF(AND('Lap ED'!G9='Peta Risiko'!$D$6,'Lap ED'!H9='Peta Risiko'!$F$9),'Lap ED'!A9,"")</f>
        <v/>
      </c>
      <c r="O18" s="27" t="str">
        <f>IF(AND('Lap ED'!G9='Peta Risiko'!$D$6,'Lap ED'!H9='Peta Risiko'!$G$9),'Lap ED'!A9,"")</f>
        <v/>
      </c>
      <c r="P18" s="27" t="str">
        <f>IF(AND('Lap ED'!G9='Peta Risiko'!$D$6,'Lap ED'!H9='Peta Risiko'!$H$9),'Lap ED'!A9,"")</f>
        <v/>
      </c>
      <c r="Q18" s="27" t="str">
        <f>IF(AND('Lap ED'!G9='Peta Risiko'!$D$6,'Lap ED'!H9='Peta Risiko'!$I$9),'Lap ED'!A9,"")</f>
        <v/>
      </c>
      <c r="R18" s="27" t="str">
        <f>IF(AND('Lap ED'!G9='Peta Risiko'!$D$7,'Lap ED'!H9='Peta Risiko'!$E$9),'Lap ED'!A9,"")</f>
        <v/>
      </c>
      <c r="S18" s="27" t="str">
        <f>IF(AND('Lap ED'!G9='Peta Risiko'!$D$7,'Lap ED'!H9='Peta Risiko'!$F$9),'Lap ED'!A9,"")</f>
        <v/>
      </c>
      <c r="T18" s="27" t="str">
        <f>IF(AND('Lap ED'!G9='Peta Risiko'!$D$7,'Lap ED'!H9='Peta Risiko'!$G$9),'Lap ED'!A9,"")</f>
        <v/>
      </c>
      <c r="U18" s="27" t="str">
        <f>IF(AND('Lap ED'!G9='Peta Risiko'!$D$7,'Lap ED'!H9='Peta Risiko'!$H$9),'Lap ED'!A9,"")</f>
        <v/>
      </c>
      <c r="V18" s="27" t="str">
        <f>IF(AND('Lap ED'!G9='Peta Risiko'!$D$7,'Lap ED'!H9='Peta Risiko'!$I$9),'Lap ED'!A9,"")</f>
        <v/>
      </c>
      <c r="W18" s="27">
        <f>IF(AND('Lap ED'!G9='Peta Risiko'!$D$8,'Lap ED'!H9='Peta Risiko'!$E$9),'Lap ED'!A9,"")</f>
        <v>4</v>
      </c>
      <c r="X18" s="27" t="str">
        <f>IF(AND('Lap ED'!G9='Peta Risiko'!$D$8,'Lap ED'!H9='Peta Risiko'!$F$9),'Lap ED'!A9,"")</f>
        <v/>
      </c>
      <c r="Y18" s="27" t="str">
        <f>IF(AND('Lap ED'!G9='Peta Risiko'!$D$8,'Lap ED'!H9='Peta Risiko'!$G$9),'Lap ED'!A9,"")</f>
        <v/>
      </c>
      <c r="Z18" s="27" t="str">
        <f>IF(AND('Lap ED'!G9='Peta Risiko'!$D$8,'Lap ED'!H9='Peta Risiko'!$H$9),'Lap ED'!A9,"")</f>
        <v/>
      </c>
      <c r="AA18" s="27" t="str">
        <f>IF(AND('Lap ED'!G9='Peta Risiko'!$D$8,'Lap ED'!H9='Peta Risiko'!$I$9),'Lap ED'!A9,"")</f>
        <v/>
      </c>
    </row>
    <row r="19" spans="2:27" hidden="1" x14ac:dyDescent="0.25">
      <c r="B19" s="27">
        <f t="shared" si="5"/>
        <v>5</v>
      </c>
      <c r="C19" s="27" t="str">
        <f>IF(AND('Lap ED'!G10='Peta Risiko'!$D$4,'Lap ED'!H10='Peta Risiko'!$E$9),'Lap ED'!A10,"")</f>
        <v/>
      </c>
      <c r="D19" s="27" t="str">
        <f>IF(AND('Lap ED'!G10='Peta Risiko'!$D$4,'Lap ED'!H10='Peta Risiko'!$F$9),'Lap ED'!A10,"")</f>
        <v/>
      </c>
      <c r="E19" s="27" t="str">
        <f>IF(AND('Lap ED'!G10='Peta Risiko'!$D$4,'Lap ED'!H10='Peta Risiko'!$G$9),'Lap ED'!A10,"")</f>
        <v/>
      </c>
      <c r="F19" s="27" t="str">
        <f>IF(AND('Lap ED'!G10='Peta Risiko'!$D$4,'Lap ED'!H10='Peta Risiko'!$H$9),'Lap ED'!A10,"")</f>
        <v/>
      </c>
      <c r="G19" s="27" t="str">
        <f>IF(AND('Lap ED'!G10='Peta Risiko'!$D$4,'Lap ED'!H10='Peta Risiko'!$I$9),'Lap ED'!A10,"")</f>
        <v/>
      </c>
      <c r="H19" s="27" t="str">
        <f>IF(AND('Lap ED'!G10='Peta Risiko'!$D$5,'Lap ED'!H10='Peta Risiko'!$E$9),'Lap ED'!A10,"")</f>
        <v/>
      </c>
      <c r="I19" s="27" t="str">
        <f>IF(AND('Lap ED'!G10='Peta Risiko'!$D$5,'Lap ED'!H10='Peta Risiko'!$F$9),'Lap ED'!A10,"")</f>
        <v/>
      </c>
      <c r="J19" s="27" t="str">
        <f>IF(AND('Lap ED'!G10='Peta Risiko'!$D$5,'Lap ED'!H10='Peta Risiko'!$G$9),'Lap ED'!A10,"")</f>
        <v/>
      </c>
      <c r="K19" s="27" t="str">
        <f>IF(AND('Lap ED'!G10='Peta Risiko'!$D$5,'Lap ED'!H10='Peta Risiko'!$H$9),'Lap ED'!A10,"")</f>
        <v/>
      </c>
      <c r="L19" s="27" t="str">
        <f>IF(AND('Lap ED'!G10='Peta Risiko'!$D$5,'Lap ED'!H10='Peta Risiko'!$I$9),'Lap ED'!A10,"")</f>
        <v/>
      </c>
      <c r="M19" s="27" t="str">
        <f>IF(AND('Lap ED'!G10='Peta Risiko'!$D$6,'Lap ED'!H10='Peta Risiko'!$E$9),'Lap ED'!A10,"")</f>
        <v/>
      </c>
      <c r="N19" s="27" t="str">
        <f>IF(AND('Lap ED'!G10='Peta Risiko'!$D$6,'Lap ED'!H10='Peta Risiko'!$F$9),'Lap ED'!A10,"")</f>
        <v/>
      </c>
      <c r="O19" s="27" t="str">
        <f>IF(AND('Lap ED'!G10='Peta Risiko'!$D$6,'Lap ED'!H10='Peta Risiko'!$G$9),'Lap ED'!A10,"")</f>
        <v/>
      </c>
      <c r="P19" s="27" t="str">
        <f>IF(AND('Lap ED'!G10='Peta Risiko'!$D$6,'Lap ED'!H10='Peta Risiko'!$H$9),'Lap ED'!A10,"")</f>
        <v/>
      </c>
      <c r="Q19" s="27" t="str">
        <f>IF(AND('Lap ED'!G10='Peta Risiko'!$D$6,'Lap ED'!H10='Peta Risiko'!$I$9),'Lap ED'!A10,"")</f>
        <v/>
      </c>
      <c r="R19" s="27" t="str">
        <f>IF(AND('Lap ED'!G10='Peta Risiko'!$D$7,'Lap ED'!H10='Peta Risiko'!$E$9),'Lap ED'!A10,"")</f>
        <v/>
      </c>
      <c r="S19" s="27" t="str">
        <f>IF(AND('Lap ED'!G10='Peta Risiko'!$D$7,'Lap ED'!H10='Peta Risiko'!$F$9),'Lap ED'!A10,"")</f>
        <v/>
      </c>
      <c r="T19" s="27" t="str">
        <f>IF(AND('Lap ED'!G10='Peta Risiko'!$D$7,'Lap ED'!H10='Peta Risiko'!$G$9),'Lap ED'!A10,"")</f>
        <v/>
      </c>
      <c r="U19" s="27" t="str">
        <f>IF(AND('Lap ED'!G10='Peta Risiko'!$D$7,'Lap ED'!H10='Peta Risiko'!$H$9),'Lap ED'!A10,"")</f>
        <v/>
      </c>
      <c r="V19" s="27" t="str">
        <f>IF(AND('Lap ED'!G10='Peta Risiko'!$D$7,'Lap ED'!H10='Peta Risiko'!$I$9),'Lap ED'!A10,"")</f>
        <v/>
      </c>
      <c r="W19" s="27">
        <f>IF(AND('Lap ED'!G10='Peta Risiko'!$D$8,'Lap ED'!H10='Peta Risiko'!$E$9),'Lap ED'!A10,"")</f>
        <v>5</v>
      </c>
      <c r="X19" s="27" t="str">
        <f>IF(AND('Lap ED'!G10='Peta Risiko'!$D$8,'Lap ED'!H10='Peta Risiko'!$F$9),'Lap ED'!A10,"")</f>
        <v/>
      </c>
      <c r="Y19" s="27" t="str">
        <f>IF(AND('Lap ED'!G10='Peta Risiko'!$D$8,'Lap ED'!H10='Peta Risiko'!$G$9),'Lap ED'!A10,"")</f>
        <v/>
      </c>
      <c r="Z19" s="27" t="str">
        <f>IF(AND('Lap ED'!G10='Peta Risiko'!$D$8,'Lap ED'!H10='Peta Risiko'!$H$9),'Lap ED'!A10,"")</f>
        <v/>
      </c>
      <c r="AA19" s="27" t="str">
        <f>IF(AND('Lap ED'!G10='Peta Risiko'!$D$8,'Lap ED'!H10='Peta Risiko'!$I$9),'Lap ED'!A10,"")</f>
        <v/>
      </c>
    </row>
    <row r="20" spans="2:27" hidden="1" x14ac:dyDescent="0.25">
      <c r="B20" s="27">
        <f t="shared" si="5"/>
        <v>6</v>
      </c>
      <c r="C20" s="27" t="str">
        <f>IF(AND('Lap ED'!G11='Peta Risiko'!$D$4,'Lap ED'!H11='Peta Risiko'!$E$9),'Lap ED'!A11,"")</f>
        <v/>
      </c>
      <c r="D20" s="27" t="str">
        <f>IF(AND('Lap ED'!G11='Peta Risiko'!$D$4,'Lap ED'!H11='Peta Risiko'!$F$9),'Lap ED'!A11,"")</f>
        <v/>
      </c>
      <c r="E20" s="27" t="str">
        <f>IF(AND('Lap ED'!G11='Peta Risiko'!$D$4,'Lap ED'!H11='Peta Risiko'!$G$9),'Lap ED'!A11,"")</f>
        <v/>
      </c>
      <c r="F20" s="27" t="str">
        <f>IF(AND('Lap ED'!G11='Peta Risiko'!$D$4,'Lap ED'!H11='Peta Risiko'!$H$9),'Lap ED'!A11,"")</f>
        <v/>
      </c>
      <c r="G20" s="27" t="str">
        <f>IF(AND('Lap ED'!G11='Peta Risiko'!$D$4,'Lap ED'!H11='Peta Risiko'!$I$9),'Lap ED'!A11,"")</f>
        <v/>
      </c>
      <c r="H20" s="27" t="str">
        <f>IF(AND('Lap ED'!G11='Peta Risiko'!$D$5,'Lap ED'!H11='Peta Risiko'!$E$9),'Lap ED'!A11,"")</f>
        <v/>
      </c>
      <c r="I20" s="27" t="str">
        <f>IF(AND('Lap ED'!G11='Peta Risiko'!$D$5,'Lap ED'!H11='Peta Risiko'!$F$9),'Lap ED'!A11,"")</f>
        <v/>
      </c>
      <c r="J20" s="27" t="str">
        <f>IF(AND('Lap ED'!G11='Peta Risiko'!$D$5,'Lap ED'!H11='Peta Risiko'!$G$9),'Lap ED'!A11,"")</f>
        <v/>
      </c>
      <c r="K20" s="27" t="str">
        <f>IF(AND('Lap ED'!G11='Peta Risiko'!$D$5,'Lap ED'!H11='Peta Risiko'!$H$9),'Lap ED'!A11,"")</f>
        <v/>
      </c>
      <c r="L20" s="27" t="str">
        <f>IF(AND('Lap ED'!G11='Peta Risiko'!$D$5,'Lap ED'!H11='Peta Risiko'!$I$9),'Lap ED'!A11,"")</f>
        <v/>
      </c>
      <c r="M20" s="27" t="str">
        <f>IF(AND('Lap ED'!G11='Peta Risiko'!$D$6,'Lap ED'!H11='Peta Risiko'!$E$9),'Lap ED'!A11,"")</f>
        <v/>
      </c>
      <c r="N20" s="27" t="str">
        <f>IF(AND('Lap ED'!G11='Peta Risiko'!$D$6,'Lap ED'!H11='Peta Risiko'!$F$9),'Lap ED'!A11,"")</f>
        <v/>
      </c>
      <c r="O20" s="27" t="str">
        <f>IF(AND('Lap ED'!G11='Peta Risiko'!$D$6,'Lap ED'!H11='Peta Risiko'!$G$9),'Lap ED'!A11,"")</f>
        <v/>
      </c>
      <c r="P20" s="27" t="str">
        <f>IF(AND('Lap ED'!G11='Peta Risiko'!$D$6,'Lap ED'!H11='Peta Risiko'!$H$9),'Lap ED'!A11,"")</f>
        <v/>
      </c>
      <c r="Q20" s="27" t="str">
        <f>IF(AND('Lap ED'!G11='Peta Risiko'!$D$6,'Lap ED'!H11='Peta Risiko'!$I$9),'Lap ED'!A11,"")</f>
        <v/>
      </c>
      <c r="R20" s="27" t="str">
        <f>IF(AND('Lap ED'!G11='Peta Risiko'!$D$7,'Lap ED'!H11='Peta Risiko'!$E$9),'Lap ED'!A11,"")</f>
        <v/>
      </c>
      <c r="S20" s="27" t="str">
        <f>IF(AND('Lap ED'!G11='Peta Risiko'!$D$7,'Lap ED'!H11='Peta Risiko'!$F$9),'Lap ED'!A11,"")</f>
        <v/>
      </c>
      <c r="T20" s="27" t="str">
        <f>IF(AND('Lap ED'!G11='Peta Risiko'!$D$7,'Lap ED'!H11='Peta Risiko'!$G$9),'Lap ED'!A11,"")</f>
        <v/>
      </c>
      <c r="U20" s="27" t="str">
        <f>IF(AND('Lap ED'!G11='Peta Risiko'!$D$7,'Lap ED'!H11='Peta Risiko'!$H$9),'Lap ED'!A11,"")</f>
        <v/>
      </c>
      <c r="V20" s="27" t="str">
        <f>IF(AND('Lap ED'!G11='Peta Risiko'!$D$7,'Lap ED'!H11='Peta Risiko'!$I$9),'Lap ED'!A11,"")</f>
        <v/>
      </c>
      <c r="W20" s="27">
        <f>IF(AND('Lap ED'!G11='Peta Risiko'!$D$8,'Lap ED'!H11='Peta Risiko'!$E$9),'Lap ED'!A11,"")</f>
        <v>6</v>
      </c>
      <c r="X20" s="27" t="str">
        <f>IF(AND('Lap ED'!G11='Peta Risiko'!$D$8,'Lap ED'!H11='Peta Risiko'!$F$9),'Lap ED'!A11,"")</f>
        <v/>
      </c>
      <c r="Y20" s="27" t="str">
        <f>IF(AND('Lap ED'!G11='Peta Risiko'!$D$8,'Lap ED'!H11='Peta Risiko'!$G$9),'Lap ED'!A11,"")</f>
        <v/>
      </c>
      <c r="Z20" s="27" t="str">
        <f>IF(AND('Lap ED'!G11='Peta Risiko'!$D$8,'Lap ED'!H11='Peta Risiko'!$H$9),'Lap ED'!A11,"")</f>
        <v/>
      </c>
      <c r="AA20" s="27" t="str">
        <f>IF(AND('Lap ED'!G11='Peta Risiko'!$D$8,'Lap ED'!H11='Peta Risiko'!$I$9),'Lap ED'!A11,"")</f>
        <v/>
      </c>
    </row>
    <row r="21" spans="2:27" hidden="1" x14ac:dyDescent="0.25">
      <c r="B21" s="27">
        <f t="shared" si="5"/>
        <v>7</v>
      </c>
      <c r="C21" s="27" t="str">
        <f>IF(AND('Lap ED'!G12='Peta Risiko'!$D$4,'Lap ED'!H12='Peta Risiko'!$E$9),'Lap ED'!A12,"")</f>
        <v/>
      </c>
      <c r="D21" s="27" t="str">
        <f>IF(AND('Lap ED'!G12='Peta Risiko'!$D$4,'Lap ED'!H12='Peta Risiko'!$F$9),'Lap ED'!A12,"")</f>
        <v/>
      </c>
      <c r="E21" s="27" t="str">
        <f>IF(AND('Lap ED'!G12='Peta Risiko'!$D$4,'Lap ED'!H12='Peta Risiko'!$G$9),'Lap ED'!A12,"")</f>
        <v/>
      </c>
      <c r="F21" s="27" t="str">
        <f>IF(AND('Lap ED'!G12='Peta Risiko'!$D$4,'Lap ED'!H12='Peta Risiko'!$H$9),'Lap ED'!A12,"")</f>
        <v/>
      </c>
      <c r="G21" s="27" t="str">
        <f>IF(AND('Lap ED'!G12='Peta Risiko'!$D$4,'Lap ED'!H12='Peta Risiko'!$I$9),'Lap ED'!A12,"")</f>
        <v/>
      </c>
      <c r="H21" s="27" t="str">
        <f>IF(AND('Lap ED'!G12='Peta Risiko'!$D$5,'Lap ED'!H12='Peta Risiko'!$E$9),'Lap ED'!A12,"")</f>
        <v/>
      </c>
      <c r="I21" s="27" t="str">
        <f>IF(AND('Lap ED'!G12='Peta Risiko'!$D$5,'Lap ED'!H12='Peta Risiko'!$F$9),'Lap ED'!A12,"")</f>
        <v/>
      </c>
      <c r="J21" s="27" t="str">
        <f>IF(AND('Lap ED'!G12='Peta Risiko'!$D$5,'Lap ED'!H12='Peta Risiko'!$G$9),'Lap ED'!A12,"")</f>
        <v/>
      </c>
      <c r="K21" s="27" t="str">
        <f>IF(AND('Lap ED'!G12='Peta Risiko'!$D$5,'Lap ED'!H12='Peta Risiko'!$H$9),'Lap ED'!A12,"")</f>
        <v/>
      </c>
      <c r="L21" s="27" t="str">
        <f>IF(AND('Lap ED'!G12='Peta Risiko'!$D$5,'Lap ED'!H12='Peta Risiko'!$I$9),'Lap ED'!A12,"")</f>
        <v/>
      </c>
      <c r="M21" s="27" t="str">
        <f>IF(AND('Lap ED'!G12='Peta Risiko'!$D$6,'Lap ED'!H12='Peta Risiko'!$E$9),'Lap ED'!A12,"")</f>
        <v/>
      </c>
      <c r="N21" s="27" t="str">
        <f>IF(AND('Lap ED'!G12='Peta Risiko'!$D$6,'Lap ED'!H12='Peta Risiko'!$F$9),'Lap ED'!A12,"")</f>
        <v/>
      </c>
      <c r="O21" s="27" t="str">
        <f>IF(AND('Lap ED'!G12='Peta Risiko'!$D$6,'Lap ED'!H12='Peta Risiko'!$G$9),'Lap ED'!A12,"")</f>
        <v/>
      </c>
      <c r="P21" s="27" t="str">
        <f>IF(AND('Lap ED'!G12='Peta Risiko'!$D$6,'Lap ED'!H12='Peta Risiko'!$H$9),'Lap ED'!A12,"")</f>
        <v/>
      </c>
      <c r="Q21" s="27" t="str">
        <f>IF(AND('Lap ED'!G12='Peta Risiko'!$D$6,'Lap ED'!H12='Peta Risiko'!$I$9),'Lap ED'!A12,"")</f>
        <v/>
      </c>
      <c r="R21" s="27" t="str">
        <f>IF(AND('Lap ED'!G12='Peta Risiko'!$D$7,'Lap ED'!H12='Peta Risiko'!$E$9),'Lap ED'!A12,"")</f>
        <v/>
      </c>
      <c r="S21" s="27" t="str">
        <f>IF(AND('Lap ED'!G12='Peta Risiko'!$D$7,'Lap ED'!H12='Peta Risiko'!$F$9),'Lap ED'!A12,"")</f>
        <v/>
      </c>
      <c r="T21" s="27" t="str">
        <f>IF(AND('Lap ED'!G12='Peta Risiko'!$D$7,'Lap ED'!H12='Peta Risiko'!$G$9),'Lap ED'!A12,"")</f>
        <v/>
      </c>
      <c r="U21" s="27" t="str">
        <f>IF(AND('Lap ED'!G12='Peta Risiko'!$D$7,'Lap ED'!H12='Peta Risiko'!$H$9),'Lap ED'!A12,"")</f>
        <v/>
      </c>
      <c r="V21" s="27" t="str">
        <f>IF(AND('Lap ED'!G12='Peta Risiko'!$D$7,'Lap ED'!H12='Peta Risiko'!$I$9),'Lap ED'!A12,"")</f>
        <v/>
      </c>
      <c r="W21" s="27">
        <f>IF(AND('Lap ED'!G12='Peta Risiko'!$D$8,'Lap ED'!H12='Peta Risiko'!$E$9),'Lap ED'!A12,"")</f>
        <v>7</v>
      </c>
      <c r="X21" s="27" t="str">
        <f>IF(AND('Lap ED'!G12='Peta Risiko'!$D$8,'Lap ED'!H12='Peta Risiko'!$F$9),'Lap ED'!A12,"")</f>
        <v/>
      </c>
      <c r="Y21" s="27" t="str">
        <f>IF(AND('Lap ED'!G12='Peta Risiko'!$D$8,'Lap ED'!H12='Peta Risiko'!$G$9),'Lap ED'!A12,"")</f>
        <v/>
      </c>
      <c r="Z21" s="27" t="str">
        <f>IF(AND('Lap ED'!G12='Peta Risiko'!$D$8,'Lap ED'!H12='Peta Risiko'!$H$9),'Lap ED'!A12,"")</f>
        <v/>
      </c>
      <c r="AA21" s="27" t="str">
        <f>IF(AND('Lap ED'!G12='Peta Risiko'!$D$8,'Lap ED'!H12='Peta Risiko'!$I$9),'Lap ED'!A12,"")</f>
        <v/>
      </c>
    </row>
    <row r="22" spans="2:27" hidden="1" x14ac:dyDescent="0.25">
      <c r="B22" s="27">
        <f t="shared" si="5"/>
        <v>8</v>
      </c>
      <c r="C22" s="27" t="str">
        <f>IF(AND('Lap ED'!G13='Peta Risiko'!$D$4,'Lap ED'!H13='Peta Risiko'!$E$9),'Lap ED'!A13,"")</f>
        <v/>
      </c>
      <c r="D22" s="27" t="str">
        <f>IF(AND('Lap ED'!G13='Peta Risiko'!$D$4,'Lap ED'!H13='Peta Risiko'!$F$9),'Lap ED'!A13,"")</f>
        <v/>
      </c>
      <c r="E22" s="27" t="str">
        <f>IF(AND('Lap ED'!G13='Peta Risiko'!$D$4,'Lap ED'!H13='Peta Risiko'!$G$9),'Lap ED'!A13,"")</f>
        <v/>
      </c>
      <c r="F22" s="27" t="str">
        <f>IF(AND('Lap ED'!G13='Peta Risiko'!$D$4,'Lap ED'!H13='Peta Risiko'!$H$9),'Lap ED'!A13,"")</f>
        <v/>
      </c>
      <c r="G22" s="27" t="str">
        <f>IF(AND('Lap ED'!G13='Peta Risiko'!$D$4,'Lap ED'!H13='Peta Risiko'!$I$9),'Lap ED'!A13,"")</f>
        <v/>
      </c>
      <c r="H22" s="27" t="str">
        <f>IF(AND('Lap ED'!G13='Peta Risiko'!$D$5,'Lap ED'!H13='Peta Risiko'!$E$9),'Lap ED'!A13,"")</f>
        <v/>
      </c>
      <c r="I22" s="27" t="str">
        <f>IF(AND('Lap ED'!G13='Peta Risiko'!$D$5,'Lap ED'!H13='Peta Risiko'!$F$9),'Lap ED'!A13,"")</f>
        <v/>
      </c>
      <c r="J22" s="27" t="str">
        <f>IF(AND('Lap ED'!G13='Peta Risiko'!$D$5,'Lap ED'!H13='Peta Risiko'!$G$9),'Lap ED'!A13,"")</f>
        <v/>
      </c>
      <c r="K22" s="27" t="str">
        <f>IF(AND('Lap ED'!G13='Peta Risiko'!$D$5,'Lap ED'!H13='Peta Risiko'!$H$9),'Lap ED'!A13,"")</f>
        <v/>
      </c>
      <c r="L22" s="27" t="str">
        <f>IF(AND('Lap ED'!G13='Peta Risiko'!$D$5,'Lap ED'!H13='Peta Risiko'!$I$9),'Lap ED'!A13,"")</f>
        <v/>
      </c>
      <c r="M22" s="27" t="str">
        <f>IF(AND('Lap ED'!G13='Peta Risiko'!$D$6,'Lap ED'!H13='Peta Risiko'!$E$9),'Lap ED'!A13,"")</f>
        <v/>
      </c>
      <c r="N22" s="27" t="str">
        <f>IF(AND('Lap ED'!G13='Peta Risiko'!$D$6,'Lap ED'!H13='Peta Risiko'!$F$9),'Lap ED'!A13,"")</f>
        <v/>
      </c>
      <c r="O22" s="27" t="str">
        <f>IF(AND('Lap ED'!G13='Peta Risiko'!$D$6,'Lap ED'!H13='Peta Risiko'!$G$9),'Lap ED'!A13,"")</f>
        <v/>
      </c>
      <c r="P22" s="27" t="str">
        <f>IF(AND('Lap ED'!G13='Peta Risiko'!$D$6,'Lap ED'!H13='Peta Risiko'!$H$9),'Lap ED'!A13,"")</f>
        <v/>
      </c>
      <c r="Q22" s="27" t="str">
        <f>IF(AND('Lap ED'!G13='Peta Risiko'!$D$6,'Lap ED'!H13='Peta Risiko'!$I$9),'Lap ED'!A13,"")</f>
        <v/>
      </c>
      <c r="R22" s="27" t="str">
        <f>IF(AND('Lap ED'!G13='Peta Risiko'!$D$7,'Lap ED'!H13='Peta Risiko'!$E$9),'Lap ED'!A13,"")</f>
        <v/>
      </c>
      <c r="S22" s="27" t="str">
        <f>IF(AND('Lap ED'!G13='Peta Risiko'!$D$7,'Lap ED'!H13='Peta Risiko'!$F$9),'Lap ED'!A13,"")</f>
        <v/>
      </c>
      <c r="T22" s="27" t="str">
        <f>IF(AND('Lap ED'!G13='Peta Risiko'!$D$7,'Lap ED'!H13='Peta Risiko'!$G$9),'Lap ED'!A13,"")</f>
        <v/>
      </c>
      <c r="U22" s="27" t="str">
        <f>IF(AND('Lap ED'!G13='Peta Risiko'!$D$7,'Lap ED'!H13='Peta Risiko'!$H$9),'Lap ED'!A13,"")</f>
        <v/>
      </c>
      <c r="V22" s="27" t="str">
        <f>IF(AND('Lap ED'!G13='Peta Risiko'!$D$7,'Lap ED'!H13='Peta Risiko'!$I$9),'Lap ED'!A13,"")</f>
        <v/>
      </c>
      <c r="W22" s="27">
        <f>IF(AND('Lap ED'!G13='Peta Risiko'!$D$8,'Lap ED'!H13='Peta Risiko'!$E$9),'Lap ED'!A13,"")</f>
        <v>8</v>
      </c>
      <c r="X22" s="27" t="str">
        <f>IF(AND('Lap ED'!G13='Peta Risiko'!$D$8,'Lap ED'!H13='Peta Risiko'!$F$9),'Lap ED'!A13,"")</f>
        <v/>
      </c>
      <c r="Y22" s="27" t="str">
        <f>IF(AND('Lap ED'!G13='Peta Risiko'!$D$8,'Lap ED'!H13='Peta Risiko'!$G$9),'Lap ED'!A13,"")</f>
        <v/>
      </c>
      <c r="Z22" s="27" t="str">
        <f>IF(AND('Lap ED'!G13='Peta Risiko'!$D$8,'Lap ED'!H13='Peta Risiko'!$H$9),'Lap ED'!A13,"")</f>
        <v/>
      </c>
      <c r="AA22" s="27" t="str">
        <f>IF(AND('Lap ED'!G13='Peta Risiko'!$D$8,'Lap ED'!H13='Peta Risiko'!$I$9),'Lap ED'!A13,"")</f>
        <v/>
      </c>
    </row>
    <row r="23" spans="2:27" hidden="1" x14ac:dyDescent="0.25">
      <c r="B23" s="27">
        <f t="shared" si="5"/>
        <v>9</v>
      </c>
      <c r="C23" s="27" t="str">
        <f>IF(AND('Lap ED'!G14='Peta Risiko'!$D$4,'Lap ED'!H14='Peta Risiko'!$E$9),'Lap ED'!A14,"")</f>
        <v/>
      </c>
      <c r="D23" s="27" t="str">
        <f>IF(AND('Lap ED'!G14='Peta Risiko'!$D$4,'Lap ED'!H14='Peta Risiko'!$F$9),'Lap ED'!A14,"")</f>
        <v/>
      </c>
      <c r="E23" s="27" t="str">
        <f>IF(AND('Lap ED'!G14='Peta Risiko'!$D$4,'Lap ED'!H14='Peta Risiko'!$G$9),'Lap ED'!A14,"")</f>
        <v/>
      </c>
      <c r="F23" s="27" t="str">
        <f>IF(AND('Lap ED'!G14='Peta Risiko'!$D$4,'Lap ED'!H14='Peta Risiko'!$H$9),'Lap ED'!A14,"")</f>
        <v/>
      </c>
      <c r="G23" s="27" t="str">
        <f>IF(AND('Lap ED'!G14='Peta Risiko'!$D$4,'Lap ED'!H14='Peta Risiko'!$I$9),'Lap ED'!A14,"")</f>
        <v/>
      </c>
      <c r="H23" s="27" t="str">
        <f>IF(AND('Lap ED'!G14='Peta Risiko'!$D$5,'Lap ED'!H14='Peta Risiko'!$E$9),'Lap ED'!A14,"")</f>
        <v/>
      </c>
      <c r="I23" s="27" t="str">
        <f>IF(AND('Lap ED'!G14='Peta Risiko'!$D$5,'Lap ED'!H14='Peta Risiko'!$F$9),'Lap ED'!A14,"")</f>
        <v/>
      </c>
      <c r="J23" s="27" t="str">
        <f>IF(AND('Lap ED'!G14='Peta Risiko'!$D$5,'Lap ED'!H14='Peta Risiko'!$G$9),'Lap ED'!A14,"")</f>
        <v/>
      </c>
      <c r="K23" s="27" t="str">
        <f>IF(AND('Lap ED'!G14='Peta Risiko'!$D$5,'Lap ED'!H14='Peta Risiko'!$H$9),'Lap ED'!A14,"")</f>
        <v/>
      </c>
      <c r="L23" s="27" t="str">
        <f>IF(AND('Lap ED'!G14='Peta Risiko'!$D$5,'Lap ED'!H14='Peta Risiko'!$I$9),'Lap ED'!A14,"")</f>
        <v/>
      </c>
      <c r="M23" s="27" t="str">
        <f>IF(AND('Lap ED'!G14='Peta Risiko'!$D$6,'Lap ED'!H14='Peta Risiko'!$E$9),'Lap ED'!A14,"")</f>
        <v/>
      </c>
      <c r="N23" s="27" t="str">
        <f>IF(AND('Lap ED'!G14='Peta Risiko'!$D$6,'Lap ED'!H14='Peta Risiko'!$F$9),'Lap ED'!A14,"")</f>
        <v/>
      </c>
      <c r="O23" s="27" t="str">
        <f>IF(AND('Lap ED'!G14='Peta Risiko'!$D$6,'Lap ED'!H14='Peta Risiko'!$G$9),'Lap ED'!A14,"")</f>
        <v/>
      </c>
      <c r="P23" s="27" t="str">
        <f>IF(AND('Lap ED'!G14='Peta Risiko'!$D$6,'Lap ED'!H14='Peta Risiko'!$H$9),'Lap ED'!A14,"")</f>
        <v/>
      </c>
      <c r="Q23" s="27" t="str">
        <f>IF(AND('Lap ED'!G14='Peta Risiko'!$D$6,'Lap ED'!H14='Peta Risiko'!$I$9),'Lap ED'!A14,"")</f>
        <v/>
      </c>
      <c r="R23" s="27" t="str">
        <f>IF(AND('Lap ED'!G14='Peta Risiko'!$D$7,'Lap ED'!H14='Peta Risiko'!$E$9),'Lap ED'!A14,"")</f>
        <v/>
      </c>
      <c r="S23" s="27" t="str">
        <f>IF(AND('Lap ED'!G14='Peta Risiko'!$D$7,'Lap ED'!H14='Peta Risiko'!$F$9),'Lap ED'!A14,"")</f>
        <v/>
      </c>
      <c r="T23" s="27" t="str">
        <f>IF(AND('Lap ED'!G14='Peta Risiko'!$D$7,'Lap ED'!H14='Peta Risiko'!$G$9),'Lap ED'!A14,"")</f>
        <v/>
      </c>
      <c r="U23" s="27" t="str">
        <f>IF(AND('Lap ED'!G14='Peta Risiko'!$D$7,'Lap ED'!H14='Peta Risiko'!$H$9),'Lap ED'!A14,"")</f>
        <v/>
      </c>
      <c r="V23" s="27" t="str">
        <f>IF(AND('Lap ED'!G14='Peta Risiko'!$D$7,'Lap ED'!H14='Peta Risiko'!$I$9),'Lap ED'!A14,"")</f>
        <v/>
      </c>
      <c r="W23" s="27">
        <f>IF(AND('Lap ED'!G14='Peta Risiko'!$D$8,'Lap ED'!H14='Peta Risiko'!$E$9),'Lap ED'!A14,"")</f>
        <v>9</v>
      </c>
      <c r="X23" s="27" t="str">
        <f>IF(AND('Lap ED'!G14='Peta Risiko'!$D$8,'Lap ED'!H14='Peta Risiko'!$F$9),'Lap ED'!A14,"")</f>
        <v/>
      </c>
      <c r="Y23" s="27" t="str">
        <f>IF(AND('Lap ED'!G14='Peta Risiko'!$D$8,'Lap ED'!H14='Peta Risiko'!$G$9),'Lap ED'!A14,"")</f>
        <v/>
      </c>
      <c r="Z23" s="27" t="str">
        <f>IF(AND('Lap ED'!G14='Peta Risiko'!$D$8,'Lap ED'!H14='Peta Risiko'!$H$9),'Lap ED'!A14,"")</f>
        <v/>
      </c>
      <c r="AA23" s="27" t="str">
        <f>IF(AND('Lap ED'!G14='Peta Risiko'!$D$8,'Lap ED'!H14='Peta Risiko'!$I$9),'Lap ED'!A14,"")</f>
        <v/>
      </c>
    </row>
    <row r="24" spans="2:27" hidden="1" x14ac:dyDescent="0.25">
      <c r="B24" s="27">
        <f t="shared" si="5"/>
        <v>10</v>
      </c>
      <c r="C24" s="27" t="str">
        <f>IF(AND('Lap ED'!G15='Peta Risiko'!$D$4,'Lap ED'!H15='Peta Risiko'!$E$9),'Lap ED'!A15,"")</f>
        <v/>
      </c>
      <c r="D24" s="27" t="str">
        <f>IF(AND('Lap ED'!G15='Peta Risiko'!$D$4,'Lap ED'!H15='Peta Risiko'!$F$9),'Lap ED'!A15,"")</f>
        <v/>
      </c>
      <c r="E24" s="27" t="str">
        <f>IF(AND('Lap ED'!G15='Peta Risiko'!$D$4,'Lap ED'!H15='Peta Risiko'!$G$9),'Lap ED'!A15,"")</f>
        <v/>
      </c>
      <c r="F24" s="27" t="str">
        <f>IF(AND('Lap ED'!G15='Peta Risiko'!$D$4,'Lap ED'!H15='Peta Risiko'!$H$9),'Lap ED'!A15,"")</f>
        <v/>
      </c>
      <c r="G24" s="27" t="str">
        <f>IF(AND('Lap ED'!G15='Peta Risiko'!$D$4,'Lap ED'!H15='Peta Risiko'!$I$9),'Lap ED'!A15,"")</f>
        <v/>
      </c>
      <c r="H24" s="27" t="str">
        <f>IF(AND('Lap ED'!G15='Peta Risiko'!$D$5,'Lap ED'!H15='Peta Risiko'!$E$9),'Lap ED'!A15,"")</f>
        <v/>
      </c>
      <c r="I24" s="27" t="str">
        <f>IF(AND('Lap ED'!G15='Peta Risiko'!$D$5,'Lap ED'!H15='Peta Risiko'!$F$9),'Lap ED'!A15,"")</f>
        <v/>
      </c>
      <c r="J24" s="27" t="str">
        <f>IF(AND('Lap ED'!G15='Peta Risiko'!$D$5,'Lap ED'!H15='Peta Risiko'!$G$9),'Lap ED'!A15,"")</f>
        <v/>
      </c>
      <c r="K24" s="27" t="str">
        <f>IF(AND('Lap ED'!G15='Peta Risiko'!$D$5,'Lap ED'!H15='Peta Risiko'!$H$9),'Lap ED'!A15,"")</f>
        <v/>
      </c>
      <c r="L24" s="27" t="str">
        <f>IF(AND('Lap ED'!G15='Peta Risiko'!$D$5,'Lap ED'!H15='Peta Risiko'!$I$9),'Lap ED'!A15,"")</f>
        <v/>
      </c>
      <c r="M24" s="27" t="str">
        <f>IF(AND('Lap ED'!G15='Peta Risiko'!$D$6,'Lap ED'!H15='Peta Risiko'!$E$9),'Lap ED'!A15,"")</f>
        <v/>
      </c>
      <c r="N24" s="27" t="str">
        <f>IF(AND('Lap ED'!G15='Peta Risiko'!$D$6,'Lap ED'!H15='Peta Risiko'!$F$9),'Lap ED'!A15,"")</f>
        <v/>
      </c>
      <c r="O24" s="27" t="str">
        <f>IF(AND('Lap ED'!G15='Peta Risiko'!$D$6,'Lap ED'!H15='Peta Risiko'!$G$9),'Lap ED'!A15,"")</f>
        <v/>
      </c>
      <c r="P24" s="27" t="str">
        <f>IF(AND('Lap ED'!G15='Peta Risiko'!$D$6,'Lap ED'!H15='Peta Risiko'!$H$9),'Lap ED'!A15,"")</f>
        <v/>
      </c>
      <c r="Q24" s="27" t="str">
        <f>IF(AND('Lap ED'!G15='Peta Risiko'!$D$6,'Lap ED'!H15='Peta Risiko'!$I$9),'Lap ED'!A15,"")</f>
        <v/>
      </c>
      <c r="R24" s="27" t="str">
        <f>IF(AND('Lap ED'!G15='Peta Risiko'!$D$7,'Lap ED'!H15='Peta Risiko'!$E$9),'Lap ED'!A15,"")</f>
        <v/>
      </c>
      <c r="S24" s="27" t="str">
        <f>IF(AND('Lap ED'!G15='Peta Risiko'!$D$7,'Lap ED'!H15='Peta Risiko'!$F$9),'Lap ED'!A15,"")</f>
        <v/>
      </c>
      <c r="T24" s="27" t="str">
        <f>IF(AND('Lap ED'!G15='Peta Risiko'!$D$7,'Lap ED'!H15='Peta Risiko'!$G$9),'Lap ED'!A15,"")</f>
        <v/>
      </c>
      <c r="U24" s="27" t="str">
        <f>IF(AND('Lap ED'!G15='Peta Risiko'!$D$7,'Lap ED'!H15='Peta Risiko'!$H$9),'Lap ED'!A15,"")</f>
        <v/>
      </c>
      <c r="V24" s="27" t="str">
        <f>IF(AND('Lap ED'!G15='Peta Risiko'!$D$7,'Lap ED'!H15='Peta Risiko'!$I$9),'Lap ED'!A15,"")</f>
        <v/>
      </c>
      <c r="W24" s="27">
        <f>IF(AND('Lap ED'!G15='Peta Risiko'!$D$8,'Lap ED'!H15='Peta Risiko'!$E$9),'Lap ED'!A15,"")</f>
        <v>10</v>
      </c>
      <c r="X24" s="27" t="str">
        <f>IF(AND('Lap ED'!G15='Peta Risiko'!$D$8,'Lap ED'!H15='Peta Risiko'!$F$9),'Lap ED'!A15,"")</f>
        <v/>
      </c>
      <c r="Y24" s="27" t="str">
        <f>IF(AND('Lap ED'!G15='Peta Risiko'!$D$8,'Lap ED'!H15='Peta Risiko'!$G$9),'Lap ED'!A15,"")</f>
        <v/>
      </c>
      <c r="Z24" s="27" t="str">
        <f>IF(AND('Lap ED'!G15='Peta Risiko'!$D$8,'Lap ED'!H15='Peta Risiko'!$H$9),'Lap ED'!A15,"")</f>
        <v/>
      </c>
      <c r="AA24" s="27" t="str">
        <f>IF(AND('Lap ED'!G15='Peta Risiko'!$D$8,'Lap ED'!H15='Peta Risiko'!$I$9),'Lap ED'!A15,"")</f>
        <v/>
      </c>
    </row>
    <row r="25" spans="2:27" hidden="1" x14ac:dyDescent="0.25">
      <c r="B25" s="27">
        <f t="shared" si="5"/>
        <v>11</v>
      </c>
      <c r="C25" s="27" t="str">
        <f>IF(AND('Lap ED'!G16='Peta Risiko'!$D$4,'Lap ED'!H16='Peta Risiko'!$E$9),'Lap ED'!A16,"")</f>
        <v/>
      </c>
      <c r="D25" s="27" t="str">
        <f>IF(AND('Lap ED'!G16='Peta Risiko'!$D$4,'Lap ED'!H16='Peta Risiko'!$F$9),'Lap ED'!A16,"")</f>
        <v/>
      </c>
      <c r="E25" s="27" t="str">
        <f>IF(AND('Lap ED'!G16='Peta Risiko'!$D$4,'Lap ED'!H16='Peta Risiko'!$G$9),'Lap ED'!A16,"")</f>
        <v/>
      </c>
      <c r="F25" s="27" t="str">
        <f>IF(AND('Lap ED'!G16='Peta Risiko'!$D$4,'Lap ED'!H16='Peta Risiko'!$H$9),'Lap ED'!A16,"")</f>
        <v/>
      </c>
      <c r="G25" s="27" t="str">
        <f>IF(AND('Lap ED'!G16='Peta Risiko'!$D$4,'Lap ED'!H16='Peta Risiko'!$I$9),'Lap ED'!A16,"")</f>
        <v/>
      </c>
      <c r="H25" s="27" t="str">
        <f>IF(AND('Lap ED'!G16='Peta Risiko'!$D$5,'Lap ED'!H16='Peta Risiko'!$E$9),'Lap ED'!A16,"")</f>
        <v/>
      </c>
      <c r="I25" s="27" t="str">
        <f>IF(AND('Lap ED'!G16='Peta Risiko'!$D$5,'Lap ED'!H16='Peta Risiko'!$F$9),'Lap ED'!A16,"")</f>
        <v/>
      </c>
      <c r="J25" s="27" t="str">
        <f>IF(AND('Lap ED'!G16='Peta Risiko'!$D$5,'Lap ED'!H16='Peta Risiko'!$G$9),'Lap ED'!A16,"")</f>
        <v/>
      </c>
      <c r="K25" s="27" t="str">
        <f>IF(AND('Lap ED'!G16='Peta Risiko'!$D$5,'Lap ED'!H16='Peta Risiko'!$H$9),'Lap ED'!A16,"")</f>
        <v/>
      </c>
      <c r="L25" s="27" t="str">
        <f>IF(AND('Lap ED'!G16='Peta Risiko'!$D$5,'Lap ED'!H16='Peta Risiko'!$I$9),'Lap ED'!A16,"")</f>
        <v/>
      </c>
      <c r="M25" s="27" t="str">
        <f>IF(AND('Lap ED'!G16='Peta Risiko'!$D$6,'Lap ED'!H16='Peta Risiko'!$E$9),'Lap ED'!A16,"")</f>
        <v/>
      </c>
      <c r="N25" s="27" t="str">
        <f>IF(AND('Lap ED'!G16='Peta Risiko'!$D$6,'Lap ED'!H16='Peta Risiko'!$F$9),'Lap ED'!A16,"")</f>
        <v/>
      </c>
      <c r="O25" s="27" t="str">
        <f>IF(AND('Lap ED'!G16='Peta Risiko'!$D$6,'Lap ED'!H16='Peta Risiko'!$G$9),'Lap ED'!A16,"")</f>
        <v/>
      </c>
      <c r="P25" s="27" t="str">
        <f>IF(AND('Lap ED'!G16='Peta Risiko'!$D$6,'Lap ED'!H16='Peta Risiko'!$H$9),'Lap ED'!A16,"")</f>
        <v/>
      </c>
      <c r="Q25" s="27" t="str">
        <f>IF(AND('Lap ED'!G16='Peta Risiko'!$D$6,'Lap ED'!H16='Peta Risiko'!$I$9),'Lap ED'!A16,"")</f>
        <v/>
      </c>
      <c r="R25" s="27" t="str">
        <f>IF(AND('Lap ED'!G16='Peta Risiko'!$D$7,'Lap ED'!H16='Peta Risiko'!$E$9),'Lap ED'!A16,"")</f>
        <v/>
      </c>
      <c r="S25" s="27" t="str">
        <f>IF(AND('Lap ED'!G16='Peta Risiko'!$D$7,'Lap ED'!H16='Peta Risiko'!$F$9),'Lap ED'!A16,"")</f>
        <v/>
      </c>
      <c r="T25" s="27" t="str">
        <f>IF(AND('Lap ED'!G16='Peta Risiko'!$D$7,'Lap ED'!H16='Peta Risiko'!$G$9),'Lap ED'!A16,"")</f>
        <v/>
      </c>
      <c r="U25" s="27" t="str">
        <f>IF(AND('Lap ED'!G16='Peta Risiko'!$D$7,'Lap ED'!H16='Peta Risiko'!$H$9),'Lap ED'!A16,"")</f>
        <v/>
      </c>
      <c r="V25" s="27" t="str">
        <f>IF(AND('Lap ED'!G16='Peta Risiko'!$D$7,'Lap ED'!H16='Peta Risiko'!$I$9),'Lap ED'!A16,"")</f>
        <v/>
      </c>
      <c r="W25" s="27">
        <f>IF(AND('Lap ED'!G16='Peta Risiko'!$D$8,'Lap ED'!H16='Peta Risiko'!$E$9),'Lap ED'!A16,"")</f>
        <v>11</v>
      </c>
      <c r="X25" s="27" t="str">
        <f>IF(AND('Lap ED'!G16='Peta Risiko'!$D$8,'Lap ED'!H16='Peta Risiko'!$F$9),'Lap ED'!A16,"")</f>
        <v/>
      </c>
      <c r="Y25" s="27" t="str">
        <f>IF(AND('Lap ED'!G16='Peta Risiko'!$D$8,'Lap ED'!H16='Peta Risiko'!$G$9),'Lap ED'!A16,"")</f>
        <v/>
      </c>
      <c r="Z25" s="27" t="str">
        <f>IF(AND('Lap ED'!G16='Peta Risiko'!$D$8,'Lap ED'!H16='Peta Risiko'!$H$9),'Lap ED'!A16,"")</f>
        <v/>
      </c>
      <c r="AA25" s="27" t="str">
        <f>IF(AND('Lap ED'!G16='Peta Risiko'!$D$8,'Lap ED'!H16='Peta Risiko'!$I$9),'Lap ED'!A16,"")</f>
        <v/>
      </c>
    </row>
    <row r="26" spans="2:27" hidden="1" x14ac:dyDescent="0.25">
      <c r="B26" s="27">
        <f t="shared" si="5"/>
        <v>12</v>
      </c>
      <c r="C26" s="27" t="str">
        <f>IF(AND('Lap ED'!G17='Peta Risiko'!$D$4,'Lap ED'!H17='Peta Risiko'!$E$9),'Lap ED'!A17,"")</f>
        <v/>
      </c>
      <c r="D26" s="27" t="str">
        <f>IF(AND('Lap ED'!G17='Peta Risiko'!$D$4,'Lap ED'!H17='Peta Risiko'!$F$9),'Lap ED'!A17,"")</f>
        <v/>
      </c>
      <c r="E26" s="27" t="str">
        <f>IF(AND('Lap ED'!G17='Peta Risiko'!$D$4,'Lap ED'!H17='Peta Risiko'!$G$9),'Lap ED'!A17,"")</f>
        <v/>
      </c>
      <c r="F26" s="27" t="str">
        <f>IF(AND('Lap ED'!G17='Peta Risiko'!$D$4,'Lap ED'!H17='Peta Risiko'!$H$9),'Lap ED'!A17,"")</f>
        <v/>
      </c>
      <c r="G26" s="27" t="str">
        <f>IF(AND('Lap ED'!G17='Peta Risiko'!$D$4,'Lap ED'!H17='Peta Risiko'!$I$9),'Lap ED'!A17,"")</f>
        <v/>
      </c>
      <c r="H26" s="27" t="str">
        <f>IF(AND('Lap ED'!G17='Peta Risiko'!$D$5,'Lap ED'!H17='Peta Risiko'!$E$9),'Lap ED'!A17,"")</f>
        <v/>
      </c>
      <c r="I26" s="27" t="str">
        <f>IF(AND('Lap ED'!G17='Peta Risiko'!$D$5,'Lap ED'!H17='Peta Risiko'!$F$9),'Lap ED'!A17,"")</f>
        <v/>
      </c>
      <c r="J26" s="27" t="str">
        <f>IF(AND('Lap ED'!G17='Peta Risiko'!$D$5,'Lap ED'!H17='Peta Risiko'!$G$9),'Lap ED'!A17,"")</f>
        <v/>
      </c>
      <c r="K26" s="27" t="str">
        <f>IF(AND('Lap ED'!G17='Peta Risiko'!$D$5,'Lap ED'!H17='Peta Risiko'!$H$9),'Lap ED'!A17,"")</f>
        <v/>
      </c>
      <c r="L26" s="27" t="str">
        <f>IF(AND('Lap ED'!G17='Peta Risiko'!$D$5,'Lap ED'!H17='Peta Risiko'!$I$9),'Lap ED'!A17,"")</f>
        <v/>
      </c>
      <c r="M26" s="27" t="str">
        <f>IF(AND('Lap ED'!G17='Peta Risiko'!$D$6,'Lap ED'!H17='Peta Risiko'!$E$9),'Lap ED'!A17,"")</f>
        <v/>
      </c>
      <c r="N26" s="27" t="str">
        <f>IF(AND('Lap ED'!G17='Peta Risiko'!$D$6,'Lap ED'!H17='Peta Risiko'!$F$9),'Lap ED'!A17,"")</f>
        <v/>
      </c>
      <c r="O26" s="27" t="str">
        <f>IF(AND('Lap ED'!G17='Peta Risiko'!$D$6,'Lap ED'!H17='Peta Risiko'!$G$9),'Lap ED'!A17,"")</f>
        <v/>
      </c>
      <c r="P26" s="27" t="str">
        <f>IF(AND('Lap ED'!G17='Peta Risiko'!$D$6,'Lap ED'!H17='Peta Risiko'!$H$9),'Lap ED'!A17,"")</f>
        <v/>
      </c>
      <c r="Q26" s="27" t="str">
        <f>IF(AND('Lap ED'!G17='Peta Risiko'!$D$6,'Lap ED'!H17='Peta Risiko'!$I$9),'Lap ED'!A17,"")</f>
        <v/>
      </c>
      <c r="R26" s="27" t="str">
        <f>IF(AND('Lap ED'!G17='Peta Risiko'!$D$7,'Lap ED'!H17='Peta Risiko'!$E$9),'Lap ED'!A17,"")</f>
        <v/>
      </c>
      <c r="S26" s="27" t="str">
        <f>IF(AND('Lap ED'!G17='Peta Risiko'!$D$7,'Lap ED'!H17='Peta Risiko'!$F$9),'Lap ED'!A17,"")</f>
        <v/>
      </c>
      <c r="T26" s="27" t="str">
        <f>IF(AND('Lap ED'!G17='Peta Risiko'!$D$7,'Lap ED'!H17='Peta Risiko'!$G$9),'Lap ED'!A17,"")</f>
        <v/>
      </c>
      <c r="U26" s="27" t="str">
        <f>IF(AND('Lap ED'!G17='Peta Risiko'!$D$7,'Lap ED'!H17='Peta Risiko'!$H$9),'Lap ED'!A17,"")</f>
        <v/>
      </c>
      <c r="V26" s="27" t="str">
        <f>IF(AND('Lap ED'!G17='Peta Risiko'!$D$7,'Lap ED'!H17='Peta Risiko'!$I$9),'Lap ED'!A17,"")</f>
        <v/>
      </c>
      <c r="W26" s="27">
        <f>IF(AND('Lap ED'!G17='Peta Risiko'!$D$8,'Lap ED'!H17='Peta Risiko'!$E$9),'Lap ED'!A17,"")</f>
        <v>12</v>
      </c>
      <c r="X26" s="27" t="str">
        <f>IF(AND('Lap ED'!G17='Peta Risiko'!$D$8,'Lap ED'!H17='Peta Risiko'!$F$9),'Lap ED'!A17,"")</f>
        <v/>
      </c>
      <c r="Y26" s="27" t="str">
        <f>IF(AND('Lap ED'!G17='Peta Risiko'!$D$8,'Lap ED'!H17='Peta Risiko'!$G$9),'Lap ED'!A17,"")</f>
        <v/>
      </c>
      <c r="Z26" s="27" t="str">
        <f>IF(AND('Lap ED'!G17='Peta Risiko'!$D$8,'Lap ED'!H17='Peta Risiko'!$H$9),'Lap ED'!A17,"")</f>
        <v/>
      </c>
      <c r="AA26" s="27" t="str">
        <f>IF(AND('Lap ED'!G17='Peta Risiko'!$D$8,'Lap ED'!H17='Peta Risiko'!$I$9),'Lap ED'!A17,"")</f>
        <v/>
      </c>
    </row>
    <row r="27" spans="2:27" hidden="1" x14ac:dyDescent="0.25">
      <c r="B27" s="27">
        <f t="shared" si="5"/>
        <v>13</v>
      </c>
      <c r="C27" s="27" t="str">
        <f>IF(AND('Lap ED'!G18='Peta Risiko'!$D$4,'Lap ED'!H18='Peta Risiko'!$E$9),'Lap ED'!A18,"")</f>
        <v/>
      </c>
      <c r="D27" s="27" t="str">
        <f>IF(AND('Lap ED'!G18='Peta Risiko'!$D$4,'Lap ED'!H18='Peta Risiko'!$F$9),'Lap ED'!A18,"")</f>
        <v/>
      </c>
      <c r="E27" s="27" t="str">
        <f>IF(AND('Lap ED'!G18='Peta Risiko'!$D$4,'Lap ED'!H18='Peta Risiko'!$G$9),'Lap ED'!A18,"")</f>
        <v/>
      </c>
      <c r="F27" s="27" t="str">
        <f>IF(AND('Lap ED'!G18='Peta Risiko'!$D$4,'Lap ED'!H18='Peta Risiko'!$H$9),'Lap ED'!A18,"")</f>
        <v/>
      </c>
      <c r="G27" s="27" t="str">
        <f>IF(AND('Lap ED'!G18='Peta Risiko'!$D$4,'Lap ED'!H18='Peta Risiko'!$I$9),'Lap ED'!A18,"")</f>
        <v/>
      </c>
      <c r="H27" s="27" t="str">
        <f>IF(AND('Lap ED'!G18='Peta Risiko'!$D$5,'Lap ED'!H18='Peta Risiko'!$E$9),'Lap ED'!A18,"")</f>
        <v/>
      </c>
      <c r="I27" s="27" t="str">
        <f>IF(AND('Lap ED'!G18='Peta Risiko'!$D$5,'Lap ED'!H18='Peta Risiko'!$F$9),'Lap ED'!A18,"")</f>
        <v/>
      </c>
      <c r="J27" s="27" t="str">
        <f>IF(AND('Lap ED'!G18='Peta Risiko'!$D$5,'Lap ED'!H18='Peta Risiko'!$G$9),'Lap ED'!A18,"")</f>
        <v/>
      </c>
      <c r="K27" s="27" t="str">
        <f>IF(AND('Lap ED'!G18='Peta Risiko'!$D$5,'Lap ED'!H18='Peta Risiko'!$H$9),'Lap ED'!A18,"")</f>
        <v/>
      </c>
      <c r="L27" s="27" t="str">
        <f>IF(AND('Lap ED'!G18='Peta Risiko'!$D$5,'Lap ED'!H18='Peta Risiko'!$I$9),'Lap ED'!A18,"")</f>
        <v/>
      </c>
      <c r="M27" s="27" t="str">
        <f>IF(AND('Lap ED'!G18='Peta Risiko'!$D$6,'Lap ED'!H18='Peta Risiko'!$E$9),'Lap ED'!A18,"")</f>
        <v/>
      </c>
      <c r="N27" s="27" t="str">
        <f>IF(AND('Lap ED'!G18='Peta Risiko'!$D$6,'Lap ED'!H18='Peta Risiko'!$F$9),'Lap ED'!A18,"")</f>
        <v/>
      </c>
      <c r="O27" s="27" t="str">
        <f>IF(AND('Lap ED'!G18='Peta Risiko'!$D$6,'Lap ED'!H18='Peta Risiko'!$G$9),'Lap ED'!A18,"")</f>
        <v/>
      </c>
      <c r="P27" s="27" t="str">
        <f>IF(AND('Lap ED'!G18='Peta Risiko'!$D$6,'Lap ED'!H18='Peta Risiko'!$H$9),'Lap ED'!A18,"")</f>
        <v/>
      </c>
      <c r="Q27" s="27" t="str">
        <f>IF(AND('Lap ED'!G18='Peta Risiko'!$D$6,'Lap ED'!H18='Peta Risiko'!$I$9),'Lap ED'!A18,"")</f>
        <v/>
      </c>
      <c r="R27" s="27" t="str">
        <f>IF(AND('Lap ED'!G18='Peta Risiko'!$D$7,'Lap ED'!H18='Peta Risiko'!$E$9),'Lap ED'!A18,"")</f>
        <v/>
      </c>
      <c r="S27" s="27" t="str">
        <f>IF(AND('Lap ED'!G18='Peta Risiko'!$D$7,'Lap ED'!H18='Peta Risiko'!$F$9),'Lap ED'!A18,"")</f>
        <v/>
      </c>
      <c r="T27" s="27" t="str">
        <f>IF(AND('Lap ED'!G18='Peta Risiko'!$D$7,'Lap ED'!H18='Peta Risiko'!$G$9),'Lap ED'!A18,"")</f>
        <v/>
      </c>
      <c r="U27" s="27" t="str">
        <f>IF(AND('Lap ED'!G18='Peta Risiko'!$D$7,'Lap ED'!H18='Peta Risiko'!$H$9),'Lap ED'!A18,"")</f>
        <v/>
      </c>
      <c r="V27" s="27" t="str">
        <f>IF(AND('Lap ED'!G18='Peta Risiko'!$D$7,'Lap ED'!H18='Peta Risiko'!$I$9),'Lap ED'!A18,"")</f>
        <v/>
      </c>
      <c r="W27" s="27">
        <f>IF(AND('Lap ED'!G18='Peta Risiko'!$D$8,'Lap ED'!H18='Peta Risiko'!$E$9),'Lap ED'!A18,"")</f>
        <v>13</v>
      </c>
      <c r="X27" s="27" t="str">
        <f>IF(AND('Lap ED'!G18='Peta Risiko'!$D$8,'Lap ED'!H18='Peta Risiko'!$F$9),'Lap ED'!A18,"")</f>
        <v/>
      </c>
      <c r="Y27" s="27" t="str">
        <f>IF(AND('Lap ED'!G18='Peta Risiko'!$D$8,'Lap ED'!H18='Peta Risiko'!$G$9),'Lap ED'!A18,"")</f>
        <v/>
      </c>
      <c r="Z27" s="27" t="str">
        <f>IF(AND('Lap ED'!G18='Peta Risiko'!$D$8,'Lap ED'!H18='Peta Risiko'!$H$9),'Lap ED'!A18,"")</f>
        <v/>
      </c>
      <c r="AA27" s="27" t="str">
        <f>IF(AND('Lap ED'!G18='Peta Risiko'!$D$8,'Lap ED'!H18='Peta Risiko'!$I$9),'Lap ED'!A18,"")</f>
        <v/>
      </c>
    </row>
    <row r="28" spans="2:27" hidden="1" x14ac:dyDescent="0.25">
      <c r="B28" s="27">
        <f t="shared" si="5"/>
        <v>14</v>
      </c>
      <c r="C28" s="27" t="str">
        <f>IF(AND('Lap ED'!G19='Peta Risiko'!$D$4,'Lap ED'!H19='Peta Risiko'!$E$9),'Lap ED'!A19,"")</f>
        <v/>
      </c>
      <c r="D28" s="27" t="str">
        <f>IF(AND('Lap ED'!G19='Peta Risiko'!$D$4,'Lap ED'!H19='Peta Risiko'!$F$9),'Lap ED'!A19,"")</f>
        <v/>
      </c>
      <c r="E28" s="27" t="str">
        <f>IF(AND('Lap ED'!G19='Peta Risiko'!$D$4,'Lap ED'!H19='Peta Risiko'!$G$9),'Lap ED'!A19,"")</f>
        <v/>
      </c>
      <c r="F28" s="27" t="str">
        <f>IF(AND('Lap ED'!G19='Peta Risiko'!$D$4,'Lap ED'!H19='Peta Risiko'!$H$9),'Lap ED'!A19,"")</f>
        <v/>
      </c>
      <c r="G28" s="27" t="str">
        <f>IF(AND('Lap ED'!G19='Peta Risiko'!$D$4,'Lap ED'!H19='Peta Risiko'!$I$9),'Lap ED'!A19,"")</f>
        <v/>
      </c>
      <c r="H28" s="27" t="str">
        <f>IF(AND('Lap ED'!G19='Peta Risiko'!$D$5,'Lap ED'!H19='Peta Risiko'!$E$9),'Lap ED'!A19,"")</f>
        <v/>
      </c>
      <c r="I28" s="27" t="str">
        <f>IF(AND('Lap ED'!G19='Peta Risiko'!$D$5,'Lap ED'!H19='Peta Risiko'!$F$9),'Lap ED'!A19,"")</f>
        <v/>
      </c>
      <c r="J28" s="27" t="str">
        <f>IF(AND('Lap ED'!G19='Peta Risiko'!$D$5,'Lap ED'!H19='Peta Risiko'!$G$9),'Lap ED'!A19,"")</f>
        <v/>
      </c>
      <c r="K28" s="27" t="str">
        <f>IF(AND('Lap ED'!G19='Peta Risiko'!$D$5,'Lap ED'!H19='Peta Risiko'!$H$9),'Lap ED'!A19,"")</f>
        <v/>
      </c>
      <c r="L28" s="27" t="str">
        <f>IF(AND('Lap ED'!G19='Peta Risiko'!$D$5,'Lap ED'!H19='Peta Risiko'!$I$9),'Lap ED'!A19,"")</f>
        <v/>
      </c>
      <c r="M28" s="27" t="str">
        <f>IF(AND('Lap ED'!G19='Peta Risiko'!$D$6,'Lap ED'!H19='Peta Risiko'!$E$9),'Lap ED'!A19,"")</f>
        <v/>
      </c>
      <c r="N28" s="27" t="str">
        <f>IF(AND('Lap ED'!G19='Peta Risiko'!$D$6,'Lap ED'!H19='Peta Risiko'!$F$9),'Lap ED'!A19,"")</f>
        <v/>
      </c>
      <c r="O28" s="27" t="str">
        <f>IF(AND('Lap ED'!G19='Peta Risiko'!$D$6,'Lap ED'!H19='Peta Risiko'!$G$9),'Lap ED'!A19,"")</f>
        <v/>
      </c>
      <c r="P28" s="27" t="str">
        <f>IF(AND('Lap ED'!G19='Peta Risiko'!$D$6,'Lap ED'!H19='Peta Risiko'!$H$9),'Lap ED'!A19,"")</f>
        <v/>
      </c>
      <c r="Q28" s="27" t="str">
        <f>IF(AND('Lap ED'!G19='Peta Risiko'!$D$6,'Lap ED'!H19='Peta Risiko'!$I$9),'Lap ED'!A19,"")</f>
        <v/>
      </c>
      <c r="R28" s="27" t="str">
        <f>IF(AND('Lap ED'!G19='Peta Risiko'!$D$7,'Lap ED'!H19='Peta Risiko'!$E$9),'Lap ED'!A19,"")</f>
        <v/>
      </c>
      <c r="S28" s="27" t="str">
        <f>IF(AND('Lap ED'!G19='Peta Risiko'!$D$7,'Lap ED'!H19='Peta Risiko'!$F$9),'Lap ED'!A19,"")</f>
        <v/>
      </c>
      <c r="T28" s="27" t="str">
        <f>IF(AND('Lap ED'!G19='Peta Risiko'!$D$7,'Lap ED'!H19='Peta Risiko'!$G$9),'Lap ED'!A19,"")</f>
        <v/>
      </c>
      <c r="U28" s="27" t="str">
        <f>IF(AND('Lap ED'!G19='Peta Risiko'!$D$7,'Lap ED'!H19='Peta Risiko'!$H$9),'Lap ED'!A19,"")</f>
        <v/>
      </c>
      <c r="V28" s="27" t="str">
        <f>IF(AND('Lap ED'!G19='Peta Risiko'!$D$7,'Lap ED'!H19='Peta Risiko'!$I$9),'Lap ED'!A19,"")</f>
        <v/>
      </c>
      <c r="W28" s="27">
        <f>IF(AND('Lap ED'!G19='Peta Risiko'!$D$8,'Lap ED'!H19='Peta Risiko'!$E$9),'Lap ED'!A19,"")</f>
        <v>14</v>
      </c>
      <c r="X28" s="27" t="str">
        <f>IF(AND('Lap ED'!G19='Peta Risiko'!$D$8,'Lap ED'!H19='Peta Risiko'!$F$9),'Lap ED'!A19,"")</f>
        <v/>
      </c>
      <c r="Y28" s="27" t="str">
        <f>IF(AND('Lap ED'!G19='Peta Risiko'!$D$8,'Lap ED'!H19='Peta Risiko'!$G$9),'Lap ED'!A19,"")</f>
        <v/>
      </c>
      <c r="Z28" s="27" t="str">
        <f>IF(AND('Lap ED'!G19='Peta Risiko'!$D$8,'Lap ED'!H19='Peta Risiko'!$H$9),'Lap ED'!A19,"")</f>
        <v/>
      </c>
      <c r="AA28" s="27" t="str">
        <f>IF(AND('Lap ED'!G19='Peta Risiko'!$D$8,'Lap ED'!H19='Peta Risiko'!$I$9),'Lap ED'!A19,"")</f>
        <v/>
      </c>
    </row>
    <row r="29" spans="2:27" hidden="1" x14ac:dyDescent="0.25">
      <c r="B29" s="27">
        <f t="shared" si="5"/>
        <v>15</v>
      </c>
      <c r="C29" s="27" t="str">
        <f>IF(AND('Lap ED'!G20='Peta Risiko'!$D$4,'Lap ED'!H20='Peta Risiko'!$E$9),'Lap ED'!A20,"")</f>
        <v/>
      </c>
      <c r="D29" s="27" t="str">
        <f>IF(AND('Lap ED'!G20='Peta Risiko'!$D$4,'Lap ED'!H20='Peta Risiko'!$F$9),'Lap ED'!A20,"")</f>
        <v/>
      </c>
      <c r="E29" s="27" t="str">
        <f>IF(AND('Lap ED'!G20='Peta Risiko'!$D$4,'Lap ED'!H20='Peta Risiko'!$G$9),'Lap ED'!A20,"")</f>
        <v/>
      </c>
      <c r="F29" s="27" t="str">
        <f>IF(AND('Lap ED'!G20='Peta Risiko'!$D$4,'Lap ED'!H20='Peta Risiko'!$H$9),'Lap ED'!A20,"")</f>
        <v/>
      </c>
      <c r="G29" s="27" t="str">
        <f>IF(AND('Lap ED'!G20='Peta Risiko'!$D$4,'Lap ED'!H20='Peta Risiko'!$I$9),'Lap ED'!A20,"")</f>
        <v/>
      </c>
      <c r="H29" s="27" t="str">
        <f>IF(AND('Lap ED'!G20='Peta Risiko'!$D$5,'Lap ED'!H20='Peta Risiko'!$E$9),'Lap ED'!A20,"")</f>
        <v/>
      </c>
      <c r="I29" s="27" t="str">
        <f>IF(AND('Lap ED'!G20='Peta Risiko'!$D$5,'Lap ED'!H20='Peta Risiko'!$F$9),'Lap ED'!A20,"")</f>
        <v/>
      </c>
      <c r="J29" s="27" t="str">
        <f>IF(AND('Lap ED'!G20='Peta Risiko'!$D$5,'Lap ED'!H20='Peta Risiko'!$G$9),'Lap ED'!A20,"")</f>
        <v/>
      </c>
      <c r="K29" s="27" t="str">
        <f>IF(AND('Lap ED'!G20='Peta Risiko'!$D$5,'Lap ED'!H20='Peta Risiko'!$H$9),'Lap ED'!A20,"")</f>
        <v/>
      </c>
      <c r="L29" s="27" t="str">
        <f>IF(AND('Lap ED'!G20='Peta Risiko'!$D$5,'Lap ED'!H20='Peta Risiko'!$I$9),'Lap ED'!A20,"")</f>
        <v/>
      </c>
      <c r="M29" s="27" t="str">
        <f>IF(AND('Lap ED'!G20='Peta Risiko'!$D$6,'Lap ED'!H20='Peta Risiko'!$E$9),'Lap ED'!A20,"")</f>
        <v/>
      </c>
      <c r="N29" s="27" t="str">
        <f>IF(AND('Lap ED'!G20='Peta Risiko'!$D$6,'Lap ED'!H20='Peta Risiko'!$F$9),'Lap ED'!A20,"")</f>
        <v/>
      </c>
      <c r="O29" s="27" t="str">
        <f>IF(AND('Lap ED'!G20='Peta Risiko'!$D$6,'Lap ED'!H20='Peta Risiko'!$G$9),'Lap ED'!A20,"")</f>
        <v/>
      </c>
      <c r="P29" s="27" t="str">
        <f>IF(AND('Lap ED'!G20='Peta Risiko'!$D$6,'Lap ED'!H20='Peta Risiko'!$H$9),'Lap ED'!A20,"")</f>
        <v/>
      </c>
      <c r="Q29" s="27" t="str">
        <f>IF(AND('Lap ED'!G20='Peta Risiko'!$D$6,'Lap ED'!H20='Peta Risiko'!$I$9),'Lap ED'!A20,"")</f>
        <v/>
      </c>
      <c r="R29" s="27" t="str">
        <f>IF(AND('Lap ED'!G20='Peta Risiko'!$D$7,'Lap ED'!H20='Peta Risiko'!$E$9),'Lap ED'!A20,"")</f>
        <v/>
      </c>
      <c r="S29" s="27" t="str">
        <f>IF(AND('Lap ED'!G20='Peta Risiko'!$D$7,'Lap ED'!H20='Peta Risiko'!$F$9),'Lap ED'!A20,"")</f>
        <v/>
      </c>
      <c r="T29" s="27" t="str">
        <f>IF(AND('Lap ED'!G20='Peta Risiko'!$D$7,'Lap ED'!H20='Peta Risiko'!$G$9),'Lap ED'!A20,"")</f>
        <v/>
      </c>
      <c r="U29" s="27" t="str">
        <f>IF(AND('Lap ED'!G20='Peta Risiko'!$D$7,'Lap ED'!H20='Peta Risiko'!$H$9),'Lap ED'!A20,"")</f>
        <v/>
      </c>
      <c r="V29" s="27" t="str">
        <f>IF(AND('Lap ED'!G20='Peta Risiko'!$D$7,'Lap ED'!H20='Peta Risiko'!$I$9),'Lap ED'!A20,"")</f>
        <v/>
      </c>
      <c r="W29" s="27">
        <f>IF(AND('Lap ED'!G20='Peta Risiko'!$D$8,'Lap ED'!H20='Peta Risiko'!$E$9),'Lap ED'!A20,"")</f>
        <v>15</v>
      </c>
      <c r="X29" s="27" t="str">
        <f>IF(AND('Lap ED'!G20='Peta Risiko'!$D$8,'Lap ED'!H20='Peta Risiko'!$F$9),'Lap ED'!A20,"")</f>
        <v/>
      </c>
      <c r="Y29" s="27" t="str">
        <f>IF(AND('Lap ED'!G20='Peta Risiko'!$D$8,'Lap ED'!H20='Peta Risiko'!$G$9),'Lap ED'!A20,"")</f>
        <v/>
      </c>
      <c r="Z29" s="27" t="str">
        <f>IF(AND('Lap ED'!G20='Peta Risiko'!$D$8,'Lap ED'!H20='Peta Risiko'!$H$9),'Lap ED'!A20,"")</f>
        <v/>
      </c>
      <c r="AA29" s="27" t="str">
        <f>IF(AND('Lap ED'!G20='Peta Risiko'!$D$8,'Lap ED'!H20='Peta Risiko'!$I$9),'Lap ED'!A20,"")</f>
        <v/>
      </c>
    </row>
    <row r="30" spans="2:27" hidden="1" x14ac:dyDescent="0.25">
      <c r="B30" s="27">
        <f t="shared" si="5"/>
        <v>16</v>
      </c>
      <c r="C30" s="27" t="str">
        <f>IF(AND('Lap ED'!G21='Peta Risiko'!$D$4,'Lap ED'!H21='Peta Risiko'!$E$9),'Lap ED'!A21,"")</f>
        <v/>
      </c>
      <c r="D30" s="27" t="str">
        <f>IF(AND('Lap ED'!G21='Peta Risiko'!$D$4,'Lap ED'!H21='Peta Risiko'!$F$9),'Lap ED'!A21,"")</f>
        <v/>
      </c>
      <c r="E30" s="27" t="str">
        <f>IF(AND('Lap ED'!G21='Peta Risiko'!$D$4,'Lap ED'!H21='Peta Risiko'!$G$9),'Lap ED'!A21,"")</f>
        <v/>
      </c>
      <c r="F30" s="27" t="str">
        <f>IF(AND('Lap ED'!G21='Peta Risiko'!$D$4,'Lap ED'!H21='Peta Risiko'!$H$9),'Lap ED'!A21,"")</f>
        <v/>
      </c>
      <c r="G30" s="27" t="str">
        <f>IF(AND('Lap ED'!G21='Peta Risiko'!$D$4,'Lap ED'!H21='Peta Risiko'!$I$9),'Lap ED'!A21,"")</f>
        <v/>
      </c>
      <c r="H30" s="27" t="str">
        <f>IF(AND('Lap ED'!G21='Peta Risiko'!$D$5,'Lap ED'!H21='Peta Risiko'!$E$9),'Lap ED'!A21,"")</f>
        <v/>
      </c>
      <c r="I30" s="27" t="str">
        <f>IF(AND('Lap ED'!G21='Peta Risiko'!$D$5,'Lap ED'!H21='Peta Risiko'!$F$9),'Lap ED'!A21,"")</f>
        <v/>
      </c>
      <c r="J30" s="27" t="str">
        <f>IF(AND('Lap ED'!G21='Peta Risiko'!$D$5,'Lap ED'!H21='Peta Risiko'!$G$9),'Lap ED'!A21,"")</f>
        <v/>
      </c>
      <c r="K30" s="27" t="str">
        <f>IF(AND('Lap ED'!G21='Peta Risiko'!$D$5,'Lap ED'!H21='Peta Risiko'!$H$9),'Lap ED'!A21,"")</f>
        <v/>
      </c>
      <c r="L30" s="27" t="str">
        <f>IF(AND('Lap ED'!G21='Peta Risiko'!$D$5,'Lap ED'!H21='Peta Risiko'!$I$9),'Lap ED'!A21,"")</f>
        <v/>
      </c>
      <c r="M30" s="27" t="str">
        <f>IF(AND('Lap ED'!G21='Peta Risiko'!$D$6,'Lap ED'!H21='Peta Risiko'!$E$9),'Lap ED'!A21,"")</f>
        <v/>
      </c>
      <c r="N30" s="27" t="str">
        <f>IF(AND('Lap ED'!G21='Peta Risiko'!$D$6,'Lap ED'!H21='Peta Risiko'!$F$9),'Lap ED'!A21,"")</f>
        <v/>
      </c>
      <c r="O30" s="27" t="str">
        <f>IF(AND('Lap ED'!G21='Peta Risiko'!$D$6,'Lap ED'!H21='Peta Risiko'!$G$9),'Lap ED'!A21,"")</f>
        <v/>
      </c>
      <c r="P30" s="27" t="str">
        <f>IF(AND('Lap ED'!G21='Peta Risiko'!$D$6,'Lap ED'!H21='Peta Risiko'!$H$9),'Lap ED'!A21,"")</f>
        <v/>
      </c>
      <c r="Q30" s="27" t="str">
        <f>IF(AND('Lap ED'!G21='Peta Risiko'!$D$6,'Lap ED'!H21='Peta Risiko'!$I$9),'Lap ED'!A21,"")</f>
        <v/>
      </c>
      <c r="R30" s="27" t="str">
        <f>IF(AND('Lap ED'!G21='Peta Risiko'!$D$7,'Lap ED'!H21='Peta Risiko'!$E$9),'Lap ED'!A21,"")</f>
        <v/>
      </c>
      <c r="S30" s="27" t="str">
        <f>IF(AND('Lap ED'!G21='Peta Risiko'!$D$7,'Lap ED'!H21='Peta Risiko'!$F$9),'Lap ED'!A21,"")</f>
        <v/>
      </c>
      <c r="T30" s="27" t="str">
        <f>IF(AND('Lap ED'!G21='Peta Risiko'!$D$7,'Lap ED'!H21='Peta Risiko'!$G$9),'Lap ED'!A21,"")</f>
        <v/>
      </c>
      <c r="U30" s="27" t="str">
        <f>IF(AND('Lap ED'!G21='Peta Risiko'!$D$7,'Lap ED'!H21='Peta Risiko'!$H$9),'Lap ED'!A21,"")</f>
        <v/>
      </c>
      <c r="V30" s="27" t="str">
        <f>IF(AND('Lap ED'!G21='Peta Risiko'!$D$7,'Lap ED'!H21='Peta Risiko'!$I$9),'Lap ED'!A21,"")</f>
        <v/>
      </c>
      <c r="W30" s="27">
        <f>IF(AND('Lap ED'!G21='Peta Risiko'!$D$8,'Lap ED'!H21='Peta Risiko'!$E$9),'Lap ED'!A21,"")</f>
        <v>16</v>
      </c>
      <c r="X30" s="27" t="str">
        <f>IF(AND('Lap ED'!G21='Peta Risiko'!$D$8,'Lap ED'!H21='Peta Risiko'!$F$9),'Lap ED'!A21,"")</f>
        <v/>
      </c>
      <c r="Y30" s="27" t="str">
        <f>IF(AND('Lap ED'!G21='Peta Risiko'!$D$8,'Lap ED'!H21='Peta Risiko'!$G$9),'Lap ED'!A21,"")</f>
        <v/>
      </c>
      <c r="Z30" s="27" t="str">
        <f>IF(AND('Lap ED'!G21='Peta Risiko'!$D$8,'Lap ED'!H21='Peta Risiko'!$H$9),'Lap ED'!A21,"")</f>
        <v/>
      </c>
      <c r="AA30" s="27" t="str">
        <f>IF(AND('Lap ED'!G21='Peta Risiko'!$D$8,'Lap ED'!H21='Peta Risiko'!$I$9),'Lap ED'!A21,"")</f>
        <v/>
      </c>
    </row>
    <row r="31" spans="2:27" hidden="1" x14ac:dyDescent="0.25">
      <c r="B31" s="27">
        <f t="shared" si="5"/>
        <v>17</v>
      </c>
      <c r="C31" s="27" t="str">
        <f>IF(AND('Lap ED'!G22='Peta Risiko'!$D$4,'Lap ED'!H22='Peta Risiko'!$E$9),'Lap ED'!A22,"")</f>
        <v/>
      </c>
      <c r="D31" s="27" t="str">
        <f>IF(AND('Lap ED'!G22='Peta Risiko'!$D$4,'Lap ED'!H22='Peta Risiko'!$F$9),'Lap ED'!A22,"")</f>
        <v/>
      </c>
      <c r="E31" s="27" t="str">
        <f>IF(AND('Lap ED'!G22='Peta Risiko'!$D$4,'Lap ED'!H22='Peta Risiko'!$G$9),'Lap ED'!A22,"")</f>
        <v/>
      </c>
      <c r="F31" s="27" t="str">
        <f>IF(AND('Lap ED'!G22='Peta Risiko'!$D$4,'Lap ED'!H22='Peta Risiko'!$H$9),'Lap ED'!A22,"")</f>
        <v/>
      </c>
      <c r="G31" s="27" t="str">
        <f>IF(AND('Lap ED'!G22='Peta Risiko'!$D$4,'Lap ED'!H22='Peta Risiko'!$I$9),'Lap ED'!A22,"")</f>
        <v/>
      </c>
      <c r="H31" s="27" t="str">
        <f>IF(AND('Lap ED'!G22='Peta Risiko'!$D$5,'Lap ED'!H22='Peta Risiko'!$E$9),'Lap ED'!A22,"")</f>
        <v/>
      </c>
      <c r="I31" s="27" t="str">
        <f>IF(AND('Lap ED'!G22='Peta Risiko'!$D$5,'Lap ED'!H22='Peta Risiko'!$F$9),'Lap ED'!A22,"")</f>
        <v/>
      </c>
      <c r="J31" s="27" t="str">
        <f>IF(AND('Lap ED'!G22='Peta Risiko'!$D$5,'Lap ED'!H22='Peta Risiko'!$G$9),'Lap ED'!A22,"")</f>
        <v/>
      </c>
      <c r="K31" s="27" t="str">
        <f>IF(AND('Lap ED'!G22='Peta Risiko'!$D$5,'Lap ED'!H22='Peta Risiko'!$H$9),'Lap ED'!A22,"")</f>
        <v/>
      </c>
      <c r="L31" s="27" t="str">
        <f>IF(AND('Lap ED'!G22='Peta Risiko'!$D$5,'Lap ED'!H22='Peta Risiko'!$I$9),'Lap ED'!A22,"")</f>
        <v/>
      </c>
      <c r="M31" s="27" t="str">
        <f>IF(AND('Lap ED'!G22='Peta Risiko'!$D$6,'Lap ED'!H22='Peta Risiko'!$E$9),'Lap ED'!A22,"")</f>
        <v/>
      </c>
      <c r="N31" s="27" t="str">
        <f>IF(AND('Lap ED'!G22='Peta Risiko'!$D$6,'Lap ED'!H22='Peta Risiko'!$F$9),'Lap ED'!A22,"")</f>
        <v/>
      </c>
      <c r="O31" s="27" t="str">
        <f>IF(AND('Lap ED'!G22='Peta Risiko'!$D$6,'Lap ED'!H22='Peta Risiko'!$G$9),'Lap ED'!A22,"")</f>
        <v/>
      </c>
      <c r="P31" s="27" t="str">
        <f>IF(AND('Lap ED'!G22='Peta Risiko'!$D$6,'Lap ED'!H22='Peta Risiko'!$H$9),'Lap ED'!A22,"")</f>
        <v/>
      </c>
      <c r="Q31" s="27" t="str">
        <f>IF(AND('Lap ED'!G22='Peta Risiko'!$D$6,'Lap ED'!H22='Peta Risiko'!$I$9),'Lap ED'!A22,"")</f>
        <v/>
      </c>
      <c r="R31" s="27" t="str">
        <f>IF(AND('Lap ED'!G22='Peta Risiko'!$D$7,'Lap ED'!H22='Peta Risiko'!$E$9),'Lap ED'!A22,"")</f>
        <v/>
      </c>
      <c r="S31" s="27" t="str">
        <f>IF(AND('Lap ED'!G22='Peta Risiko'!$D$7,'Lap ED'!H22='Peta Risiko'!$F$9),'Lap ED'!A22,"")</f>
        <v/>
      </c>
      <c r="T31" s="27" t="str">
        <f>IF(AND('Lap ED'!G22='Peta Risiko'!$D$7,'Lap ED'!H22='Peta Risiko'!$G$9),'Lap ED'!A22,"")</f>
        <v/>
      </c>
      <c r="U31" s="27" t="str">
        <f>IF(AND('Lap ED'!G22='Peta Risiko'!$D$7,'Lap ED'!H22='Peta Risiko'!$H$9),'Lap ED'!A22,"")</f>
        <v/>
      </c>
      <c r="V31" s="27" t="str">
        <f>IF(AND('Lap ED'!G22='Peta Risiko'!$D$7,'Lap ED'!H22='Peta Risiko'!$I$9),'Lap ED'!A22,"")</f>
        <v/>
      </c>
      <c r="W31" s="27">
        <f>IF(AND('Lap ED'!G22='Peta Risiko'!$D$8,'Lap ED'!H22='Peta Risiko'!$E$9),'Lap ED'!A22,"")</f>
        <v>17</v>
      </c>
      <c r="X31" s="27" t="str">
        <f>IF(AND('Lap ED'!G22='Peta Risiko'!$D$8,'Lap ED'!H22='Peta Risiko'!$F$9),'Lap ED'!A22,"")</f>
        <v/>
      </c>
      <c r="Y31" s="27" t="str">
        <f>IF(AND('Lap ED'!G22='Peta Risiko'!$D$8,'Lap ED'!H22='Peta Risiko'!$G$9),'Lap ED'!A22,"")</f>
        <v/>
      </c>
      <c r="Z31" s="27" t="str">
        <f>IF(AND('Lap ED'!G22='Peta Risiko'!$D$8,'Lap ED'!H22='Peta Risiko'!$H$9),'Lap ED'!A22,"")</f>
        <v/>
      </c>
      <c r="AA31" s="27" t="str">
        <f>IF(AND('Lap ED'!G22='Peta Risiko'!$D$8,'Lap ED'!H22='Peta Risiko'!$I$9),'Lap ED'!A22,"")</f>
        <v/>
      </c>
    </row>
    <row r="32" spans="2:27" hidden="1" x14ac:dyDescent="0.25">
      <c r="B32" s="27">
        <f t="shared" si="5"/>
        <v>18</v>
      </c>
      <c r="C32" s="27" t="str">
        <f>IF(AND('Lap ED'!G23='Peta Risiko'!$D$4,'Lap ED'!H23='Peta Risiko'!$E$9),'Lap ED'!A23,"")</f>
        <v/>
      </c>
      <c r="D32" s="27" t="str">
        <f>IF(AND('Lap ED'!G23='Peta Risiko'!$D$4,'Lap ED'!H23='Peta Risiko'!$F$9),'Lap ED'!A23,"")</f>
        <v/>
      </c>
      <c r="E32" s="27" t="str">
        <f>IF(AND('Lap ED'!G23='Peta Risiko'!$D$4,'Lap ED'!H23='Peta Risiko'!$G$9),'Lap ED'!A23,"")</f>
        <v/>
      </c>
      <c r="F32" s="27" t="str">
        <f>IF(AND('Lap ED'!G23='Peta Risiko'!$D$4,'Lap ED'!H23='Peta Risiko'!$H$9),'Lap ED'!A23,"")</f>
        <v/>
      </c>
      <c r="G32" s="27" t="str">
        <f>IF(AND('Lap ED'!G23='Peta Risiko'!$D$4,'Lap ED'!H23='Peta Risiko'!$I$9),'Lap ED'!A23,"")</f>
        <v/>
      </c>
      <c r="H32" s="27" t="str">
        <f>IF(AND('Lap ED'!G23='Peta Risiko'!$D$5,'Lap ED'!H23='Peta Risiko'!$E$9),'Lap ED'!A23,"")</f>
        <v/>
      </c>
      <c r="I32" s="27" t="str">
        <f>IF(AND('Lap ED'!G23='Peta Risiko'!$D$5,'Lap ED'!H23='Peta Risiko'!$F$9),'Lap ED'!A23,"")</f>
        <v/>
      </c>
      <c r="J32" s="27" t="str">
        <f>IF(AND('Lap ED'!G23='Peta Risiko'!$D$5,'Lap ED'!H23='Peta Risiko'!$G$9),'Lap ED'!A23,"")</f>
        <v/>
      </c>
      <c r="K32" s="27" t="str">
        <f>IF(AND('Lap ED'!G23='Peta Risiko'!$D$5,'Lap ED'!H23='Peta Risiko'!$H$9),'Lap ED'!A23,"")</f>
        <v/>
      </c>
      <c r="L32" s="27" t="str">
        <f>IF(AND('Lap ED'!G23='Peta Risiko'!$D$5,'Lap ED'!H23='Peta Risiko'!$I$9),'Lap ED'!A23,"")</f>
        <v/>
      </c>
      <c r="M32" s="27" t="str">
        <f>IF(AND('Lap ED'!G23='Peta Risiko'!$D$6,'Lap ED'!H23='Peta Risiko'!$E$9),'Lap ED'!A23,"")</f>
        <v/>
      </c>
      <c r="N32" s="27" t="str">
        <f>IF(AND('Lap ED'!G23='Peta Risiko'!$D$6,'Lap ED'!H23='Peta Risiko'!$F$9),'Lap ED'!A23,"")</f>
        <v/>
      </c>
      <c r="O32" s="27" t="str">
        <f>IF(AND('Lap ED'!G23='Peta Risiko'!$D$6,'Lap ED'!H23='Peta Risiko'!$G$9),'Lap ED'!A23,"")</f>
        <v/>
      </c>
      <c r="P32" s="27" t="str">
        <f>IF(AND('Lap ED'!G23='Peta Risiko'!$D$6,'Lap ED'!H23='Peta Risiko'!$H$9),'Lap ED'!A23,"")</f>
        <v/>
      </c>
      <c r="Q32" s="27" t="str">
        <f>IF(AND('Lap ED'!G23='Peta Risiko'!$D$6,'Lap ED'!H23='Peta Risiko'!$I$9),'Lap ED'!A23,"")</f>
        <v/>
      </c>
      <c r="R32" s="27" t="str">
        <f>IF(AND('Lap ED'!G23='Peta Risiko'!$D$7,'Lap ED'!H23='Peta Risiko'!$E$9),'Lap ED'!A23,"")</f>
        <v/>
      </c>
      <c r="S32" s="27" t="str">
        <f>IF(AND('Lap ED'!G23='Peta Risiko'!$D$7,'Lap ED'!H23='Peta Risiko'!$F$9),'Lap ED'!A23,"")</f>
        <v/>
      </c>
      <c r="T32" s="27" t="str">
        <f>IF(AND('Lap ED'!G23='Peta Risiko'!$D$7,'Lap ED'!H23='Peta Risiko'!$G$9),'Lap ED'!A23,"")</f>
        <v/>
      </c>
      <c r="U32" s="27" t="str">
        <f>IF(AND('Lap ED'!G23='Peta Risiko'!$D$7,'Lap ED'!H23='Peta Risiko'!$H$9),'Lap ED'!A23,"")</f>
        <v/>
      </c>
      <c r="V32" s="27" t="str">
        <f>IF(AND('Lap ED'!G23='Peta Risiko'!$D$7,'Lap ED'!H23='Peta Risiko'!$I$9),'Lap ED'!A23,"")</f>
        <v/>
      </c>
      <c r="W32" s="27" t="str">
        <f>IF(AND('Lap ED'!G23='Peta Risiko'!$D$8,'Lap ED'!H23='Peta Risiko'!$E$9),'Lap ED'!A23,"")</f>
        <v/>
      </c>
      <c r="X32" s="27" t="str">
        <f>IF(AND('Lap ED'!G23='Peta Risiko'!$D$8,'Lap ED'!H23='Peta Risiko'!$F$9),'Lap ED'!A23,"")</f>
        <v/>
      </c>
      <c r="Y32" s="27" t="str">
        <f>IF(AND('Lap ED'!G23='Peta Risiko'!$D$8,'Lap ED'!H23='Peta Risiko'!$G$9),'Lap ED'!A23,"")</f>
        <v/>
      </c>
      <c r="Z32" s="27" t="str">
        <f>IF(AND('Lap ED'!G23='Peta Risiko'!$D$8,'Lap ED'!H23='Peta Risiko'!$H$9),'Lap ED'!A23,"")</f>
        <v/>
      </c>
      <c r="AA32" s="27" t="str">
        <f>IF(AND('Lap ED'!G23='Peta Risiko'!$D$8,'Lap ED'!H23='Peta Risiko'!$I$9),'Lap ED'!A23,"")</f>
        <v/>
      </c>
    </row>
    <row r="33" spans="2:27" hidden="1" x14ac:dyDescent="0.25">
      <c r="B33" s="27">
        <f t="shared" si="5"/>
        <v>19</v>
      </c>
      <c r="C33" s="27" t="str">
        <f>IF(AND('Lap ED'!G24='Peta Risiko'!$D$4,'Lap ED'!H24='Peta Risiko'!$E$9),'Lap ED'!A24,"")</f>
        <v/>
      </c>
      <c r="D33" s="27" t="str">
        <f>IF(AND('Lap ED'!G24='Peta Risiko'!$D$4,'Lap ED'!H24='Peta Risiko'!$F$9),'Lap ED'!A24,"")</f>
        <v/>
      </c>
      <c r="E33" s="27" t="str">
        <f>IF(AND('Lap ED'!G24='Peta Risiko'!$D$4,'Lap ED'!H24='Peta Risiko'!$G$9),'Lap ED'!A24,"")</f>
        <v/>
      </c>
      <c r="F33" s="27" t="str">
        <f>IF(AND('Lap ED'!G24='Peta Risiko'!$D$4,'Lap ED'!H24='Peta Risiko'!$H$9),'Lap ED'!A24,"")</f>
        <v/>
      </c>
      <c r="G33" s="27" t="str">
        <f>IF(AND('Lap ED'!G24='Peta Risiko'!$D$4,'Lap ED'!H24='Peta Risiko'!$I$9),'Lap ED'!A24,"")</f>
        <v/>
      </c>
      <c r="H33" s="27" t="str">
        <f>IF(AND('Lap ED'!G24='Peta Risiko'!$D$5,'Lap ED'!H24='Peta Risiko'!$E$9),'Lap ED'!A24,"")</f>
        <v/>
      </c>
      <c r="I33" s="27" t="str">
        <f>IF(AND('Lap ED'!G24='Peta Risiko'!$D$5,'Lap ED'!H24='Peta Risiko'!$F$9),'Lap ED'!A24,"")</f>
        <v/>
      </c>
      <c r="J33" s="27" t="str">
        <f>IF(AND('Lap ED'!G24='Peta Risiko'!$D$5,'Lap ED'!H24='Peta Risiko'!$G$9),'Lap ED'!A24,"")</f>
        <v/>
      </c>
      <c r="K33" s="27" t="str">
        <f>IF(AND('Lap ED'!G24='Peta Risiko'!$D$5,'Lap ED'!H24='Peta Risiko'!$H$9),'Lap ED'!A24,"")</f>
        <v/>
      </c>
      <c r="L33" s="27" t="str">
        <f>IF(AND('Lap ED'!G24='Peta Risiko'!$D$5,'Lap ED'!H24='Peta Risiko'!$I$9),'Lap ED'!A24,"")</f>
        <v/>
      </c>
      <c r="M33" s="27" t="str">
        <f>IF(AND('Lap ED'!G24='Peta Risiko'!$D$6,'Lap ED'!H24='Peta Risiko'!$E$9),'Lap ED'!A24,"")</f>
        <v/>
      </c>
      <c r="N33" s="27" t="str">
        <f>IF(AND('Lap ED'!G24='Peta Risiko'!$D$6,'Lap ED'!H24='Peta Risiko'!$F$9),'Lap ED'!A24,"")</f>
        <v/>
      </c>
      <c r="O33" s="27" t="str">
        <f>IF(AND('Lap ED'!G24='Peta Risiko'!$D$6,'Lap ED'!H24='Peta Risiko'!$G$9),'Lap ED'!A24,"")</f>
        <v/>
      </c>
      <c r="P33" s="27" t="str">
        <f>IF(AND('Lap ED'!G24='Peta Risiko'!$D$6,'Lap ED'!H24='Peta Risiko'!$H$9),'Lap ED'!A24,"")</f>
        <v/>
      </c>
      <c r="Q33" s="27" t="str">
        <f>IF(AND('Lap ED'!G24='Peta Risiko'!$D$6,'Lap ED'!H24='Peta Risiko'!$I$9),'Lap ED'!A24,"")</f>
        <v/>
      </c>
      <c r="R33" s="27" t="str">
        <f>IF(AND('Lap ED'!G24='Peta Risiko'!$D$7,'Lap ED'!H24='Peta Risiko'!$E$9),'Lap ED'!A24,"")</f>
        <v/>
      </c>
      <c r="S33" s="27" t="str">
        <f>IF(AND('Lap ED'!G24='Peta Risiko'!$D$7,'Lap ED'!H24='Peta Risiko'!$F$9),'Lap ED'!A24,"")</f>
        <v/>
      </c>
      <c r="T33" s="27" t="str">
        <f>IF(AND('Lap ED'!G24='Peta Risiko'!$D$7,'Lap ED'!H24='Peta Risiko'!$G$9),'Lap ED'!A24,"")</f>
        <v/>
      </c>
      <c r="U33" s="27" t="str">
        <f>IF(AND('Lap ED'!G24='Peta Risiko'!$D$7,'Lap ED'!H24='Peta Risiko'!$H$9),'Lap ED'!A24,"")</f>
        <v/>
      </c>
      <c r="V33" s="27" t="str">
        <f>IF(AND('Lap ED'!G24='Peta Risiko'!$D$7,'Lap ED'!H24='Peta Risiko'!$I$9),'Lap ED'!A24,"")</f>
        <v/>
      </c>
      <c r="W33" s="27" t="str">
        <f>IF(AND('Lap ED'!G24='Peta Risiko'!$D$8,'Lap ED'!H24='Peta Risiko'!$E$9),'Lap ED'!A24,"")</f>
        <v/>
      </c>
      <c r="X33" s="27" t="str">
        <f>IF(AND('Lap ED'!G24='Peta Risiko'!$D$8,'Lap ED'!H24='Peta Risiko'!$F$9),'Lap ED'!A24,"")</f>
        <v/>
      </c>
      <c r="Y33" s="27" t="str">
        <f>IF(AND('Lap ED'!G24='Peta Risiko'!$D$8,'Lap ED'!H24='Peta Risiko'!$G$9),'Lap ED'!A24,"")</f>
        <v/>
      </c>
      <c r="Z33" s="27" t="str">
        <f>IF(AND('Lap ED'!G24='Peta Risiko'!$D$8,'Lap ED'!H24='Peta Risiko'!$H$9),'Lap ED'!A24,"")</f>
        <v/>
      </c>
      <c r="AA33" s="27" t="str">
        <f>IF(AND('Lap ED'!G24='Peta Risiko'!$D$8,'Lap ED'!H24='Peta Risiko'!$I$9),'Lap ED'!A24,"")</f>
        <v/>
      </c>
    </row>
    <row r="34" spans="2:27" hidden="1" x14ac:dyDescent="0.25">
      <c r="B34" s="27">
        <f t="shared" si="5"/>
        <v>20</v>
      </c>
      <c r="C34" s="27" t="str">
        <f>IF(AND('Lap ED'!G25='Peta Risiko'!$D$4,'Lap ED'!H25='Peta Risiko'!$E$9),'Lap ED'!A25,"")</f>
        <v/>
      </c>
      <c r="D34" s="27" t="str">
        <f>IF(AND('Lap ED'!G25='Peta Risiko'!$D$4,'Lap ED'!H25='Peta Risiko'!$F$9),'Lap ED'!A25,"")</f>
        <v/>
      </c>
      <c r="E34" s="27" t="str">
        <f>IF(AND('Lap ED'!G25='Peta Risiko'!$D$4,'Lap ED'!H25='Peta Risiko'!$G$9),'Lap ED'!A25,"")</f>
        <v/>
      </c>
      <c r="F34" s="27" t="str">
        <f>IF(AND('Lap ED'!G25='Peta Risiko'!$D$4,'Lap ED'!H25='Peta Risiko'!$H$9),'Lap ED'!A25,"")</f>
        <v/>
      </c>
      <c r="G34" s="27" t="str">
        <f>IF(AND('Lap ED'!G25='Peta Risiko'!$D$4,'Lap ED'!H25='Peta Risiko'!$I$9),'Lap ED'!A25,"")</f>
        <v/>
      </c>
      <c r="H34" s="27" t="str">
        <f>IF(AND('Lap ED'!G25='Peta Risiko'!$D$5,'Lap ED'!H25='Peta Risiko'!$E$9),'Lap ED'!A25,"")</f>
        <v/>
      </c>
      <c r="I34" s="27" t="str">
        <f>IF(AND('Lap ED'!G25='Peta Risiko'!$D$5,'Lap ED'!H25='Peta Risiko'!$F$9),'Lap ED'!A25,"")</f>
        <v/>
      </c>
      <c r="J34" s="27" t="str">
        <f>IF(AND('Lap ED'!G25='Peta Risiko'!$D$5,'Lap ED'!H25='Peta Risiko'!$G$9),'Lap ED'!A25,"")</f>
        <v/>
      </c>
      <c r="K34" s="27" t="str">
        <f>IF(AND('Lap ED'!G25='Peta Risiko'!$D$5,'Lap ED'!H25='Peta Risiko'!$H$9),'Lap ED'!A25,"")</f>
        <v/>
      </c>
      <c r="L34" s="27" t="str">
        <f>IF(AND('Lap ED'!G25='Peta Risiko'!$D$5,'Lap ED'!H25='Peta Risiko'!$I$9),'Lap ED'!A25,"")</f>
        <v/>
      </c>
      <c r="M34" s="27" t="str">
        <f>IF(AND('Lap ED'!G25='Peta Risiko'!$D$6,'Lap ED'!H25='Peta Risiko'!$E$9),'Lap ED'!A25,"")</f>
        <v/>
      </c>
      <c r="N34" s="27" t="str">
        <f>IF(AND('Lap ED'!G25='Peta Risiko'!$D$6,'Lap ED'!H25='Peta Risiko'!$F$9),'Lap ED'!A25,"")</f>
        <v/>
      </c>
      <c r="O34" s="27" t="str">
        <f>IF(AND('Lap ED'!G25='Peta Risiko'!$D$6,'Lap ED'!H25='Peta Risiko'!$G$9),'Lap ED'!A25,"")</f>
        <v/>
      </c>
      <c r="P34" s="27" t="str">
        <f>IF(AND('Lap ED'!G25='Peta Risiko'!$D$6,'Lap ED'!H25='Peta Risiko'!$H$9),'Lap ED'!A25,"")</f>
        <v/>
      </c>
      <c r="Q34" s="27" t="str">
        <f>IF(AND('Lap ED'!G25='Peta Risiko'!$D$6,'Lap ED'!H25='Peta Risiko'!$I$9),'Lap ED'!A25,"")</f>
        <v/>
      </c>
      <c r="R34" s="27" t="str">
        <f>IF(AND('Lap ED'!G25='Peta Risiko'!$D$7,'Lap ED'!H25='Peta Risiko'!$E$9),'Lap ED'!A25,"")</f>
        <v/>
      </c>
      <c r="S34" s="27" t="str">
        <f>IF(AND('Lap ED'!G25='Peta Risiko'!$D$7,'Lap ED'!H25='Peta Risiko'!$F$9),'Lap ED'!A25,"")</f>
        <v/>
      </c>
      <c r="T34" s="27" t="str">
        <f>IF(AND('Lap ED'!G25='Peta Risiko'!$D$7,'Lap ED'!H25='Peta Risiko'!$G$9),'Lap ED'!A25,"")</f>
        <v/>
      </c>
      <c r="U34" s="27" t="str">
        <f>IF(AND('Lap ED'!G25='Peta Risiko'!$D$7,'Lap ED'!H25='Peta Risiko'!$H$9),'Lap ED'!A25,"")</f>
        <v/>
      </c>
      <c r="V34" s="27" t="str">
        <f>IF(AND('Lap ED'!G25='Peta Risiko'!$D$7,'Lap ED'!H25='Peta Risiko'!$I$9),'Lap ED'!A25,"")</f>
        <v/>
      </c>
      <c r="W34" s="27">
        <f>IF(AND('Lap ED'!G25='Peta Risiko'!$D$8,'Lap ED'!H25='Peta Risiko'!$E$9),'Lap ED'!A25,"")</f>
        <v>18</v>
      </c>
      <c r="X34" s="27" t="str">
        <f>IF(AND('Lap ED'!G25='Peta Risiko'!$D$8,'Lap ED'!H25='Peta Risiko'!$F$9),'Lap ED'!A25,"")</f>
        <v/>
      </c>
      <c r="Y34" s="27" t="str">
        <f>IF(AND('Lap ED'!G25='Peta Risiko'!$D$8,'Lap ED'!H25='Peta Risiko'!$G$9),'Lap ED'!A25,"")</f>
        <v/>
      </c>
      <c r="Z34" s="27" t="str">
        <f>IF(AND('Lap ED'!G25='Peta Risiko'!$D$8,'Lap ED'!H25='Peta Risiko'!$H$9),'Lap ED'!A25,"")</f>
        <v/>
      </c>
      <c r="AA34" s="27" t="str">
        <f>IF(AND('Lap ED'!G25='Peta Risiko'!$D$8,'Lap ED'!H25='Peta Risiko'!$I$9),'Lap ED'!A25,"")</f>
        <v/>
      </c>
    </row>
    <row r="35" spans="2:27" hidden="1" x14ac:dyDescent="0.25">
      <c r="B35" s="27">
        <f t="shared" si="5"/>
        <v>21</v>
      </c>
      <c r="C35" s="27" t="str">
        <f>IF(AND('Lap ED'!G26='Peta Risiko'!$D$4,'Lap ED'!H26='Peta Risiko'!$E$9),'Lap ED'!A26,"")</f>
        <v/>
      </c>
      <c r="D35" s="27" t="str">
        <f>IF(AND('Lap ED'!G26='Peta Risiko'!$D$4,'Lap ED'!H26='Peta Risiko'!$F$9),'Lap ED'!A26,"")</f>
        <v/>
      </c>
      <c r="E35" s="27" t="str">
        <f>IF(AND('Lap ED'!G26='Peta Risiko'!$D$4,'Lap ED'!H26='Peta Risiko'!$G$9),'Lap ED'!A26,"")</f>
        <v/>
      </c>
      <c r="F35" s="27" t="str">
        <f>IF(AND('Lap ED'!G26='Peta Risiko'!$D$4,'Lap ED'!H26='Peta Risiko'!$H$9),'Lap ED'!A26,"")</f>
        <v/>
      </c>
      <c r="G35" s="27" t="str">
        <f>IF(AND('Lap ED'!G26='Peta Risiko'!$D$4,'Lap ED'!H26='Peta Risiko'!$I$9),'Lap ED'!A26,"")</f>
        <v/>
      </c>
      <c r="H35" s="27" t="str">
        <f>IF(AND('Lap ED'!G26='Peta Risiko'!$D$5,'Lap ED'!H26='Peta Risiko'!$E$9),'Lap ED'!A26,"")</f>
        <v/>
      </c>
      <c r="I35" s="27" t="str">
        <f>IF(AND('Lap ED'!G26='Peta Risiko'!$D$5,'Lap ED'!H26='Peta Risiko'!$F$9),'Lap ED'!A26,"")</f>
        <v/>
      </c>
      <c r="J35" s="27" t="str">
        <f>IF(AND('Lap ED'!G26='Peta Risiko'!$D$5,'Lap ED'!H26='Peta Risiko'!$G$9),'Lap ED'!A26,"")</f>
        <v/>
      </c>
      <c r="K35" s="27" t="str">
        <f>IF(AND('Lap ED'!G26='Peta Risiko'!$D$5,'Lap ED'!H26='Peta Risiko'!$H$9),'Lap ED'!A26,"")</f>
        <v/>
      </c>
      <c r="L35" s="27" t="str">
        <f>IF(AND('Lap ED'!G26='Peta Risiko'!$D$5,'Lap ED'!H26='Peta Risiko'!$I$9),'Lap ED'!A26,"")</f>
        <v/>
      </c>
      <c r="M35" s="27" t="str">
        <f>IF(AND('Lap ED'!G26='Peta Risiko'!$D$6,'Lap ED'!H26='Peta Risiko'!$E$9),'Lap ED'!A26,"")</f>
        <v/>
      </c>
      <c r="N35" s="27" t="str">
        <f>IF(AND('Lap ED'!G26='Peta Risiko'!$D$6,'Lap ED'!H26='Peta Risiko'!$F$9),'Lap ED'!A26,"")</f>
        <v/>
      </c>
      <c r="O35" s="27" t="str">
        <f>IF(AND('Lap ED'!G26='Peta Risiko'!$D$6,'Lap ED'!H26='Peta Risiko'!$G$9),'Lap ED'!A26,"")</f>
        <v/>
      </c>
      <c r="P35" s="27" t="str">
        <f>IF(AND('Lap ED'!G26='Peta Risiko'!$D$6,'Lap ED'!H26='Peta Risiko'!$H$9),'Lap ED'!A26,"")</f>
        <v/>
      </c>
      <c r="Q35" s="27" t="str">
        <f>IF(AND('Lap ED'!G26='Peta Risiko'!$D$6,'Lap ED'!H26='Peta Risiko'!$I$9),'Lap ED'!A26,"")</f>
        <v/>
      </c>
      <c r="R35" s="27" t="str">
        <f>IF(AND('Lap ED'!G26='Peta Risiko'!$D$7,'Lap ED'!H26='Peta Risiko'!$E$9),'Lap ED'!A26,"")</f>
        <v/>
      </c>
      <c r="S35" s="27" t="str">
        <f>IF(AND('Lap ED'!G26='Peta Risiko'!$D$7,'Lap ED'!H26='Peta Risiko'!$F$9),'Lap ED'!A26,"")</f>
        <v/>
      </c>
      <c r="T35" s="27" t="str">
        <f>IF(AND('Lap ED'!G26='Peta Risiko'!$D$7,'Lap ED'!H26='Peta Risiko'!$G$9),'Lap ED'!A26,"")</f>
        <v/>
      </c>
      <c r="U35" s="27" t="str">
        <f>IF(AND('Lap ED'!G26='Peta Risiko'!$D$7,'Lap ED'!H26='Peta Risiko'!$H$9),'Lap ED'!A26,"")</f>
        <v/>
      </c>
      <c r="V35" s="27" t="str">
        <f>IF(AND('Lap ED'!G26='Peta Risiko'!$D$7,'Lap ED'!H26='Peta Risiko'!$I$9),'Lap ED'!A26,"")</f>
        <v/>
      </c>
      <c r="W35" s="27" t="str">
        <f>IF(AND('Lap ED'!G26='Peta Risiko'!$D$8,'Lap ED'!H26='Peta Risiko'!$E$9),'Lap ED'!A26,"")</f>
        <v/>
      </c>
      <c r="X35" s="27" t="str">
        <f>IF(AND('Lap ED'!G26='Peta Risiko'!$D$8,'Lap ED'!H26='Peta Risiko'!$F$9),'Lap ED'!A26,"")</f>
        <v/>
      </c>
      <c r="Y35" s="27" t="str">
        <f>IF(AND('Lap ED'!G26='Peta Risiko'!$D$8,'Lap ED'!H26='Peta Risiko'!$G$9),'Lap ED'!A26,"")</f>
        <v/>
      </c>
      <c r="Z35" s="27" t="str">
        <f>IF(AND('Lap ED'!G26='Peta Risiko'!$D$8,'Lap ED'!H26='Peta Risiko'!$H$9),'Lap ED'!A26,"")</f>
        <v/>
      </c>
      <c r="AA35" s="27" t="str">
        <f>IF(AND('Lap ED'!G26='Peta Risiko'!$D$8,'Lap ED'!H26='Peta Risiko'!$I$9),'Lap ED'!A26,"")</f>
        <v/>
      </c>
    </row>
    <row r="36" spans="2:27" hidden="1" x14ac:dyDescent="0.25">
      <c r="B36" s="27">
        <f t="shared" si="5"/>
        <v>22</v>
      </c>
      <c r="C36" s="27" t="str">
        <f>IF(AND('Lap ED'!G27='Peta Risiko'!$D$4,'Lap ED'!H27='Peta Risiko'!$E$9),'Lap ED'!A27,"")</f>
        <v/>
      </c>
      <c r="D36" s="27" t="str">
        <f>IF(AND('Lap ED'!G27='Peta Risiko'!$D$4,'Lap ED'!H27='Peta Risiko'!$F$9),'Lap ED'!A27,"")</f>
        <v/>
      </c>
      <c r="E36" s="27" t="str">
        <f>IF(AND('Lap ED'!G27='Peta Risiko'!$D$4,'Lap ED'!H27='Peta Risiko'!$G$9),'Lap ED'!A27,"")</f>
        <v/>
      </c>
      <c r="F36" s="27" t="str">
        <f>IF(AND('Lap ED'!G27='Peta Risiko'!$D$4,'Lap ED'!H27='Peta Risiko'!$H$9),'Lap ED'!A27,"")</f>
        <v/>
      </c>
      <c r="G36" s="27" t="str">
        <f>IF(AND('Lap ED'!G27='Peta Risiko'!$D$4,'Lap ED'!H27='Peta Risiko'!$I$9),'Lap ED'!A27,"")</f>
        <v/>
      </c>
      <c r="H36" s="27" t="str">
        <f>IF(AND('Lap ED'!G27='Peta Risiko'!$D$5,'Lap ED'!H27='Peta Risiko'!$E$9),'Lap ED'!A27,"")</f>
        <v/>
      </c>
      <c r="I36" s="27" t="str">
        <f>IF(AND('Lap ED'!G27='Peta Risiko'!$D$5,'Lap ED'!H27='Peta Risiko'!$F$9),'Lap ED'!A27,"")</f>
        <v/>
      </c>
      <c r="J36" s="27" t="str">
        <f>IF(AND('Lap ED'!G27='Peta Risiko'!$D$5,'Lap ED'!H27='Peta Risiko'!$G$9),'Lap ED'!A27,"")</f>
        <v/>
      </c>
      <c r="K36" s="27" t="str">
        <f>IF(AND('Lap ED'!G27='Peta Risiko'!$D$5,'Lap ED'!H27='Peta Risiko'!$H$9),'Lap ED'!A27,"")</f>
        <v/>
      </c>
      <c r="L36" s="27" t="str">
        <f>IF(AND('Lap ED'!G27='Peta Risiko'!$D$5,'Lap ED'!H27='Peta Risiko'!$I$9),'Lap ED'!A27,"")</f>
        <v/>
      </c>
      <c r="M36" s="27" t="str">
        <f>IF(AND('Lap ED'!G27='Peta Risiko'!$D$6,'Lap ED'!H27='Peta Risiko'!$E$9),'Lap ED'!A27,"")</f>
        <v/>
      </c>
      <c r="N36" s="27" t="str">
        <f>IF(AND('Lap ED'!G27='Peta Risiko'!$D$6,'Lap ED'!H27='Peta Risiko'!$F$9),'Lap ED'!A27,"")</f>
        <v/>
      </c>
      <c r="O36" s="27" t="str">
        <f>IF(AND('Lap ED'!G27='Peta Risiko'!$D$6,'Lap ED'!H27='Peta Risiko'!$G$9),'Lap ED'!A27,"")</f>
        <v/>
      </c>
      <c r="P36" s="27" t="str">
        <f>IF(AND('Lap ED'!G27='Peta Risiko'!$D$6,'Lap ED'!H27='Peta Risiko'!$H$9),'Lap ED'!A27,"")</f>
        <v/>
      </c>
      <c r="Q36" s="27" t="str">
        <f>IF(AND('Lap ED'!G27='Peta Risiko'!$D$6,'Lap ED'!H27='Peta Risiko'!$I$9),'Lap ED'!A27,"")</f>
        <v/>
      </c>
      <c r="R36" s="27" t="str">
        <f>IF(AND('Lap ED'!G27='Peta Risiko'!$D$7,'Lap ED'!H27='Peta Risiko'!$E$9),'Lap ED'!A27,"")</f>
        <v/>
      </c>
      <c r="S36" s="27" t="str">
        <f>IF(AND('Lap ED'!G27='Peta Risiko'!$D$7,'Lap ED'!H27='Peta Risiko'!$F$9),'Lap ED'!A27,"")</f>
        <v/>
      </c>
      <c r="T36" s="27" t="str">
        <f>IF(AND('Lap ED'!G27='Peta Risiko'!$D$7,'Lap ED'!H27='Peta Risiko'!$G$9),'Lap ED'!A27,"")</f>
        <v/>
      </c>
      <c r="U36" s="27" t="str">
        <f>IF(AND('Lap ED'!G27='Peta Risiko'!$D$7,'Lap ED'!H27='Peta Risiko'!$H$9),'Lap ED'!A27,"")</f>
        <v/>
      </c>
      <c r="V36" s="27" t="str">
        <f>IF(AND('Lap ED'!G27='Peta Risiko'!$D$7,'Lap ED'!H27='Peta Risiko'!$I$9),'Lap ED'!A27,"")</f>
        <v/>
      </c>
      <c r="W36" s="27">
        <f>IF(AND('Lap ED'!G27='Peta Risiko'!$D$8,'Lap ED'!H27='Peta Risiko'!$E$9),'Lap ED'!A27,"")</f>
        <v>19</v>
      </c>
      <c r="X36" s="27" t="str">
        <f>IF(AND('Lap ED'!G27='Peta Risiko'!$D$8,'Lap ED'!H27='Peta Risiko'!$F$9),'Lap ED'!A27,"")</f>
        <v/>
      </c>
      <c r="Y36" s="27" t="str">
        <f>IF(AND('Lap ED'!G27='Peta Risiko'!$D$8,'Lap ED'!H27='Peta Risiko'!$G$9),'Lap ED'!A27,"")</f>
        <v/>
      </c>
      <c r="Z36" s="27" t="str">
        <f>IF(AND('Lap ED'!G27='Peta Risiko'!$D$8,'Lap ED'!H27='Peta Risiko'!$H$9),'Lap ED'!A27,"")</f>
        <v/>
      </c>
      <c r="AA36" s="27" t="str">
        <f>IF(AND('Lap ED'!G27='Peta Risiko'!$D$8,'Lap ED'!H27='Peta Risiko'!$I$9),'Lap ED'!A27,"")</f>
        <v/>
      </c>
    </row>
    <row r="37" spans="2:27" hidden="1" x14ac:dyDescent="0.25">
      <c r="B37" s="27">
        <f t="shared" si="5"/>
        <v>23</v>
      </c>
      <c r="C37" s="27" t="str">
        <f>IF(AND('Lap ED'!G28='Peta Risiko'!$D$4,'Lap ED'!H28='Peta Risiko'!$E$9),'Lap ED'!A28,"")</f>
        <v/>
      </c>
      <c r="D37" s="27" t="str">
        <f>IF(AND('Lap ED'!G28='Peta Risiko'!$D$4,'Lap ED'!H28='Peta Risiko'!$F$9),'Lap ED'!A28,"")</f>
        <v/>
      </c>
      <c r="E37" s="27" t="str">
        <f>IF(AND('Lap ED'!G28='Peta Risiko'!$D$4,'Lap ED'!H28='Peta Risiko'!$G$9),'Lap ED'!A28,"")</f>
        <v/>
      </c>
      <c r="F37" s="27" t="str">
        <f>IF(AND('Lap ED'!G28='Peta Risiko'!$D$4,'Lap ED'!H28='Peta Risiko'!$H$9),'Lap ED'!A28,"")</f>
        <v/>
      </c>
      <c r="G37" s="27" t="str">
        <f>IF(AND('Lap ED'!G28='Peta Risiko'!$D$4,'Lap ED'!H28='Peta Risiko'!$I$9),'Lap ED'!A28,"")</f>
        <v/>
      </c>
      <c r="H37" s="27" t="str">
        <f>IF(AND('Lap ED'!G28='Peta Risiko'!$D$5,'Lap ED'!H28='Peta Risiko'!$E$9),'Lap ED'!A28,"")</f>
        <v/>
      </c>
      <c r="I37" s="27" t="str">
        <f>IF(AND('Lap ED'!G28='Peta Risiko'!$D$5,'Lap ED'!H28='Peta Risiko'!$F$9),'Lap ED'!A28,"")</f>
        <v/>
      </c>
      <c r="J37" s="27" t="str">
        <f>IF(AND('Lap ED'!G28='Peta Risiko'!$D$5,'Lap ED'!H28='Peta Risiko'!$G$9),'Lap ED'!A28,"")</f>
        <v/>
      </c>
      <c r="K37" s="27" t="str">
        <f>IF(AND('Lap ED'!G28='Peta Risiko'!$D$5,'Lap ED'!H28='Peta Risiko'!$H$9),'Lap ED'!A28,"")</f>
        <v/>
      </c>
      <c r="L37" s="27" t="str">
        <f>IF(AND('Lap ED'!G28='Peta Risiko'!$D$5,'Lap ED'!H28='Peta Risiko'!$I$9),'Lap ED'!A28,"")</f>
        <v/>
      </c>
      <c r="M37" s="27" t="str">
        <f>IF(AND('Lap ED'!G28='Peta Risiko'!$D$6,'Lap ED'!H28='Peta Risiko'!$E$9),'Lap ED'!A28,"")</f>
        <v/>
      </c>
      <c r="N37" s="27" t="str">
        <f>IF(AND('Lap ED'!G28='Peta Risiko'!$D$6,'Lap ED'!H28='Peta Risiko'!$F$9),'Lap ED'!A28,"")</f>
        <v/>
      </c>
      <c r="O37" s="27" t="str">
        <f>IF(AND('Lap ED'!G28='Peta Risiko'!$D$6,'Lap ED'!H28='Peta Risiko'!$G$9),'Lap ED'!A28,"")</f>
        <v/>
      </c>
      <c r="P37" s="27" t="str">
        <f>IF(AND('Lap ED'!G28='Peta Risiko'!$D$6,'Lap ED'!H28='Peta Risiko'!$H$9),'Lap ED'!A28,"")</f>
        <v/>
      </c>
      <c r="Q37" s="27" t="str">
        <f>IF(AND('Lap ED'!G28='Peta Risiko'!$D$6,'Lap ED'!H28='Peta Risiko'!$I$9),'Lap ED'!A28,"")</f>
        <v/>
      </c>
      <c r="R37" s="27" t="str">
        <f>IF(AND('Lap ED'!G28='Peta Risiko'!$D$7,'Lap ED'!H28='Peta Risiko'!$E$9),'Lap ED'!A28,"")</f>
        <v/>
      </c>
      <c r="S37" s="27" t="str">
        <f>IF(AND('Lap ED'!G28='Peta Risiko'!$D$7,'Lap ED'!H28='Peta Risiko'!$F$9),'Lap ED'!A28,"")</f>
        <v/>
      </c>
      <c r="T37" s="27" t="str">
        <f>IF(AND('Lap ED'!G28='Peta Risiko'!$D$7,'Lap ED'!H28='Peta Risiko'!$G$9),'Lap ED'!A28,"")</f>
        <v/>
      </c>
      <c r="U37" s="27" t="str">
        <f>IF(AND('Lap ED'!G28='Peta Risiko'!$D$7,'Lap ED'!H28='Peta Risiko'!$H$9),'Lap ED'!A28,"")</f>
        <v/>
      </c>
      <c r="V37" s="27" t="str">
        <f>IF(AND('Lap ED'!G28='Peta Risiko'!$D$7,'Lap ED'!H28='Peta Risiko'!$I$9),'Lap ED'!A28,"")</f>
        <v/>
      </c>
      <c r="W37" s="27">
        <f>IF(AND('Lap ED'!G28='Peta Risiko'!$D$8,'Lap ED'!H28='Peta Risiko'!$E$9),'Lap ED'!A28,"")</f>
        <v>20</v>
      </c>
      <c r="X37" s="27" t="str">
        <f>IF(AND('Lap ED'!G28='Peta Risiko'!$D$8,'Lap ED'!H28='Peta Risiko'!$F$9),'Lap ED'!A28,"")</f>
        <v/>
      </c>
      <c r="Y37" s="27" t="str">
        <f>IF(AND('Lap ED'!G28='Peta Risiko'!$D$8,'Lap ED'!H28='Peta Risiko'!$G$9),'Lap ED'!A28,"")</f>
        <v/>
      </c>
      <c r="Z37" s="27" t="str">
        <f>IF(AND('Lap ED'!G28='Peta Risiko'!$D$8,'Lap ED'!H28='Peta Risiko'!$H$9),'Lap ED'!A28,"")</f>
        <v/>
      </c>
      <c r="AA37" s="27" t="str">
        <f>IF(AND('Lap ED'!G28='Peta Risiko'!$D$8,'Lap ED'!H28='Peta Risiko'!$I$9),'Lap ED'!A28,"")</f>
        <v/>
      </c>
    </row>
    <row r="38" spans="2:27" hidden="1" x14ac:dyDescent="0.25">
      <c r="B38" s="27">
        <f t="shared" si="5"/>
        <v>24</v>
      </c>
      <c r="C38" s="27" t="str">
        <f>IF(AND('Lap ED'!G29='Peta Risiko'!$D$4,'Lap ED'!H29='Peta Risiko'!$E$9),'Lap ED'!A29,"")</f>
        <v/>
      </c>
      <c r="D38" s="27" t="str">
        <f>IF(AND('Lap ED'!G29='Peta Risiko'!$D$4,'Lap ED'!H29='Peta Risiko'!$F$9),'Lap ED'!A29,"")</f>
        <v/>
      </c>
      <c r="E38" s="27" t="str">
        <f>IF(AND('Lap ED'!G29='Peta Risiko'!$D$4,'Lap ED'!H29='Peta Risiko'!$G$9),'Lap ED'!A29,"")</f>
        <v/>
      </c>
      <c r="F38" s="27" t="str">
        <f>IF(AND('Lap ED'!G29='Peta Risiko'!$D$4,'Lap ED'!H29='Peta Risiko'!$H$9),'Lap ED'!A29,"")</f>
        <v/>
      </c>
      <c r="G38" s="27" t="str">
        <f>IF(AND('Lap ED'!G29='Peta Risiko'!$D$4,'Lap ED'!H29='Peta Risiko'!$I$9),'Lap ED'!A29,"")</f>
        <v/>
      </c>
      <c r="H38" s="27" t="str">
        <f>IF(AND('Lap ED'!G29='Peta Risiko'!$D$5,'Lap ED'!H29='Peta Risiko'!$E$9),'Lap ED'!A29,"")</f>
        <v/>
      </c>
      <c r="I38" s="27" t="str">
        <f>IF(AND('Lap ED'!G29='Peta Risiko'!$D$5,'Lap ED'!H29='Peta Risiko'!$F$9),'Lap ED'!A29,"")</f>
        <v/>
      </c>
      <c r="J38" s="27" t="str">
        <f>IF(AND('Lap ED'!G29='Peta Risiko'!$D$5,'Lap ED'!H29='Peta Risiko'!$G$9),'Lap ED'!A29,"")</f>
        <v/>
      </c>
      <c r="K38" s="27" t="str">
        <f>IF(AND('Lap ED'!G29='Peta Risiko'!$D$5,'Lap ED'!H29='Peta Risiko'!$H$9),'Lap ED'!A29,"")</f>
        <v/>
      </c>
      <c r="L38" s="27" t="str">
        <f>IF(AND('Lap ED'!G29='Peta Risiko'!$D$5,'Lap ED'!H29='Peta Risiko'!$I$9),'Lap ED'!A29,"")</f>
        <v/>
      </c>
      <c r="M38" s="27" t="str">
        <f>IF(AND('Lap ED'!G29='Peta Risiko'!$D$6,'Lap ED'!H29='Peta Risiko'!$E$9),'Lap ED'!A29,"")</f>
        <v/>
      </c>
      <c r="N38" s="27" t="str">
        <f>IF(AND('Lap ED'!G29='Peta Risiko'!$D$6,'Lap ED'!H29='Peta Risiko'!$F$9),'Lap ED'!A29,"")</f>
        <v/>
      </c>
      <c r="O38" s="27" t="str">
        <f>IF(AND('Lap ED'!G29='Peta Risiko'!$D$6,'Lap ED'!H29='Peta Risiko'!$G$9),'Lap ED'!A29,"")</f>
        <v/>
      </c>
      <c r="P38" s="27" t="str">
        <f>IF(AND('Lap ED'!G29='Peta Risiko'!$D$6,'Lap ED'!H29='Peta Risiko'!$H$9),'Lap ED'!A29,"")</f>
        <v/>
      </c>
      <c r="Q38" s="27" t="str">
        <f>IF(AND('Lap ED'!G29='Peta Risiko'!$D$6,'Lap ED'!H29='Peta Risiko'!$I$9),'Lap ED'!A29,"")</f>
        <v/>
      </c>
      <c r="R38" s="27" t="str">
        <f>IF(AND('Lap ED'!G29='Peta Risiko'!$D$7,'Lap ED'!H29='Peta Risiko'!$E$9),'Lap ED'!A29,"")</f>
        <v/>
      </c>
      <c r="S38" s="27" t="str">
        <f>IF(AND('Lap ED'!G29='Peta Risiko'!$D$7,'Lap ED'!H29='Peta Risiko'!$F$9),'Lap ED'!A29,"")</f>
        <v/>
      </c>
      <c r="T38" s="27" t="str">
        <f>IF(AND('Lap ED'!G29='Peta Risiko'!$D$7,'Lap ED'!H29='Peta Risiko'!$G$9),'Lap ED'!A29,"")</f>
        <v/>
      </c>
      <c r="U38" s="27" t="str">
        <f>IF(AND('Lap ED'!G29='Peta Risiko'!$D$7,'Lap ED'!H29='Peta Risiko'!$H$9),'Lap ED'!A29,"")</f>
        <v/>
      </c>
      <c r="V38" s="27" t="str">
        <f>IF(AND('Lap ED'!G29='Peta Risiko'!$D$7,'Lap ED'!H29='Peta Risiko'!$I$9),'Lap ED'!A29,"")</f>
        <v/>
      </c>
      <c r="W38" s="27">
        <f>IF(AND('Lap ED'!G29='Peta Risiko'!$D$8,'Lap ED'!H29='Peta Risiko'!$E$9),'Lap ED'!A29,"")</f>
        <v>21</v>
      </c>
      <c r="X38" s="27" t="str">
        <f>IF(AND('Lap ED'!G29='Peta Risiko'!$D$8,'Lap ED'!H29='Peta Risiko'!$F$9),'Lap ED'!A29,"")</f>
        <v/>
      </c>
      <c r="Y38" s="27" t="str">
        <f>IF(AND('Lap ED'!G29='Peta Risiko'!$D$8,'Lap ED'!H29='Peta Risiko'!$G$9),'Lap ED'!A29,"")</f>
        <v/>
      </c>
      <c r="Z38" s="27" t="str">
        <f>IF(AND('Lap ED'!G29='Peta Risiko'!$D$8,'Lap ED'!H29='Peta Risiko'!$H$9),'Lap ED'!A29,"")</f>
        <v/>
      </c>
      <c r="AA38" s="27" t="str">
        <f>IF(AND('Lap ED'!G29='Peta Risiko'!$D$8,'Lap ED'!H29='Peta Risiko'!$I$9),'Lap ED'!A29,"")</f>
        <v/>
      </c>
    </row>
    <row r="39" spans="2:27" hidden="1" x14ac:dyDescent="0.25">
      <c r="B39" s="27">
        <f t="shared" si="5"/>
        <v>25</v>
      </c>
      <c r="C39" s="27" t="str">
        <f>IF(AND('Lap ED'!G30='Peta Risiko'!$D$4,'Lap ED'!H30='Peta Risiko'!$E$9),'Lap ED'!A30,"")</f>
        <v/>
      </c>
      <c r="D39" s="27" t="str">
        <f>IF(AND('Lap ED'!G30='Peta Risiko'!$D$4,'Lap ED'!H30='Peta Risiko'!$F$9),'Lap ED'!A30,"")</f>
        <v/>
      </c>
      <c r="E39" s="27" t="str">
        <f>IF(AND('Lap ED'!G30='Peta Risiko'!$D$4,'Lap ED'!H30='Peta Risiko'!$G$9),'Lap ED'!A30,"")</f>
        <v/>
      </c>
      <c r="F39" s="27" t="str">
        <f>IF(AND('Lap ED'!G30='Peta Risiko'!$D$4,'Lap ED'!H30='Peta Risiko'!$H$9),'Lap ED'!A30,"")</f>
        <v/>
      </c>
      <c r="G39" s="27" t="str">
        <f>IF(AND('Lap ED'!G30='Peta Risiko'!$D$4,'Lap ED'!H30='Peta Risiko'!$I$9),'Lap ED'!A30,"")</f>
        <v/>
      </c>
      <c r="H39" s="27" t="str">
        <f>IF(AND('Lap ED'!G30='Peta Risiko'!$D$5,'Lap ED'!H30='Peta Risiko'!$E$9),'Lap ED'!A30,"")</f>
        <v/>
      </c>
      <c r="I39" s="27" t="str">
        <f>IF(AND('Lap ED'!G30='Peta Risiko'!$D$5,'Lap ED'!H30='Peta Risiko'!$F$9),'Lap ED'!A30,"")</f>
        <v/>
      </c>
      <c r="J39" s="27" t="str">
        <f>IF(AND('Lap ED'!G30='Peta Risiko'!$D$5,'Lap ED'!H30='Peta Risiko'!$G$9),'Lap ED'!A30,"")</f>
        <v/>
      </c>
      <c r="K39" s="27" t="str">
        <f>IF(AND('Lap ED'!G30='Peta Risiko'!$D$5,'Lap ED'!H30='Peta Risiko'!$H$9),'Lap ED'!A30,"")</f>
        <v/>
      </c>
      <c r="L39" s="27" t="str">
        <f>IF(AND('Lap ED'!G30='Peta Risiko'!$D$5,'Lap ED'!H30='Peta Risiko'!$I$9),'Lap ED'!A30,"")</f>
        <v/>
      </c>
      <c r="M39" s="27" t="str">
        <f>IF(AND('Lap ED'!G30='Peta Risiko'!$D$6,'Lap ED'!H30='Peta Risiko'!$E$9),'Lap ED'!A30,"")</f>
        <v/>
      </c>
      <c r="N39" s="27" t="str">
        <f>IF(AND('Lap ED'!G30='Peta Risiko'!$D$6,'Lap ED'!H30='Peta Risiko'!$F$9),'Lap ED'!A30,"")</f>
        <v/>
      </c>
      <c r="O39" s="27" t="str">
        <f>IF(AND('Lap ED'!G30='Peta Risiko'!$D$6,'Lap ED'!H30='Peta Risiko'!$G$9),'Lap ED'!A30,"")</f>
        <v/>
      </c>
      <c r="P39" s="27" t="str">
        <f>IF(AND('Lap ED'!G30='Peta Risiko'!$D$6,'Lap ED'!H30='Peta Risiko'!$H$9),'Lap ED'!A30,"")</f>
        <v/>
      </c>
      <c r="Q39" s="27" t="str">
        <f>IF(AND('Lap ED'!G30='Peta Risiko'!$D$6,'Lap ED'!H30='Peta Risiko'!$I$9),'Lap ED'!A30,"")</f>
        <v/>
      </c>
      <c r="R39" s="27" t="str">
        <f>IF(AND('Lap ED'!G30='Peta Risiko'!$D$7,'Lap ED'!H30='Peta Risiko'!$E$9),'Lap ED'!A30,"")</f>
        <v/>
      </c>
      <c r="S39" s="27" t="str">
        <f>IF(AND('Lap ED'!G30='Peta Risiko'!$D$7,'Lap ED'!H30='Peta Risiko'!$F$9),'Lap ED'!A30,"")</f>
        <v/>
      </c>
      <c r="T39" s="27" t="str">
        <f>IF(AND('Lap ED'!G30='Peta Risiko'!$D$7,'Lap ED'!H30='Peta Risiko'!$G$9),'Lap ED'!A30,"")</f>
        <v/>
      </c>
      <c r="U39" s="27" t="str">
        <f>IF(AND('Lap ED'!G30='Peta Risiko'!$D$7,'Lap ED'!H30='Peta Risiko'!$H$9),'Lap ED'!A30,"")</f>
        <v/>
      </c>
      <c r="V39" s="27" t="str">
        <f>IF(AND('Lap ED'!G30='Peta Risiko'!$D$7,'Lap ED'!H30='Peta Risiko'!$I$9),'Lap ED'!A30,"")</f>
        <v/>
      </c>
      <c r="W39" s="27" t="str">
        <f>IF(AND('Lap ED'!G30='Peta Risiko'!$D$8,'Lap ED'!H30='Peta Risiko'!$E$9),'Lap ED'!A30,"")</f>
        <v/>
      </c>
      <c r="X39" s="27" t="str">
        <f>IF(AND('Lap ED'!G30='Peta Risiko'!$D$8,'Lap ED'!H30='Peta Risiko'!$F$9),'Lap ED'!A30,"")</f>
        <v/>
      </c>
      <c r="Y39" s="27" t="str">
        <f>IF(AND('Lap ED'!G30='Peta Risiko'!$D$8,'Lap ED'!H30='Peta Risiko'!$G$9),'Lap ED'!A30,"")</f>
        <v/>
      </c>
      <c r="Z39" s="27" t="str">
        <f>IF(AND('Lap ED'!G30='Peta Risiko'!$D$8,'Lap ED'!H30='Peta Risiko'!$H$9),'Lap ED'!A30,"")</f>
        <v/>
      </c>
      <c r="AA39" s="27" t="str">
        <f>IF(AND('Lap ED'!G30='Peta Risiko'!$D$8,'Lap ED'!H30='Peta Risiko'!$I$9),'Lap ED'!A30,"")</f>
        <v/>
      </c>
    </row>
    <row r="40" spans="2:27" hidden="1" x14ac:dyDescent="0.25">
      <c r="B40" s="27">
        <f t="shared" si="5"/>
        <v>26</v>
      </c>
      <c r="C40" s="27" t="str">
        <f>IF(AND('Lap ED'!G31='Peta Risiko'!$D$4,'Lap ED'!H31='Peta Risiko'!$E$9),'Lap ED'!A31,"")</f>
        <v/>
      </c>
      <c r="D40" s="27" t="str">
        <f>IF(AND('Lap ED'!G31='Peta Risiko'!$D$4,'Lap ED'!H31='Peta Risiko'!$F$9),'Lap ED'!A31,"")</f>
        <v/>
      </c>
      <c r="E40" s="27" t="str">
        <f>IF(AND('Lap ED'!G31='Peta Risiko'!$D$4,'Lap ED'!H31='Peta Risiko'!$G$9),'Lap ED'!A31,"")</f>
        <v/>
      </c>
      <c r="F40" s="27" t="str">
        <f>IF(AND('Lap ED'!G31='Peta Risiko'!$D$4,'Lap ED'!H31='Peta Risiko'!$H$9),'Lap ED'!A31,"")</f>
        <v/>
      </c>
      <c r="G40" s="27" t="str">
        <f>IF(AND('Lap ED'!G31='Peta Risiko'!$D$4,'Lap ED'!H31='Peta Risiko'!$I$9),'Lap ED'!A31,"")</f>
        <v/>
      </c>
      <c r="H40" s="27" t="str">
        <f>IF(AND('Lap ED'!G31='Peta Risiko'!$D$5,'Lap ED'!H31='Peta Risiko'!$E$9),'Lap ED'!A31,"")</f>
        <v/>
      </c>
      <c r="I40" s="27" t="str">
        <f>IF(AND('Lap ED'!G31='Peta Risiko'!$D$5,'Lap ED'!H31='Peta Risiko'!$F$9),'Lap ED'!A31,"")</f>
        <v/>
      </c>
      <c r="J40" s="27" t="str">
        <f>IF(AND('Lap ED'!G31='Peta Risiko'!$D$5,'Lap ED'!H31='Peta Risiko'!$G$9),'Lap ED'!A31,"")</f>
        <v/>
      </c>
      <c r="K40" s="27" t="str">
        <f>IF(AND('Lap ED'!G31='Peta Risiko'!$D$5,'Lap ED'!H31='Peta Risiko'!$H$9),'Lap ED'!A31,"")</f>
        <v/>
      </c>
      <c r="L40" s="27" t="str">
        <f>IF(AND('Lap ED'!G31='Peta Risiko'!$D$5,'Lap ED'!H31='Peta Risiko'!$I$9),'Lap ED'!A31,"")</f>
        <v/>
      </c>
      <c r="M40" s="27" t="str">
        <f>IF(AND('Lap ED'!G31='Peta Risiko'!$D$6,'Lap ED'!H31='Peta Risiko'!$E$9),'Lap ED'!A31,"")</f>
        <v/>
      </c>
      <c r="N40" s="27" t="str">
        <f>IF(AND('Lap ED'!G31='Peta Risiko'!$D$6,'Lap ED'!H31='Peta Risiko'!$F$9),'Lap ED'!A31,"")</f>
        <v/>
      </c>
      <c r="O40" s="27" t="str">
        <f>IF(AND('Lap ED'!G31='Peta Risiko'!$D$6,'Lap ED'!H31='Peta Risiko'!$G$9),'Lap ED'!A31,"")</f>
        <v/>
      </c>
      <c r="P40" s="27" t="str">
        <f>IF(AND('Lap ED'!G31='Peta Risiko'!$D$6,'Lap ED'!H31='Peta Risiko'!$H$9),'Lap ED'!A31,"")</f>
        <v/>
      </c>
      <c r="Q40" s="27" t="str">
        <f>IF(AND('Lap ED'!G31='Peta Risiko'!$D$6,'Lap ED'!H31='Peta Risiko'!$I$9),'Lap ED'!A31,"")</f>
        <v/>
      </c>
      <c r="R40" s="27" t="str">
        <f>IF(AND('Lap ED'!G31='Peta Risiko'!$D$7,'Lap ED'!H31='Peta Risiko'!$E$9),'Lap ED'!A31,"")</f>
        <v/>
      </c>
      <c r="S40" s="27" t="str">
        <f>IF(AND('Lap ED'!G31='Peta Risiko'!$D$7,'Lap ED'!H31='Peta Risiko'!$F$9),'Lap ED'!A31,"")</f>
        <v/>
      </c>
      <c r="T40" s="27" t="str">
        <f>IF(AND('Lap ED'!G31='Peta Risiko'!$D$7,'Lap ED'!H31='Peta Risiko'!$G$9),'Lap ED'!A31,"")</f>
        <v/>
      </c>
      <c r="U40" s="27" t="str">
        <f>IF(AND('Lap ED'!G31='Peta Risiko'!$D$7,'Lap ED'!H31='Peta Risiko'!$H$9),'Lap ED'!A31,"")</f>
        <v/>
      </c>
      <c r="V40" s="27" t="str">
        <f>IF(AND('Lap ED'!G31='Peta Risiko'!$D$7,'Lap ED'!H31='Peta Risiko'!$I$9),'Lap ED'!A31,"")</f>
        <v/>
      </c>
      <c r="W40" s="27">
        <f>IF(AND('Lap ED'!G31='Peta Risiko'!$D$8,'Lap ED'!H31='Peta Risiko'!$E$9),'Lap ED'!A31,"")</f>
        <v>22</v>
      </c>
      <c r="X40" s="27" t="str">
        <f>IF(AND('Lap ED'!G31='Peta Risiko'!$D$8,'Lap ED'!H31='Peta Risiko'!$F$9),'Lap ED'!A31,"")</f>
        <v/>
      </c>
      <c r="Y40" s="27" t="str">
        <f>IF(AND('Lap ED'!G31='Peta Risiko'!$D$8,'Lap ED'!H31='Peta Risiko'!$G$9),'Lap ED'!A31,"")</f>
        <v/>
      </c>
      <c r="Z40" s="27" t="str">
        <f>IF(AND('Lap ED'!G31='Peta Risiko'!$D$8,'Lap ED'!H31='Peta Risiko'!$H$9),'Lap ED'!A31,"")</f>
        <v/>
      </c>
      <c r="AA40" s="27" t="str">
        <f>IF(AND('Lap ED'!G31='Peta Risiko'!$D$8,'Lap ED'!H31='Peta Risiko'!$I$9),'Lap ED'!A31,"")</f>
        <v/>
      </c>
    </row>
    <row r="41" spans="2:27" hidden="1" x14ac:dyDescent="0.25">
      <c r="B41" s="27">
        <f t="shared" si="5"/>
        <v>27</v>
      </c>
      <c r="C41" s="27" t="str">
        <f>IF(AND('Lap ED'!G32='Peta Risiko'!$D$4,'Lap ED'!H32='Peta Risiko'!$E$9),'Lap ED'!A32,"")</f>
        <v/>
      </c>
      <c r="D41" s="27" t="str">
        <f>IF(AND('Lap ED'!G32='Peta Risiko'!$D$4,'Lap ED'!H32='Peta Risiko'!$F$9),'Lap ED'!A32,"")</f>
        <v/>
      </c>
      <c r="E41" s="27" t="str">
        <f>IF(AND('Lap ED'!G32='Peta Risiko'!$D$4,'Lap ED'!H32='Peta Risiko'!$G$9),'Lap ED'!A32,"")</f>
        <v/>
      </c>
      <c r="F41" s="27" t="str">
        <f>IF(AND('Lap ED'!G32='Peta Risiko'!$D$4,'Lap ED'!H32='Peta Risiko'!$H$9),'Lap ED'!A32,"")</f>
        <v/>
      </c>
      <c r="G41" s="27" t="str">
        <f>IF(AND('Lap ED'!G32='Peta Risiko'!$D$4,'Lap ED'!H32='Peta Risiko'!$I$9),'Lap ED'!A32,"")</f>
        <v/>
      </c>
      <c r="H41" s="27" t="str">
        <f>IF(AND('Lap ED'!G32='Peta Risiko'!$D$5,'Lap ED'!H32='Peta Risiko'!$E$9),'Lap ED'!A32,"")</f>
        <v/>
      </c>
      <c r="I41" s="27" t="str">
        <f>IF(AND('Lap ED'!G32='Peta Risiko'!$D$5,'Lap ED'!H32='Peta Risiko'!$F$9),'Lap ED'!A32,"")</f>
        <v/>
      </c>
      <c r="J41" s="27" t="str">
        <f>IF(AND('Lap ED'!G32='Peta Risiko'!$D$5,'Lap ED'!H32='Peta Risiko'!$G$9),'Lap ED'!A32,"")</f>
        <v/>
      </c>
      <c r="K41" s="27" t="str">
        <f>IF(AND('Lap ED'!G32='Peta Risiko'!$D$5,'Lap ED'!H32='Peta Risiko'!$H$9),'Lap ED'!A32,"")</f>
        <v/>
      </c>
      <c r="L41" s="27" t="str">
        <f>IF(AND('Lap ED'!G32='Peta Risiko'!$D$5,'Lap ED'!H32='Peta Risiko'!$I$9),'Lap ED'!A32,"")</f>
        <v/>
      </c>
      <c r="M41" s="27" t="str">
        <f>IF(AND('Lap ED'!G32='Peta Risiko'!$D$6,'Lap ED'!H32='Peta Risiko'!$E$9),'Lap ED'!A32,"")</f>
        <v/>
      </c>
      <c r="N41" s="27" t="str">
        <f>IF(AND('Lap ED'!G32='Peta Risiko'!$D$6,'Lap ED'!H32='Peta Risiko'!$F$9),'Lap ED'!A32,"")</f>
        <v/>
      </c>
      <c r="O41" s="27" t="str">
        <f>IF(AND('Lap ED'!G32='Peta Risiko'!$D$6,'Lap ED'!H32='Peta Risiko'!$G$9),'Lap ED'!A32,"")</f>
        <v/>
      </c>
      <c r="P41" s="27" t="str">
        <f>IF(AND('Lap ED'!G32='Peta Risiko'!$D$6,'Lap ED'!H32='Peta Risiko'!$H$9),'Lap ED'!A32,"")</f>
        <v/>
      </c>
      <c r="Q41" s="27" t="str">
        <f>IF(AND('Lap ED'!G32='Peta Risiko'!$D$6,'Lap ED'!H32='Peta Risiko'!$I$9),'Lap ED'!A32,"")</f>
        <v/>
      </c>
      <c r="R41" s="27" t="str">
        <f>IF(AND('Lap ED'!G32='Peta Risiko'!$D$7,'Lap ED'!H32='Peta Risiko'!$E$9),'Lap ED'!A32,"")</f>
        <v/>
      </c>
      <c r="S41" s="27" t="str">
        <f>IF(AND('Lap ED'!G32='Peta Risiko'!$D$7,'Lap ED'!H32='Peta Risiko'!$F$9),'Lap ED'!A32,"")</f>
        <v/>
      </c>
      <c r="T41" s="27" t="str">
        <f>IF(AND('Lap ED'!G32='Peta Risiko'!$D$7,'Lap ED'!H32='Peta Risiko'!$G$9),'Lap ED'!A32,"")</f>
        <v/>
      </c>
      <c r="U41" s="27" t="str">
        <f>IF(AND('Lap ED'!G32='Peta Risiko'!$D$7,'Lap ED'!H32='Peta Risiko'!$H$9),'Lap ED'!A32,"")</f>
        <v/>
      </c>
      <c r="V41" s="27" t="str">
        <f>IF(AND('Lap ED'!G32='Peta Risiko'!$D$7,'Lap ED'!H32='Peta Risiko'!$I$9),'Lap ED'!A32,"")</f>
        <v/>
      </c>
      <c r="W41" s="27">
        <f>IF(AND('Lap ED'!G32='Peta Risiko'!$D$8,'Lap ED'!H32='Peta Risiko'!$E$9),'Lap ED'!A32,"")</f>
        <v>23</v>
      </c>
      <c r="X41" s="27" t="str">
        <f>IF(AND('Lap ED'!G32='Peta Risiko'!$D$8,'Lap ED'!H32='Peta Risiko'!$F$9),'Lap ED'!A32,"")</f>
        <v/>
      </c>
      <c r="Y41" s="27" t="str">
        <f>IF(AND('Lap ED'!G32='Peta Risiko'!$D$8,'Lap ED'!H32='Peta Risiko'!$G$9),'Lap ED'!A32,"")</f>
        <v/>
      </c>
      <c r="Z41" s="27" t="str">
        <f>IF(AND('Lap ED'!G32='Peta Risiko'!$D$8,'Lap ED'!H32='Peta Risiko'!$H$9),'Lap ED'!A32,"")</f>
        <v/>
      </c>
      <c r="AA41" s="27" t="str">
        <f>IF(AND('Lap ED'!G32='Peta Risiko'!$D$8,'Lap ED'!H32='Peta Risiko'!$I$9),'Lap ED'!A32,"")</f>
        <v/>
      </c>
    </row>
    <row r="42" spans="2:27" hidden="1" x14ac:dyDescent="0.25">
      <c r="B42" s="27">
        <f t="shared" si="5"/>
        <v>28</v>
      </c>
      <c r="C42" s="27" t="str">
        <f>IF(AND('Lap ED'!G33='Peta Risiko'!$D$4,'Lap ED'!H33='Peta Risiko'!$E$9),'Lap ED'!A33,"")</f>
        <v/>
      </c>
      <c r="D42" s="27" t="str">
        <f>IF(AND('Lap ED'!G33='Peta Risiko'!$D$4,'Lap ED'!H33='Peta Risiko'!$F$9),'Lap ED'!A33,"")</f>
        <v/>
      </c>
      <c r="E42" s="27" t="str">
        <f>IF(AND('Lap ED'!G33='Peta Risiko'!$D$4,'Lap ED'!H33='Peta Risiko'!$G$9),'Lap ED'!A33,"")</f>
        <v/>
      </c>
      <c r="F42" s="27" t="str">
        <f>IF(AND('Lap ED'!G33='Peta Risiko'!$D$4,'Lap ED'!H33='Peta Risiko'!$H$9),'Lap ED'!A33,"")</f>
        <v/>
      </c>
      <c r="G42" s="27" t="str">
        <f>IF(AND('Lap ED'!G33='Peta Risiko'!$D$4,'Lap ED'!H33='Peta Risiko'!$I$9),'Lap ED'!A33,"")</f>
        <v/>
      </c>
      <c r="H42" s="27" t="str">
        <f>IF(AND('Lap ED'!G33='Peta Risiko'!$D$5,'Lap ED'!H33='Peta Risiko'!$E$9),'Lap ED'!A33,"")</f>
        <v/>
      </c>
      <c r="I42" s="27" t="str">
        <f>IF(AND('Lap ED'!G33='Peta Risiko'!$D$5,'Lap ED'!H33='Peta Risiko'!$F$9),'Lap ED'!A33,"")</f>
        <v/>
      </c>
      <c r="J42" s="27" t="str">
        <f>IF(AND('Lap ED'!G33='Peta Risiko'!$D$5,'Lap ED'!H33='Peta Risiko'!$G$9),'Lap ED'!A33,"")</f>
        <v/>
      </c>
      <c r="K42" s="27" t="str">
        <f>IF(AND('Lap ED'!G33='Peta Risiko'!$D$5,'Lap ED'!H33='Peta Risiko'!$H$9),'Lap ED'!A33,"")</f>
        <v/>
      </c>
      <c r="L42" s="27" t="str">
        <f>IF(AND('Lap ED'!G33='Peta Risiko'!$D$5,'Lap ED'!H33='Peta Risiko'!$I$9),'Lap ED'!A33,"")</f>
        <v/>
      </c>
      <c r="M42" s="27" t="str">
        <f>IF(AND('Lap ED'!G33='Peta Risiko'!$D$6,'Lap ED'!H33='Peta Risiko'!$E$9),'Lap ED'!A33,"")</f>
        <v/>
      </c>
      <c r="N42" s="27" t="str">
        <f>IF(AND('Lap ED'!G33='Peta Risiko'!$D$6,'Lap ED'!H33='Peta Risiko'!$F$9),'Lap ED'!A33,"")</f>
        <v/>
      </c>
      <c r="O42" s="27" t="str">
        <f>IF(AND('Lap ED'!G33='Peta Risiko'!$D$6,'Lap ED'!H33='Peta Risiko'!$G$9),'Lap ED'!A33,"")</f>
        <v/>
      </c>
      <c r="P42" s="27" t="str">
        <f>IF(AND('Lap ED'!G33='Peta Risiko'!$D$6,'Lap ED'!H33='Peta Risiko'!$H$9),'Lap ED'!A33,"")</f>
        <v/>
      </c>
      <c r="Q42" s="27" t="str">
        <f>IF(AND('Lap ED'!G33='Peta Risiko'!$D$6,'Lap ED'!H33='Peta Risiko'!$I$9),'Lap ED'!A33,"")</f>
        <v/>
      </c>
      <c r="R42" s="27" t="str">
        <f>IF(AND('Lap ED'!G33='Peta Risiko'!$D$7,'Lap ED'!H33='Peta Risiko'!$E$9),'Lap ED'!A33,"")</f>
        <v/>
      </c>
      <c r="S42" s="27" t="str">
        <f>IF(AND('Lap ED'!G33='Peta Risiko'!$D$7,'Lap ED'!H33='Peta Risiko'!$F$9),'Lap ED'!A33,"")</f>
        <v/>
      </c>
      <c r="T42" s="27" t="str">
        <f>IF(AND('Lap ED'!G33='Peta Risiko'!$D$7,'Lap ED'!H33='Peta Risiko'!$G$9),'Lap ED'!A33,"")</f>
        <v/>
      </c>
      <c r="U42" s="27" t="str">
        <f>IF(AND('Lap ED'!G33='Peta Risiko'!$D$7,'Lap ED'!H33='Peta Risiko'!$H$9),'Lap ED'!A33,"")</f>
        <v/>
      </c>
      <c r="V42" s="27" t="str">
        <f>IF(AND('Lap ED'!G33='Peta Risiko'!$D$7,'Lap ED'!H33='Peta Risiko'!$I$9),'Lap ED'!A33,"")</f>
        <v/>
      </c>
      <c r="W42" s="27">
        <f>IF(AND('Lap ED'!G33='Peta Risiko'!$D$8,'Lap ED'!H33='Peta Risiko'!$E$9),'Lap ED'!A33,"")</f>
        <v>24</v>
      </c>
      <c r="X42" s="27" t="str">
        <f>IF(AND('Lap ED'!G33='Peta Risiko'!$D$8,'Lap ED'!H33='Peta Risiko'!$F$9),'Lap ED'!A33,"")</f>
        <v/>
      </c>
      <c r="Y42" s="27" t="str">
        <f>IF(AND('Lap ED'!G33='Peta Risiko'!$D$8,'Lap ED'!H33='Peta Risiko'!$G$9),'Lap ED'!A33,"")</f>
        <v/>
      </c>
      <c r="Z42" s="27" t="str">
        <f>IF(AND('Lap ED'!G33='Peta Risiko'!$D$8,'Lap ED'!H33='Peta Risiko'!$H$9),'Lap ED'!A33,"")</f>
        <v/>
      </c>
      <c r="AA42" s="27" t="str">
        <f>IF(AND('Lap ED'!G33='Peta Risiko'!$D$8,'Lap ED'!H33='Peta Risiko'!$I$9),'Lap ED'!A33,"")</f>
        <v/>
      </c>
    </row>
    <row r="43" spans="2:27" hidden="1" x14ac:dyDescent="0.25">
      <c r="B43" s="27">
        <f t="shared" si="5"/>
        <v>29</v>
      </c>
      <c r="C43" s="27" t="str">
        <f>IF(AND('Lap ED'!G34='Peta Risiko'!$D$4,'Lap ED'!H34='Peta Risiko'!$E$9),'Lap ED'!A34,"")</f>
        <v/>
      </c>
      <c r="D43" s="27" t="str">
        <f>IF(AND('Lap ED'!G34='Peta Risiko'!$D$4,'Lap ED'!H34='Peta Risiko'!$F$9),'Lap ED'!A34,"")</f>
        <v/>
      </c>
      <c r="E43" s="27" t="str">
        <f>IF(AND('Lap ED'!G34='Peta Risiko'!$D$4,'Lap ED'!H34='Peta Risiko'!$G$9),'Lap ED'!A34,"")</f>
        <v/>
      </c>
      <c r="F43" s="27" t="str">
        <f>IF(AND('Lap ED'!G34='Peta Risiko'!$D$4,'Lap ED'!H34='Peta Risiko'!$H$9),'Lap ED'!A34,"")</f>
        <v/>
      </c>
      <c r="G43" s="27" t="str">
        <f>IF(AND('Lap ED'!G34='Peta Risiko'!$D$4,'Lap ED'!H34='Peta Risiko'!$I$9),'Lap ED'!A34,"")</f>
        <v/>
      </c>
      <c r="H43" s="27" t="str">
        <f>IF(AND('Lap ED'!G34='Peta Risiko'!$D$5,'Lap ED'!H34='Peta Risiko'!$E$9),'Lap ED'!A34,"")</f>
        <v/>
      </c>
      <c r="I43" s="27" t="str">
        <f>IF(AND('Lap ED'!G34='Peta Risiko'!$D$5,'Lap ED'!H34='Peta Risiko'!$F$9),'Lap ED'!A34,"")</f>
        <v/>
      </c>
      <c r="J43" s="27" t="str">
        <f>IF(AND('Lap ED'!G34='Peta Risiko'!$D$5,'Lap ED'!H34='Peta Risiko'!$G$9),'Lap ED'!A34,"")</f>
        <v/>
      </c>
      <c r="K43" s="27" t="str">
        <f>IF(AND('Lap ED'!G34='Peta Risiko'!$D$5,'Lap ED'!H34='Peta Risiko'!$H$9),'Lap ED'!A34,"")</f>
        <v/>
      </c>
      <c r="L43" s="27" t="str">
        <f>IF(AND('Lap ED'!G34='Peta Risiko'!$D$5,'Lap ED'!H34='Peta Risiko'!$I$9),'Lap ED'!A34,"")</f>
        <v/>
      </c>
      <c r="M43" s="27" t="str">
        <f>IF(AND('Lap ED'!G34='Peta Risiko'!$D$6,'Lap ED'!H34='Peta Risiko'!$E$9),'Lap ED'!A34,"")</f>
        <v/>
      </c>
      <c r="N43" s="27" t="str">
        <f>IF(AND('Lap ED'!G34='Peta Risiko'!$D$6,'Lap ED'!H34='Peta Risiko'!$F$9),'Lap ED'!A34,"")</f>
        <v/>
      </c>
      <c r="O43" s="27" t="str">
        <f>IF(AND('Lap ED'!G34='Peta Risiko'!$D$6,'Lap ED'!H34='Peta Risiko'!$G$9),'Lap ED'!A34,"")</f>
        <v/>
      </c>
      <c r="P43" s="27" t="str">
        <f>IF(AND('Lap ED'!G34='Peta Risiko'!$D$6,'Lap ED'!H34='Peta Risiko'!$H$9),'Lap ED'!A34,"")</f>
        <v/>
      </c>
      <c r="Q43" s="27" t="str">
        <f>IF(AND('Lap ED'!G34='Peta Risiko'!$D$6,'Lap ED'!H34='Peta Risiko'!$I$9),'Lap ED'!A34,"")</f>
        <v/>
      </c>
      <c r="R43" s="27" t="str">
        <f>IF(AND('Lap ED'!G34='Peta Risiko'!$D$7,'Lap ED'!H34='Peta Risiko'!$E$9),'Lap ED'!A34,"")</f>
        <v/>
      </c>
      <c r="S43" s="27" t="str">
        <f>IF(AND('Lap ED'!G34='Peta Risiko'!$D$7,'Lap ED'!H34='Peta Risiko'!$F$9),'Lap ED'!A34,"")</f>
        <v/>
      </c>
      <c r="T43" s="27" t="str">
        <f>IF(AND('Lap ED'!G34='Peta Risiko'!$D$7,'Lap ED'!H34='Peta Risiko'!$G$9),'Lap ED'!A34,"")</f>
        <v/>
      </c>
      <c r="U43" s="27" t="str">
        <f>IF(AND('Lap ED'!G34='Peta Risiko'!$D$7,'Lap ED'!H34='Peta Risiko'!$H$9),'Lap ED'!A34,"")</f>
        <v/>
      </c>
      <c r="V43" s="27" t="str">
        <f>IF(AND('Lap ED'!G34='Peta Risiko'!$D$7,'Lap ED'!H34='Peta Risiko'!$I$9),'Lap ED'!A34,"")</f>
        <v/>
      </c>
      <c r="W43" s="27">
        <f>IF(AND('Lap ED'!G34='Peta Risiko'!$D$8,'Lap ED'!H34='Peta Risiko'!$E$9),'Lap ED'!A34,"")</f>
        <v>25</v>
      </c>
      <c r="X43" s="27" t="str">
        <f>IF(AND('Lap ED'!G34='Peta Risiko'!$D$8,'Lap ED'!H34='Peta Risiko'!$F$9),'Lap ED'!A34,"")</f>
        <v/>
      </c>
      <c r="Y43" s="27" t="str">
        <f>IF(AND('Lap ED'!G34='Peta Risiko'!$D$8,'Lap ED'!H34='Peta Risiko'!$G$9),'Lap ED'!A34,"")</f>
        <v/>
      </c>
      <c r="Z43" s="27" t="str">
        <f>IF(AND('Lap ED'!G34='Peta Risiko'!$D$8,'Lap ED'!H34='Peta Risiko'!$H$9),'Lap ED'!A34,"")</f>
        <v/>
      </c>
      <c r="AA43" s="27" t="str">
        <f>IF(AND('Lap ED'!G34='Peta Risiko'!$D$8,'Lap ED'!H34='Peta Risiko'!$I$9),'Lap ED'!A34,"")</f>
        <v/>
      </c>
    </row>
    <row r="44" spans="2:27" hidden="1" x14ac:dyDescent="0.25">
      <c r="B44" s="27">
        <f t="shared" si="5"/>
        <v>30</v>
      </c>
      <c r="C44" s="27" t="str">
        <f>IF(AND('Lap ED'!G35='Peta Risiko'!$D$4,'Lap ED'!H35='Peta Risiko'!$E$9),'Lap ED'!A35,"")</f>
        <v/>
      </c>
      <c r="D44" s="27" t="str">
        <f>IF(AND('Lap ED'!G35='Peta Risiko'!$D$4,'Lap ED'!H35='Peta Risiko'!$F$9),'Lap ED'!A35,"")</f>
        <v/>
      </c>
      <c r="E44" s="27" t="str">
        <f>IF(AND('Lap ED'!G35='Peta Risiko'!$D$4,'Lap ED'!H35='Peta Risiko'!$G$9),'Lap ED'!A35,"")</f>
        <v/>
      </c>
      <c r="F44" s="27" t="str">
        <f>IF(AND('Lap ED'!G35='Peta Risiko'!$D$4,'Lap ED'!H35='Peta Risiko'!$H$9),'Lap ED'!A35,"")</f>
        <v/>
      </c>
      <c r="G44" s="27" t="str">
        <f>IF(AND('Lap ED'!G35='Peta Risiko'!$D$4,'Lap ED'!H35='Peta Risiko'!$I$9),'Lap ED'!A35,"")</f>
        <v/>
      </c>
      <c r="H44" s="27" t="str">
        <f>IF(AND('Lap ED'!G35='Peta Risiko'!$D$5,'Lap ED'!H35='Peta Risiko'!$E$9),'Lap ED'!A35,"")</f>
        <v/>
      </c>
      <c r="I44" s="27" t="str">
        <f>IF(AND('Lap ED'!G35='Peta Risiko'!$D$5,'Lap ED'!H35='Peta Risiko'!$F$9),'Lap ED'!A35,"")</f>
        <v/>
      </c>
      <c r="J44" s="27" t="str">
        <f>IF(AND('Lap ED'!G35='Peta Risiko'!$D$5,'Lap ED'!H35='Peta Risiko'!$G$9),'Lap ED'!A35,"")</f>
        <v/>
      </c>
      <c r="K44" s="27" t="str">
        <f>IF(AND('Lap ED'!G35='Peta Risiko'!$D$5,'Lap ED'!H35='Peta Risiko'!$H$9),'Lap ED'!A35,"")</f>
        <v/>
      </c>
      <c r="L44" s="27" t="str">
        <f>IF(AND('Lap ED'!G35='Peta Risiko'!$D$5,'Lap ED'!H35='Peta Risiko'!$I$9),'Lap ED'!A35,"")</f>
        <v/>
      </c>
      <c r="M44" s="27" t="str">
        <f>IF(AND('Lap ED'!G35='Peta Risiko'!$D$6,'Lap ED'!H35='Peta Risiko'!$E$9),'Lap ED'!A35,"")</f>
        <v/>
      </c>
      <c r="N44" s="27" t="str">
        <f>IF(AND('Lap ED'!G35='Peta Risiko'!$D$6,'Lap ED'!H35='Peta Risiko'!$F$9),'Lap ED'!A35,"")</f>
        <v/>
      </c>
      <c r="O44" s="27" t="str">
        <f>IF(AND('Lap ED'!G35='Peta Risiko'!$D$6,'Lap ED'!H35='Peta Risiko'!$G$9),'Lap ED'!A35,"")</f>
        <v/>
      </c>
      <c r="P44" s="27" t="str">
        <f>IF(AND('Lap ED'!G35='Peta Risiko'!$D$6,'Lap ED'!H35='Peta Risiko'!$H$9),'Lap ED'!A35,"")</f>
        <v/>
      </c>
      <c r="Q44" s="27" t="str">
        <f>IF(AND('Lap ED'!G35='Peta Risiko'!$D$6,'Lap ED'!H35='Peta Risiko'!$I$9),'Lap ED'!A35,"")</f>
        <v/>
      </c>
      <c r="R44" s="27" t="str">
        <f>IF(AND('Lap ED'!G35='Peta Risiko'!$D$7,'Lap ED'!H35='Peta Risiko'!$E$9),'Lap ED'!A35,"")</f>
        <v/>
      </c>
      <c r="S44" s="27" t="str">
        <f>IF(AND('Lap ED'!G35='Peta Risiko'!$D$7,'Lap ED'!H35='Peta Risiko'!$F$9),'Lap ED'!A35,"")</f>
        <v/>
      </c>
      <c r="T44" s="27" t="str">
        <f>IF(AND('Lap ED'!G35='Peta Risiko'!$D$7,'Lap ED'!H35='Peta Risiko'!$G$9),'Lap ED'!A35,"")</f>
        <v/>
      </c>
      <c r="U44" s="27" t="str">
        <f>IF(AND('Lap ED'!G35='Peta Risiko'!$D$7,'Lap ED'!H35='Peta Risiko'!$H$9),'Lap ED'!A35,"")</f>
        <v/>
      </c>
      <c r="V44" s="27" t="str">
        <f>IF(AND('Lap ED'!G35='Peta Risiko'!$D$7,'Lap ED'!H35='Peta Risiko'!$I$9),'Lap ED'!A35,"")</f>
        <v/>
      </c>
      <c r="W44" s="27">
        <f>IF(AND('Lap ED'!G35='Peta Risiko'!$D$8,'Lap ED'!H35='Peta Risiko'!$E$9),'Lap ED'!A35,"")</f>
        <v>26</v>
      </c>
      <c r="X44" s="27" t="str">
        <f>IF(AND('Lap ED'!G35='Peta Risiko'!$D$8,'Lap ED'!H35='Peta Risiko'!$F$9),'Lap ED'!A35,"")</f>
        <v/>
      </c>
      <c r="Y44" s="27" t="str">
        <f>IF(AND('Lap ED'!G35='Peta Risiko'!$D$8,'Lap ED'!H35='Peta Risiko'!$G$9),'Lap ED'!A35,"")</f>
        <v/>
      </c>
      <c r="Z44" s="27" t="str">
        <f>IF(AND('Lap ED'!G35='Peta Risiko'!$D$8,'Lap ED'!H35='Peta Risiko'!$H$9),'Lap ED'!A35,"")</f>
        <v/>
      </c>
      <c r="AA44" s="27" t="str">
        <f>IF(AND('Lap ED'!G35='Peta Risiko'!$D$8,'Lap ED'!H35='Peta Risiko'!$I$9),'Lap ED'!A35,"")</f>
        <v/>
      </c>
    </row>
    <row r="45" spans="2:27" hidden="1" x14ac:dyDescent="0.25">
      <c r="B45" s="27">
        <f t="shared" si="5"/>
        <v>31</v>
      </c>
      <c r="C45" s="27" t="str">
        <f>IF(AND('Lap ED'!G36='Peta Risiko'!$D$4,'Lap ED'!H36='Peta Risiko'!$E$9),'Lap ED'!A36,"")</f>
        <v/>
      </c>
      <c r="D45" s="27" t="str">
        <f>IF(AND('Lap ED'!G36='Peta Risiko'!$D$4,'Lap ED'!H36='Peta Risiko'!$F$9),'Lap ED'!A36,"")</f>
        <v/>
      </c>
      <c r="E45" s="27" t="str">
        <f>IF(AND('Lap ED'!G36='Peta Risiko'!$D$4,'Lap ED'!H36='Peta Risiko'!$G$9),'Lap ED'!A36,"")</f>
        <v/>
      </c>
      <c r="F45" s="27" t="str">
        <f>IF(AND('Lap ED'!G36='Peta Risiko'!$D$4,'Lap ED'!H36='Peta Risiko'!$H$9),'Lap ED'!A36,"")</f>
        <v/>
      </c>
      <c r="G45" s="27" t="str">
        <f>IF(AND('Lap ED'!G36='Peta Risiko'!$D$4,'Lap ED'!H36='Peta Risiko'!$I$9),'Lap ED'!A36,"")</f>
        <v/>
      </c>
      <c r="H45" s="27" t="str">
        <f>IF(AND('Lap ED'!G36='Peta Risiko'!$D$5,'Lap ED'!H36='Peta Risiko'!$E$9),'Lap ED'!A36,"")</f>
        <v/>
      </c>
      <c r="I45" s="27" t="str">
        <f>IF(AND('Lap ED'!G36='Peta Risiko'!$D$5,'Lap ED'!H36='Peta Risiko'!$F$9),'Lap ED'!A36,"")</f>
        <v/>
      </c>
      <c r="J45" s="27" t="str">
        <f>IF(AND('Lap ED'!G36='Peta Risiko'!$D$5,'Lap ED'!H36='Peta Risiko'!$G$9),'Lap ED'!A36,"")</f>
        <v/>
      </c>
      <c r="K45" s="27" t="str">
        <f>IF(AND('Lap ED'!G36='Peta Risiko'!$D$5,'Lap ED'!H36='Peta Risiko'!$H$9),'Lap ED'!A36,"")</f>
        <v/>
      </c>
      <c r="L45" s="27" t="str">
        <f>IF(AND('Lap ED'!G36='Peta Risiko'!$D$5,'Lap ED'!H36='Peta Risiko'!$I$9),'Lap ED'!A36,"")</f>
        <v/>
      </c>
      <c r="M45" s="27" t="str">
        <f>IF(AND('Lap ED'!G36='Peta Risiko'!$D$6,'Lap ED'!H36='Peta Risiko'!$E$9),'Lap ED'!A36,"")</f>
        <v/>
      </c>
      <c r="N45" s="27" t="str">
        <f>IF(AND('Lap ED'!G36='Peta Risiko'!$D$6,'Lap ED'!H36='Peta Risiko'!$F$9),'Lap ED'!A36,"")</f>
        <v/>
      </c>
      <c r="O45" s="27" t="str">
        <f>IF(AND('Lap ED'!G36='Peta Risiko'!$D$6,'Lap ED'!H36='Peta Risiko'!$G$9),'Lap ED'!A36,"")</f>
        <v/>
      </c>
      <c r="P45" s="27" t="str">
        <f>IF(AND('Lap ED'!G36='Peta Risiko'!$D$6,'Lap ED'!H36='Peta Risiko'!$H$9),'Lap ED'!A36,"")</f>
        <v/>
      </c>
      <c r="Q45" s="27" t="str">
        <f>IF(AND('Lap ED'!G36='Peta Risiko'!$D$6,'Lap ED'!H36='Peta Risiko'!$I$9),'Lap ED'!A36,"")</f>
        <v/>
      </c>
      <c r="R45" s="27" t="str">
        <f>IF(AND('Lap ED'!G36='Peta Risiko'!$D$7,'Lap ED'!H36='Peta Risiko'!$E$9),'Lap ED'!A36,"")</f>
        <v/>
      </c>
      <c r="S45" s="27" t="str">
        <f>IF(AND('Lap ED'!G36='Peta Risiko'!$D$7,'Lap ED'!H36='Peta Risiko'!$F$9),'Lap ED'!A36,"")</f>
        <v/>
      </c>
      <c r="T45" s="27" t="str">
        <f>IF(AND('Lap ED'!G36='Peta Risiko'!$D$7,'Lap ED'!H36='Peta Risiko'!$G$9),'Lap ED'!A36,"")</f>
        <v/>
      </c>
      <c r="U45" s="27" t="str">
        <f>IF(AND('Lap ED'!G36='Peta Risiko'!$D$7,'Lap ED'!H36='Peta Risiko'!$H$9),'Lap ED'!A36,"")</f>
        <v/>
      </c>
      <c r="V45" s="27" t="str">
        <f>IF(AND('Lap ED'!G36='Peta Risiko'!$D$7,'Lap ED'!H36='Peta Risiko'!$I$9),'Lap ED'!A36,"")</f>
        <v/>
      </c>
      <c r="W45" s="27" t="str">
        <f>IF(AND('Lap ED'!G36='Peta Risiko'!$D$8,'Lap ED'!H36='Peta Risiko'!$E$9),'Lap ED'!A36,"")</f>
        <v/>
      </c>
      <c r="X45" s="27" t="str">
        <f>IF(AND('Lap ED'!G36='Peta Risiko'!$D$8,'Lap ED'!H36='Peta Risiko'!$F$9),'Lap ED'!A36,"")</f>
        <v/>
      </c>
      <c r="Y45" s="27" t="str">
        <f>IF(AND('Lap ED'!G36='Peta Risiko'!$D$8,'Lap ED'!H36='Peta Risiko'!$G$9),'Lap ED'!A36,"")</f>
        <v/>
      </c>
      <c r="Z45" s="27" t="str">
        <f>IF(AND('Lap ED'!G36='Peta Risiko'!$D$8,'Lap ED'!H36='Peta Risiko'!$H$9),'Lap ED'!A36,"")</f>
        <v/>
      </c>
      <c r="AA45" s="27" t="str">
        <f>IF(AND('Lap ED'!G36='Peta Risiko'!$D$8,'Lap ED'!H36='Peta Risiko'!$I$9),'Lap ED'!A36,"")</f>
        <v/>
      </c>
    </row>
    <row r="46" spans="2:27" hidden="1" x14ac:dyDescent="0.25">
      <c r="B46" s="27">
        <f t="shared" si="5"/>
        <v>32</v>
      </c>
      <c r="C46" s="27" t="str">
        <f>IF(AND('Lap ED'!G37='Peta Risiko'!$D$4,'Lap ED'!H37='Peta Risiko'!$E$9),'Lap ED'!A37,"")</f>
        <v/>
      </c>
      <c r="D46" s="27" t="str">
        <f>IF(AND('Lap ED'!G37='Peta Risiko'!$D$4,'Lap ED'!H37='Peta Risiko'!$F$9),'Lap ED'!A37,"")</f>
        <v/>
      </c>
      <c r="E46" s="27" t="str">
        <f>IF(AND('Lap ED'!G37='Peta Risiko'!$D$4,'Lap ED'!H37='Peta Risiko'!$G$9),'Lap ED'!A37,"")</f>
        <v/>
      </c>
      <c r="F46" s="27" t="str">
        <f>IF(AND('Lap ED'!G37='Peta Risiko'!$D$4,'Lap ED'!H37='Peta Risiko'!$H$9),'Lap ED'!A37,"")</f>
        <v/>
      </c>
      <c r="G46" s="27" t="str">
        <f>IF(AND('Lap ED'!G37='Peta Risiko'!$D$4,'Lap ED'!H37='Peta Risiko'!$I$9),'Lap ED'!A37,"")</f>
        <v/>
      </c>
      <c r="H46" s="27" t="str">
        <f>IF(AND('Lap ED'!G37='Peta Risiko'!$D$5,'Lap ED'!H37='Peta Risiko'!$E$9),'Lap ED'!A37,"")</f>
        <v/>
      </c>
      <c r="I46" s="27" t="str">
        <f>IF(AND('Lap ED'!G37='Peta Risiko'!$D$5,'Lap ED'!H37='Peta Risiko'!$F$9),'Lap ED'!A37,"")</f>
        <v/>
      </c>
      <c r="J46" s="27" t="str">
        <f>IF(AND('Lap ED'!G37='Peta Risiko'!$D$5,'Lap ED'!H37='Peta Risiko'!$G$9),'Lap ED'!A37,"")</f>
        <v/>
      </c>
      <c r="K46" s="27" t="str">
        <f>IF(AND('Lap ED'!G37='Peta Risiko'!$D$5,'Lap ED'!H37='Peta Risiko'!$H$9),'Lap ED'!A37,"")</f>
        <v/>
      </c>
      <c r="L46" s="27" t="str">
        <f>IF(AND('Lap ED'!G37='Peta Risiko'!$D$5,'Lap ED'!H37='Peta Risiko'!$I$9),'Lap ED'!A37,"")</f>
        <v/>
      </c>
      <c r="M46" s="27" t="str">
        <f>IF(AND('Lap ED'!G37='Peta Risiko'!$D$6,'Lap ED'!H37='Peta Risiko'!$E$9),'Lap ED'!A37,"")</f>
        <v/>
      </c>
      <c r="N46" s="27" t="str">
        <f>IF(AND('Lap ED'!G37='Peta Risiko'!$D$6,'Lap ED'!H37='Peta Risiko'!$F$9),'Lap ED'!A37,"")</f>
        <v/>
      </c>
      <c r="O46" s="27" t="str">
        <f>IF(AND('Lap ED'!G37='Peta Risiko'!$D$6,'Lap ED'!H37='Peta Risiko'!$G$9),'Lap ED'!A37,"")</f>
        <v/>
      </c>
      <c r="P46" s="27" t="str">
        <f>IF(AND('Lap ED'!G37='Peta Risiko'!$D$6,'Lap ED'!H37='Peta Risiko'!$H$9),'Lap ED'!A37,"")</f>
        <v/>
      </c>
      <c r="Q46" s="27" t="str">
        <f>IF(AND('Lap ED'!G37='Peta Risiko'!$D$6,'Lap ED'!H37='Peta Risiko'!$I$9),'Lap ED'!A37,"")</f>
        <v/>
      </c>
      <c r="R46" s="27" t="str">
        <f>IF(AND('Lap ED'!G37='Peta Risiko'!$D$7,'Lap ED'!H37='Peta Risiko'!$E$9),'Lap ED'!A37,"")</f>
        <v/>
      </c>
      <c r="S46" s="27" t="str">
        <f>IF(AND('Lap ED'!G37='Peta Risiko'!$D$7,'Lap ED'!H37='Peta Risiko'!$F$9),'Lap ED'!A37,"")</f>
        <v/>
      </c>
      <c r="T46" s="27" t="str">
        <f>IF(AND('Lap ED'!G37='Peta Risiko'!$D$7,'Lap ED'!H37='Peta Risiko'!$G$9),'Lap ED'!A37,"")</f>
        <v/>
      </c>
      <c r="U46" s="27" t="str">
        <f>IF(AND('Lap ED'!G37='Peta Risiko'!$D$7,'Lap ED'!H37='Peta Risiko'!$H$9),'Lap ED'!A37,"")</f>
        <v/>
      </c>
      <c r="V46" s="27" t="str">
        <f>IF(AND('Lap ED'!G37='Peta Risiko'!$D$7,'Lap ED'!H37='Peta Risiko'!$I$9),'Lap ED'!A37,"")</f>
        <v/>
      </c>
      <c r="W46" s="27">
        <f>IF(AND('Lap ED'!G37='Peta Risiko'!$D$8,'Lap ED'!H37='Peta Risiko'!$E$9),'Lap ED'!A37,"")</f>
        <v>27</v>
      </c>
      <c r="X46" s="27" t="str">
        <f>IF(AND('Lap ED'!G37='Peta Risiko'!$D$8,'Lap ED'!H37='Peta Risiko'!$F$9),'Lap ED'!A37,"")</f>
        <v/>
      </c>
      <c r="Y46" s="27" t="str">
        <f>IF(AND('Lap ED'!G37='Peta Risiko'!$D$8,'Lap ED'!H37='Peta Risiko'!$G$9),'Lap ED'!A37,"")</f>
        <v/>
      </c>
      <c r="Z46" s="27" t="str">
        <f>IF(AND('Lap ED'!G37='Peta Risiko'!$D$8,'Lap ED'!H37='Peta Risiko'!$H$9),'Lap ED'!A37,"")</f>
        <v/>
      </c>
      <c r="AA46" s="27" t="str">
        <f>IF(AND('Lap ED'!G37='Peta Risiko'!$D$8,'Lap ED'!H37='Peta Risiko'!$I$9),'Lap ED'!A37,"")</f>
        <v/>
      </c>
    </row>
    <row r="47" spans="2:27" hidden="1" x14ac:dyDescent="0.25">
      <c r="B47" s="27">
        <f t="shared" si="5"/>
        <v>33</v>
      </c>
      <c r="C47" s="27" t="str">
        <f>IF(AND('Lap ED'!G38='Peta Risiko'!$D$4,'Lap ED'!H38='Peta Risiko'!$E$9),'Lap ED'!A38,"")</f>
        <v/>
      </c>
      <c r="D47" s="27" t="str">
        <f>IF(AND('Lap ED'!G38='Peta Risiko'!$D$4,'Lap ED'!H38='Peta Risiko'!$F$9),'Lap ED'!A38,"")</f>
        <v/>
      </c>
      <c r="E47" s="27" t="str">
        <f>IF(AND('Lap ED'!G38='Peta Risiko'!$D$4,'Lap ED'!H38='Peta Risiko'!$G$9),'Lap ED'!A38,"")</f>
        <v/>
      </c>
      <c r="F47" s="27" t="str">
        <f>IF(AND('Lap ED'!G38='Peta Risiko'!$D$4,'Lap ED'!H38='Peta Risiko'!$H$9),'Lap ED'!A38,"")</f>
        <v/>
      </c>
      <c r="G47" s="27" t="str">
        <f>IF(AND('Lap ED'!G38='Peta Risiko'!$D$4,'Lap ED'!H38='Peta Risiko'!$I$9),'Lap ED'!A38,"")</f>
        <v/>
      </c>
      <c r="H47" s="27" t="str">
        <f>IF(AND('Lap ED'!G38='Peta Risiko'!$D$5,'Lap ED'!H38='Peta Risiko'!$E$9),'Lap ED'!A38,"")</f>
        <v/>
      </c>
      <c r="I47" s="27" t="str">
        <f>IF(AND('Lap ED'!G38='Peta Risiko'!$D$5,'Lap ED'!H38='Peta Risiko'!$F$9),'Lap ED'!A38,"")</f>
        <v/>
      </c>
      <c r="J47" s="27" t="str">
        <f>IF(AND('Lap ED'!G38='Peta Risiko'!$D$5,'Lap ED'!H38='Peta Risiko'!$G$9),'Lap ED'!A38,"")</f>
        <v/>
      </c>
      <c r="K47" s="27" t="str">
        <f>IF(AND('Lap ED'!G38='Peta Risiko'!$D$5,'Lap ED'!H38='Peta Risiko'!$H$9),'Lap ED'!A38,"")</f>
        <v/>
      </c>
      <c r="L47" s="27" t="str">
        <f>IF(AND('Lap ED'!G38='Peta Risiko'!$D$5,'Lap ED'!H38='Peta Risiko'!$I$9),'Lap ED'!A38,"")</f>
        <v/>
      </c>
      <c r="M47" s="27" t="str">
        <f>IF(AND('Lap ED'!G38='Peta Risiko'!$D$6,'Lap ED'!H38='Peta Risiko'!$E$9),'Lap ED'!A38,"")</f>
        <v/>
      </c>
      <c r="N47" s="27" t="str">
        <f>IF(AND('Lap ED'!G38='Peta Risiko'!$D$6,'Lap ED'!H38='Peta Risiko'!$F$9),'Lap ED'!A38,"")</f>
        <v/>
      </c>
      <c r="O47" s="27" t="str">
        <f>IF(AND('Lap ED'!G38='Peta Risiko'!$D$6,'Lap ED'!H38='Peta Risiko'!$G$9),'Lap ED'!A38,"")</f>
        <v/>
      </c>
      <c r="P47" s="27" t="str">
        <f>IF(AND('Lap ED'!G38='Peta Risiko'!$D$6,'Lap ED'!H38='Peta Risiko'!$H$9),'Lap ED'!A38,"")</f>
        <v/>
      </c>
      <c r="Q47" s="27" t="str">
        <f>IF(AND('Lap ED'!G38='Peta Risiko'!$D$6,'Lap ED'!H38='Peta Risiko'!$I$9),'Lap ED'!A38,"")</f>
        <v/>
      </c>
      <c r="R47" s="27" t="str">
        <f>IF(AND('Lap ED'!G38='Peta Risiko'!$D$7,'Lap ED'!H38='Peta Risiko'!$E$9),'Lap ED'!A38,"")</f>
        <v/>
      </c>
      <c r="S47" s="27" t="str">
        <f>IF(AND('Lap ED'!G38='Peta Risiko'!$D$7,'Lap ED'!H38='Peta Risiko'!$F$9),'Lap ED'!A38,"")</f>
        <v/>
      </c>
      <c r="T47" s="27" t="str">
        <f>IF(AND('Lap ED'!G38='Peta Risiko'!$D$7,'Lap ED'!H38='Peta Risiko'!$G$9),'Lap ED'!A38,"")</f>
        <v/>
      </c>
      <c r="U47" s="27" t="str">
        <f>IF(AND('Lap ED'!G38='Peta Risiko'!$D$7,'Lap ED'!H38='Peta Risiko'!$H$9),'Lap ED'!A38,"")</f>
        <v/>
      </c>
      <c r="V47" s="27" t="str">
        <f>IF(AND('Lap ED'!G38='Peta Risiko'!$D$7,'Lap ED'!H38='Peta Risiko'!$I$9),'Lap ED'!A38,"")</f>
        <v/>
      </c>
      <c r="W47" s="27">
        <f>IF(AND('Lap ED'!G38='Peta Risiko'!$D$8,'Lap ED'!H38='Peta Risiko'!$E$9),'Lap ED'!A38,"")</f>
        <v>28</v>
      </c>
      <c r="X47" s="27" t="str">
        <f>IF(AND('Lap ED'!G38='Peta Risiko'!$D$8,'Lap ED'!H38='Peta Risiko'!$F$9),'Lap ED'!A38,"")</f>
        <v/>
      </c>
      <c r="Y47" s="27" t="str">
        <f>IF(AND('Lap ED'!G38='Peta Risiko'!$D$8,'Lap ED'!H38='Peta Risiko'!$G$9),'Lap ED'!A38,"")</f>
        <v/>
      </c>
      <c r="Z47" s="27" t="str">
        <f>IF(AND('Lap ED'!G38='Peta Risiko'!$D$8,'Lap ED'!H38='Peta Risiko'!$H$9),'Lap ED'!A38,"")</f>
        <v/>
      </c>
      <c r="AA47" s="27" t="str">
        <f>IF(AND('Lap ED'!G38='Peta Risiko'!$D$8,'Lap ED'!H38='Peta Risiko'!$I$9),'Lap ED'!A38,"")</f>
        <v/>
      </c>
    </row>
    <row r="48" spans="2:27" hidden="1" x14ac:dyDescent="0.25">
      <c r="B48" s="27">
        <f t="shared" si="5"/>
        <v>34</v>
      </c>
      <c r="C48" s="27" t="str">
        <f>IF(AND('Lap ED'!G39='Peta Risiko'!$D$4,'Lap ED'!H39='Peta Risiko'!$E$9),'Lap ED'!A39,"")</f>
        <v/>
      </c>
      <c r="D48" s="27" t="str">
        <f>IF(AND('Lap ED'!G39='Peta Risiko'!$D$4,'Lap ED'!H39='Peta Risiko'!$F$9),'Lap ED'!A39,"")</f>
        <v/>
      </c>
      <c r="E48" s="27" t="str">
        <f>IF(AND('Lap ED'!G39='Peta Risiko'!$D$4,'Lap ED'!H39='Peta Risiko'!$G$9),'Lap ED'!A39,"")</f>
        <v/>
      </c>
      <c r="F48" s="27" t="str">
        <f>IF(AND('Lap ED'!G39='Peta Risiko'!$D$4,'Lap ED'!H39='Peta Risiko'!$H$9),'Lap ED'!A39,"")</f>
        <v/>
      </c>
      <c r="G48" s="27" t="str">
        <f>IF(AND('Lap ED'!G39='Peta Risiko'!$D$4,'Lap ED'!H39='Peta Risiko'!$I$9),'Lap ED'!A39,"")</f>
        <v/>
      </c>
      <c r="H48" s="27" t="str">
        <f>IF(AND('Lap ED'!G39='Peta Risiko'!$D$5,'Lap ED'!H39='Peta Risiko'!$E$9),'Lap ED'!A39,"")</f>
        <v/>
      </c>
      <c r="I48" s="27" t="str">
        <f>IF(AND('Lap ED'!G39='Peta Risiko'!$D$5,'Lap ED'!H39='Peta Risiko'!$F$9),'Lap ED'!A39,"")</f>
        <v/>
      </c>
      <c r="J48" s="27" t="str">
        <f>IF(AND('Lap ED'!G39='Peta Risiko'!$D$5,'Lap ED'!H39='Peta Risiko'!$G$9),'Lap ED'!A39,"")</f>
        <v/>
      </c>
      <c r="K48" s="27" t="str">
        <f>IF(AND('Lap ED'!G39='Peta Risiko'!$D$5,'Lap ED'!H39='Peta Risiko'!$H$9),'Lap ED'!A39,"")</f>
        <v/>
      </c>
      <c r="L48" s="27" t="str">
        <f>IF(AND('Lap ED'!G39='Peta Risiko'!$D$5,'Lap ED'!H39='Peta Risiko'!$I$9),'Lap ED'!A39,"")</f>
        <v/>
      </c>
      <c r="M48" s="27" t="str">
        <f>IF(AND('Lap ED'!G39='Peta Risiko'!$D$6,'Lap ED'!H39='Peta Risiko'!$E$9),'Lap ED'!A39,"")</f>
        <v/>
      </c>
      <c r="N48" s="27" t="str">
        <f>IF(AND('Lap ED'!G39='Peta Risiko'!$D$6,'Lap ED'!H39='Peta Risiko'!$F$9),'Lap ED'!A39,"")</f>
        <v/>
      </c>
      <c r="O48" s="27" t="str">
        <f>IF(AND('Lap ED'!G39='Peta Risiko'!$D$6,'Lap ED'!H39='Peta Risiko'!$G$9),'Lap ED'!A39,"")</f>
        <v/>
      </c>
      <c r="P48" s="27" t="str">
        <f>IF(AND('Lap ED'!G39='Peta Risiko'!$D$6,'Lap ED'!H39='Peta Risiko'!$H$9),'Lap ED'!A39,"")</f>
        <v/>
      </c>
      <c r="Q48" s="27" t="str">
        <f>IF(AND('Lap ED'!G39='Peta Risiko'!$D$6,'Lap ED'!H39='Peta Risiko'!$I$9),'Lap ED'!A39,"")</f>
        <v/>
      </c>
      <c r="R48" s="27" t="str">
        <f>IF(AND('Lap ED'!G39='Peta Risiko'!$D$7,'Lap ED'!H39='Peta Risiko'!$E$9),'Lap ED'!A39,"")</f>
        <v/>
      </c>
      <c r="S48" s="27" t="str">
        <f>IF(AND('Lap ED'!G39='Peta Risiko'!$D$7,'Lap ED'!H39='Peta Risiko'!$F$9),'Lap ED'!A39,"")</f>
        <v/>
      </c>
      <c r="T48" s="27" t="str">
        <f>IF(AND('Lap ED'!G39='Peta Risiko'!$D$7,'Lap ED'!H39='Peta Risiko'!$G$9),'Lap ED'!A39,"")</f>
        <v/>
      </c>
      <c r="U48" s="27" t="str">
        <f>IF(AND('Lap ED'!G39='Peta Risiko'!$D$7,'Lap ED'!H39='Peta Risiko'!$H$9),'Lap ED'!A39,"")</f>
        <v/>
      </c>
      <c r="V48" s="27" t="str">
        <f>IF(AND('Lap ED'!G39='Peta Risiko'!$D$7,'Lap ED'!H39='Peta Risiko'!$I$9),'Lap ED'!A39,"")</f>
        <v/>
      </c>
      <c r="W48" s="27">
        <f>IF(AND('Lap ED'!G39='Peta Risiko'!$D$8,'Lap ED'!H39='Peta Risiko'!$E$9),'Lap ED'!A39,"")</f>
        <v>29</v>
      </c>
      <c r="X48" s="27" t="str">
        <f>IF(AND('Lap ED'!G39='Peta Risiko'!$D$8,'Lap ED'!H39='Peta Risiko'!$F$9),'Lap ED'!A39,"")</f>
        <v/>
      </c>
      <c r="Y48" s="27" t="str">
        <f>IF(AND('Lap ED'!G39='Peta Risiko'!$D$8,'Lap ED'!H39='Peta Risiko'!$G$9),'Lap ED'!A39,"")</f>
        <v/>
      </c>
      <c r="Z48" s="27" t="str">
        <f>IF(AND('Lap ED'!G39='Peta Risiko'!$D$8,'Lap ED'!H39='Peta Risiko'!$H$9),'Lap ED'!A39,"")</f>
        <v/>
      </c>
      <c r="AA48" s="27" t="str">
        <f>IF(AND('Lap ED'!G39='Peta Risiko'!$D$8,'Lap ED'!H39='Peta Risiko'!$I$9),'Lap ED'!A39,"")</f>
        <v/>
      </c>
    </row>
    <row r="49" spans="2:27" hidden="1" x14ac:dyDescent="0.25">
      <c r="B49" s="27">
        <f t="shared" si="5"/>
        <v>35</v>
      </c>
      <c r="C49" s="27" t="str">
        <f>IF(AND('Lap ED'!G40='Peta Risiko'!$D$4,'Lap ED'!H40='Peta Risiko'!$E$9),'Lap ED'!A40,"")</f>
        <v/>
      </c>
      <c r="D49" s="27" t="str">
        <f>IF(AND('Lap ED'!G40='Peta Risiko'!$D$4,'Lap ED'!H40='Peta Risiko'!$F$9),'Lap ED'!A40,"")</f>
        <v/>
      </c>
      <c r="E49" s="27" t="str">
        <f>IF(AND('Lap ED'!G40='Peta Risiko'!$D$4,'Lap ED'!H40='Peta Risiko'!$G$9),'Lap ED'!A40,"")</f>
        <v/>
      </c>
      <c r="F49" s="27" t="str">
        <f>IF(AND('Lap ED'!G40='Peta Risiko'!$D$4,'Lap ED'!H40='Peta Risiko'!$H$9),'Lap ED'!A40,"")</f>
        <v/>
      </c>
      <c r="G49" s="27" t="str">
        <f>IF(AND('Lap ED'!G40='Peta Risiko'!$D$4,'Lap ED'!H40='Peta Risiko'!$I$9),'Lap ED'!A40,"")</f>
        <v/>
      </c>
      <c r="H49" s="27" t="str">
        <f>IF(AND('Lap ED'!G40='Peta Risiko'!$D$5,'Lap ED'!H40='Peta Risiko'!$E$9),'Lap ED'!A40,"")</f>
        <v/>
      </c>
      <c r="I49" s="27" t="str">
        <f>IF(AND('Lap ED'!G40='Peta Risiko'!$D$5,'Lap ED'!H40='Peta Risiko'!$F$9),'Lap ED'!A40,"")</f>
        <v/>
      </c>
      <c r="J49" s="27" t="str">
        <f>IF(AND('Lap ED'!G40='Peta Risiko'!$D$5,'Lap ED'!H40='Peta Risiko'!$G$9),'Lap ED'!A40,"")</f>
        <v/>
      </c>
      <c r="K49" s="27" t="str">
        <f>IF(AND('Lap ED'!G40='Peta Risiko'!$D$5,'Lap ED'!H40='Peta Risiko'!$H$9),'Lap ED'!A40,"")</f>
        <v/>
      </c>
      <c r="L49" s="27" t="str">
        <f>IF(AND('Lap ED'!G40='Peta Risiko'!$D$5,'Lap ED'!H40='Peta Risiko'!$I$9),'Lap ED'!A40,"")</f>
        <v/>
      </c>
      <c r="M49" s="27" t="str">
        <f>IF(AND('Lap ED'!G40='Peta Risiko'!$D$6,'Lap ED'!H40='Peta Risiko'!$E$9),'Lap ED'!A40,"")</f>
        <v/>
      </c>
      <c r="N49" s="27" t="str">
        <f>IF(AND('Lap ED'!G40='Peta Risiko'!$D$6,'Lap ED'!H40='Peta Risiko'!$F$9),'Lap ED'!A40,"")</f>
        <v/>
      </c>
      <c r="O49" s="27" t="str">
        <f>IF(AND('Lap ED'!G40='Peta Risiko'!$D$6,'Lap ED'!H40='Peta Risiko'!$G$9),'Lap ED'!A40,"")</f>
        <v/>
      </c>
      <c r="P49" s="27" t="str">
        <f>IF(AND('Lap ED'!G40='Peta Risiko'!$D$6,'Lap ED'!H40='Peta Risiko'!$H$9),'Lap ED'!A40,"")</f>
        <v/>
      </c>
      <c r="Q49" s="27" t="str">
        <f>IF(AND('Lap ED'!G40='Peta Risiko'!$D$6,'Lap ED'!H40='Peta Risiko'!$I$9),'Lap ED'!A40,"")</f>
        <v/>
      </c>
      <c r="R49" s="27" t="str">
        <f>IF(AND('Lap ED'!G40='Peta Risiko'!$D$7,'Lap ED'!H40='Peta Risiko'!$E$9),'Lap ED'!A40,"")</f>
        <v/>
      </c>
      <c r="S49" s="27" t="str">
        <f>IF(AND('Lap ED'!G40='Peta Risiko'!$D$7,'Lap ED'!H40='Peta Risiko'!$F$9),'Lap ED'!A40,"")</f>
        <v/>
      </c>
      <c r="T49" s="27" t="str">
        <f>IF(AND('Lap ED'!G40='Peta Risiko'!$D$7,'Lap ED'!H40='Peta Risiko'!$G$9),'Lap ED'!A40,"")</f>
        <v/>
      </c>
      <c r="U49" s="27" t="str">
        <f>IF(AND('Lap ED'!G40='Peta Risiko'!$D$7,'Lap ED'!H40='Peta Risiko'!$H$9),'Lap ED'!A40,"")</f>
        <v/>
      </c>
      <c r="V49" s="27" t="str">
        <f>IF(AND('Lap ED'!G40='Peta Risiko'!$D$7,'Lap ED'!H40='Peta Risiko'!$I$9),'Lap ED'!A40,"")</f>
        <v/>
      </c>
      <c r="W49" s="27">
        <f>IF(AND('Lap ED'!G40='Peta Risiko'!$D$8,'Lap ED'!H40='Peta Risiko'!$E$9),'Lap ED'!A40,"")</f>
        <v>30</v>
      </c>
      <c r="X49" s="27" t="str">
        <f>IF(AND('Lap ED'!G40='Peta Risiko'!$D$8,'Lap ED'!H40='Peta Risiko'!$F$9),'Lap ED'!A40,"")</f>
        <v/>
      </c>
      <c r="Y49" s="27" t="str">
        <f>IF(AND('Lap ED'!G40='Peta Risiko'!$D$8,'Lap ED'!H40='Peta Risiko'!$G$9),'Lap ED'!A40,"")</f>
        <v/>
      </c>
      <c r="Z49" s="27" t="str">
        <f>IF(AND('Lap ED'!G40='Peta Risiko'!$D$8,'Lap ED'!H40='Peta Risiko'!$H$9),'Lap ED'!A40,"")</f>
        <v/>
      </c>
      <c r="AA49" s="27" t="str">
        <f>IF(AND('Lap ED'!G40='Peta Risiko'!$D$8,'Lap ED'!H40='Peta Risiko'!$I$9),'Lap ED'!A40,"")</f>
        <v/>
      </c>
    </row>
    <row r="50" spans="2:27" hidden="1" x14ac:dyDescent="0.25">
      <c r="B50" s="27">
        <f t="shared" si="5"/>
        <v>36</v>
      </c>
      <c r="C50" s="27" t="str">
        <f>IF(AND('Lap ED'!G41='Peta Risiko'!$D$4,'Lap ED'!H41='Peta Risiko'!$E$9),'Lap ED'!A41,"")</f>
        <v/>
      </c>
      <c r="D50" s="27" t="str">
        <f>IF(AND('Lap ED'!G41='Peta Risiko'!$D$4,'Lap ED'!H41='Peta Risiko'!$F$9),'Lap ED'!A41,"")</f>
        <v/>
      </c>
      <c r="E50" s="27" t="str">
        <f>IF(AND('Lap ED'!G41='Peta Risiko'!$D$4,'Lap ED'!H41='Peta Risiko'!$G$9),'Lap ED'!A41,"")</f>
        <v/>
      </c>
      <c r="F50" s="27" t="str">
        <f>IF(AND('Lap ED'!G41='Peta Risiko'!$D$4,'Lap ED'!H41='Peta Risiko'!$H$9),'Lap ED'!A41,"")</f>
        <v/>
      </c>
      <c r="G50" s="27" t="str">
        <f>IF(AND('Lap ED'!G41='Peta Risiko'!$D$4,'Lap ED'!H41='Peta Risiko'!$I$9),'Lap ED'!A41,"")</f>
        <v/>
      </c>
      <c r="H50" s="27" t="str">
        <f>IF(AND('Lap ED'!G41='Peta Risiko'!$D$5,'Lap ED'!H41='Peta Risiko'!$E$9),'Lap ED'!A41,"")</f>
        <v/>
      </c>
      <c r="I50" s="27" t="str">
        <f>IF(AND('Lap ED'!G41='Peta Risiko'!$D$5,'Lap ED'!H41='Peta Risiko'!$F$9),'Lap ED'!A41,"")</f>
        <v/>
      </c>
      <c r="J50" s="27" t="str">
        <f>IF(AND('Lap ED'!G41='Peta Risiko'!$D$5,'Lap ED'!H41='Peta Risiko'!$G$9),'Lap ED'!A41,"")</f>
        <v/>
      </c>
      <c r="K50" s="27" t="str">
        <f>IF(AND('Lap ED'!G41='Peta Risiko'!$D$5,'Lap ED'!H41='Peta Risiko'!$H$9),'Lap ED'!A41,"")</f>
        <v/>
      </c>
      <c r="L50" s="27" t="str">
        <f>IF(AND('Lap ED'!G41='Peta Risiko'!$D$5,'Lap ED'!H41='Peta Risiko'!$I$9),'Lap ED'!A41,"")</f>
        <v/>
      </c>
      <c r="M50" s="27" t="str">
        <f>IF(AND('Lap ED'!G41='Peta Risiko'!$D$6,'Lap ED'!H41='Peta Risiko'!$E$9),'Lap ED'!A41,"")</f>
        <v/>
      </c>
      <c r="N50" s="27" t="str">
        <f>IF(AND('Lap ED'!G41='Peta Risiko'!$D$6,'Lap ED'!H41='Peta Risiko'!$F$9),'Lap ED'!A41,"")</f>
        <v/>
      </c>
      <c r="O50" s="27" t="str">
        <f>IF(AND('Lap ED'!G41='Peta Risiko'!$D$6,'Lap ED'!H41='Peta Risiko'!$G$9),'Lap ED'!A41,"")</f>
        <v/>
      </c>
      <c r="P50" s="27" t="str">
        <f>IF(AND('Lap ED'!G41='Peta Risiko'!$D$6,'Lap ED'!H41='Peta Risiko'!$H$9),'Lap ED'!A41,"")</f>
        <v/>
      </c>
      <c r="Q50" s="27" t="str">
        <f>IF(AND('Lap ED'!G41='Peta Risiko'!$D$6,'Lap ED'!H41='Peta Risiko'!$I$9),'Lap ED'!A41,"")</f>
        <v/>
      </c>
      <c r="R50" s="27" t="str">
        <f>IF(AND('Lap ED'!G41='Peta Risiko'!$D$7,'Lap ED'!H41='Peta Risiko'!$E$9),'Lap ED'!A41,"")</f>
        <v/>
      </c>
      <c r="S50" s="27" t="str">
        <f>IF(AND('Lap ED'!G41='Peta Risiko'!$D$7,'Lap ED'!H41='Peta Risiko'!$F$9),'Lap ED'!A41,"")</f>
        <v/>
      </c>
      <c r="T50" s="27" t="str">
        <f>IF(AND('Lap ED'!G41='Peta Risiko'!$D$7,'Lap ED'!H41='Peta Risiko'!$G$9),'Lap ED'!A41,"")</f>
        <v/>
      </c>
      <c r="U50" s="27" t="str">
        <f>IF(AND('Lap ED'!G41='Peta Risiko'!$D$7,'Lap ED'!H41='Peta Risiko'!$H$9),'Lap ED'!A41,"")</f>
        <v/>
      </c>
      <c r="V50" s="27" t="str">
        <f>IF(AND('Lap ED'!G41='Peta Risiko'!$D$7,'Lap ED'!H41='Peta Risiko'!$I$9),'Lap ED'!A41,"")</f>
        <v/>
      </c>
      <c r="W50" s="27">
        <f>IF(AND('Lap ED'!G41='Peta Risiko'!$D$8,'Lap ED'!H41='Peta Risiko'!$E$9),'Lap ED'!A41,"")</f>
        <v>31</v>
      </c>
      <c r="X50" s="27" t="str">
        <f>IF(AND('Lap ED'!G41='Peta Risiko'!$D$8,'Lap ED'!H41='Peta Risiko'!$F$9),'Lap ED'!A41,"")</f>
        <v/>
      </c>
      <c r="Y50" s="27" t="str">
        <f>IF(AND('Lap ED'!G41='Peta Risiko'!$D$8,'Lap ED'!H41='Peta Risiko'!$G$9),'Lap ED'!A41,"")</f>
        <v/>
      </c>
      <c r="Z50" s="27" t="str">
        <f>IF(AND('Lap ED'!G41='Peta Risiko'!$D$8,'Lap ED'!H41='Peta Risiko'!$H$9),'Lap ED'!A41,"")</f>
        <v/>
      </c>
      <c r="AA50" s="27" t="str">
        <f>IF(AND('Lap ED'!G41='Peta Risiko'!$D$8,'Lap ED'!H41='Peta Risiko'!$I$9),'Lap ED'!A41,"")</f>
        <v/>
      </c>
    </row>
    <row r="51" spans="2:27" hidden="1" x14ac:dyDescent="0.25">
      <c r="B51" s="27">
        <f t="shared" si="5"/>
        <v>37</v>
      </c>
      <c r="C51" s="27" t="str">
        <f>IF(AND('Lap ED'!G42='Peta Risiko'!$D$4,'Lap ED'!H42='Peta Risiko'!$E$9),'Lap ED'!A42,"")</f>
        <v/>
      </c>
      <c r="D51" s="27" t="str">
        <f>IF(AND('Lap ED'!G42='Peta Risiko'!$D$4,'Lap ED'!H42='Peta Risiko'!$F$9),'Lap ED'!A42,"")</f>
        <v/>
      </c>
      <c r="E51" s="27" t="str">
        <f>IF(AND('Lap ED'!G42='Peta Risiko'!$D$4,'Lap ED'!H42='Peta Risiko'!$G$9),'Lap ED'!A42,"")</f>
        <v/>
      </c>
      <c r="F51" s="27" t="str">
        <f>IF(AND('Lap ED'!G42='Peta Risiko'!$D$4,'Lap ED'!H42='Peta Risiko'!$H$9),'Lap ED'!A42,"")</f>
        <v/>
      </c>
      <c r="G51" s="27" t="str">
        <f>IF(AND('Lap ED'!G42='Peta Risiko'!$D$4,'Lap ED'!H42='Peta Risiko'!$I$9),'Lap ED'!A42,"")</f>
        <v/>
      </c>
      <c r="H51" s="27" t="str">
        <f>IF(AND('Lap ED'!G42='Peta Risiko'!$D$5,'Lap ED'!H42='Peta Risiko'!$E$9),'Lap ED'!A42,"")</f>
        <v/>
      </c>
      <c r="I51" s="27" t="str">
        <f>IF(AND('Lap ED'!G42='Peta Risiko'!$D$5,'Lap ED'!H42='Peta Risiko'!$F$9),'Lap ED'!A42,"")</f>
        <v/>
      </c>
      <c r="J51" s="27" t="str">
        <f>IF(AND('Lap ED'!G42='Peta Risiko'!$D$5,'Lap ED'!H42='Peta Risiko'!$G$9),'Lap ED'!A42,"")</f>
        <v/>
      </c>
      <c r="K51" s="27" t="str">
        <f>IF(AND('Lap ED'!G42='Peta Risiko'!$D$5,'Lap ED'!H42='Peta Risiko'!$H$9),'Lap ED'!A42,"")</f>
        <v/>
      </c>
      <c r="L51" s="27" t="str">
        <f>IF(AND('Lap ED'!G42='Peta Risiko'!$D$5,'Lap ED'!H42='Peta Risiko'!$I$9),'Lap ED'!A42,"")</f>
        <v/>
      </c>
      <c r="M51" s="27" t="str">
        <f>IF(AND('Lap ED'!G42='Peta Risiko'!$D$6,'Lap ED'!H42='Peta Risiko'!$E$9),'Lap ED'!A42,"")</f>
        <v/>
      </c>
      <c r="N51" s="27" t="str">
        <f>IF(AND('Lap ED'!G42='Peta Risiko'!$D$6,'Lap ED'!H42='Peta Risiko'!$F$9),'Lap ED'!A42,"")</f>
        <v/>
      </c>
      <c r="O51" s="27" t="str">
        <f>IF(AND('Lap ED'!G42='Peta Risiko'!$D$6,'Lap ED'!H42='Peta Risiko'!$G$9),'Lap ED'!A42,"")</f>
        <v/>
      </c>
      <c r="P51" s="27" t="str">
        <f>IF(AND('Lap ED'!G42='Peta Risiko'!$D$6,'Lap ED'!H42='Peta Risiko'!$H$9),'Lap ED'!A42,"")</f>
        <v/>
      </c>
      <c r="Q51" s="27" t="str">
        <f>IF(AND('Lap ED'!G42='Peta Risiko'!$D$6,'Lap ED'!H42='Peta Risiko'!$I$9),'Lap ED'!A42,"")</f>
        <v/>
      </c>
      <c r="R51" s="27" t="str">
        <f>IF(AND('Lap ED'!G42='Peta Risiko'!$D$7,'Lap ED'!H42='Peta Risiko'!$E$9),'Lap ED'!A42,"")</f>
        <v/>
      </c>
      <c r="S51" s="27" t="str">
        <f>IF(AND('Lap ED'!G42='Peta Risiko'!$D$7,'Lap ED'!H42='Peta Risiko'!$F$9),'Lap ED'!A42,"")</f>
        <v/>
      </c>
      <c r="T51" s="27" t="str">
        <f>IF(AND('Lap ED'!G42='Peta Risiko'!$D$7,'Lap ED'!H42='Peta Risiko'!$G$9),'Lap ED'!A42,"")</f>
        <v/>
      </c>
      <c r="U51" s="27" t="str">
        <f>IF(AND('Lap ED'!G42='Peta Risiko'!$D$7,'Lap ED'!H42='Peta Risiko'!$H$9),'Lap ED'!A42,"")</f>
        <v/>
      </c>
      <c r="V51" s="27" t="str">
        <f>IF(AND('Lap ED'!G42='Peta Risiko'!$D$7,'Lap ED'!H42='Peta Risiko'!$I$9),'Lap ED'!A42,"")</f>
        <v/>
      </c>
      <c r="W51" s="27">
        <f>IF(AND('Lap ED'!G42='Peta Risiko'!$D$8,'Lap ED'!H42='Peta Risiko'!$E$9),'Lap ED'!A42,"")</f>
        <v>32</v>
      </c>
      <c r="X51" s="27" t="str">
        <f>IF(AND('Lap ED'!G42='Peta Risiko'!$D$8,'Lap ED'!H42='Peta Risiko'!$F$9),'Lap ED'!A42,"")</f>
        <v/>
      </c>
      <c r="Y51" s="27" t="str">
        <f>IF(AND('Lap ED'!G42='Peta Risiko'!$D$8,'Lap ED'!H42='Peta Risiko'!$G$9),'Lap ED'!A42,"")</f>
        <v/>
      </c>
      <c r="Z51" s="27" t="str">
        <f>IF(AND('Lap ED'!G42='Peta Risiko'!$D$8,'Lap ED'!H42='Peta Risiko'!$H$9),'Lap ED'!A42,"")</f>
        <v/>
      </c>
      <c r="AA51" s="27" t="str">
        <f>IF(AND('Lap ED'!G42='Peta Risiko'!$D$8,'Lap ED'!H42='Peta Risiko'!$I$9),'Lap ED'!A42,"")</f>
        <v/>
      </c>
    </row>
    <row r="52" spans="2:27" hidden="1" x14ac:dyDescent="0.25">
      <c r="B52" s="27">
        <f t="shared" si="5"/>
        <v>38</v>
      </c>
      <c r="C52" s="27" t="str">
        <f>IF(AND('Lap ED'!G43='Peta Risiko'!$D$4,'Lap ED'!H43='Peta Risiko'!$E$9),'Lap ED'!A43,"")</f>
        <v/>
      </c>
      <c r="D52" s="27" t="str">
        <f>IF(AND('Lap ED'!G43='Peta Risiko'!$D$4,'Lap ED'!H43='Peta Risiko'!$F$9),'Lap ED'!A43,"")</f>
        <v/>
      </c>
      <c r="E52" s="27" t="str">
        <f>IF(AND('Lap ED'!G43='Peta Risiko'!$D$4,'Lap ED'!H43='Peta Risiko'!$G$9),'Lap ED'!A43,"")</f>
        <v/>
      </c>
      <c r="F52" s="27" t="str">
        <f>IF(AND('Lap ED'!G43='Peta Risiko'!$D$4,'Lap ED'!H43='Peta Risiko'!$H$9),'Lap ED'!A43,"")</f>
        <v/>
      </c>
      <c r="G52" s="27" t="str">
        <f>IF(AND('Lap ED'!G43='Peta Risiko'!$D$4,'Lap ED'!H43='Peta Risiko'!$I$9),'Lap ED'!A43,"")</f>
        <v/>
      </c>
      <c r="H52" s="27" t="str">
        <f>IF(AND('Lap ED'!G43='Peta Risiko'!$D$5,'Lap ED'!H43='Peta Risiko'!$E$9),'Lap ED'!A43,"")</f>
        <v/>
      </c>
      <c r="I52" s="27" t="str">
        <f>IF(AND('Lap ED'!G43='Peta Risiko'!$D$5,'Lap ED'!H43='Peta Risiko'!$F$9),'Lap ED'!A43,"")</f>
        <v/>
      </c>
      <c r="J52" s="27" t="str">
        <f>IF(AND('Lap ED'!G43='Peta Risiko'!$D$5,'Lap ED'!H43='Peta Risiko'!$G$9),'Lap ED'!A43,"")</f>
        <v/>
      </c>
      <c r="K52" s="27" t="str">
        <f>IF(AND('Lap ED'!G43='Peta Risiko'!$D$5,'Lap ED'!H43='Peta Risiko'!$H$9),'Lap ED'!A43,"")</f>
        <v/>
      </c>
      <c r="L52" s="27" t="str">
        <f>IF(AND('Lap ED'!G43='Peta Risiko'!$D$5,'Lap ED'!H43='Peta Risiko'!$I$9),'Lap ED'!A43,"")</f>
        <v/>
      </c>
      <c r="M52" s="27" t="str">
        <f>IF(AND('Lap ED'!G43='Peta Risiko'!$D$6,'Lap ED'!H43='Peta Risiko'!$E$9),'Lap ED'!A43,"")</f>
        <v/>
      </c>
      <c r="N52" s="27" t="str">
        <f>IF(AND('Lap ED'!G43='Peta Risiko'!$D$6,'Lap ED'!H43='Peta Risiko'!$F$9),'Lap ED'!A43,"")</f>
        <v/>
      </c>
      <c r="O52" s="27" t="str">
        <f>IF(AND('Lap ED'!G43='Peta Risiko'!$D$6,'Lap ED'!H43='Peta Risiko'!$G$9),'Lap ED'!A43,"")</f>
        <v/>
      </c>
      <c r="P52" s="27" t="str">
        <f>IF(AND('Lap ED'!G43='Peta Risiko'!$D$6,'Lap ED'!H43='Peta Risiko'!$H$9),'Lap ED'!A43,"")</f>
        <v/>
      </c>
      <c r="Q52" s="27" t="str">
        <f>IF(AND('Lap ED'!G43='Peta Risiko'!$D$6,'Lap ED'!H43='Peta Risiko'!$I$9),'Lap ED'!A43,"")</f>
        <v/>
      </c>
      <c r="R52" s="27" t="str">
        <f>IF(AND('Lap ED'!G43='Peta Risiko'!$D$7,'Lap ED'!H43='Peta Risiko'!$E$9),'Lap ED'!A43,"")</f>
        <v/>
      </c>
      <c r="S52" s="27" t="str">
        <f>IF(AND('Lap ED'!G43='Peta Risiko'!$D$7,'Lap ED'!H43='Peta Risiko'!$F$9),'Lap ED'!A43,"")</f>
        <v/>
      </c>
      <c r="T52" s="27" t="str">
        <f>IF(AND('Lap ED'!G43='Peta Risiko'!$D$7,'Lap ED'!H43='Peta Risiko'!$G$9),'Lap ED'!A43,"")</f>
        <v/>
      </c>
      <c r="U52" s="27" t="str">
        <f>IF(AND('Lap ED'!G43='Peta Risiko'!$D$7,'Lap ED'!H43='Peta Risiko'!$H$9),'Lap ED'!A43,"")</f>
        <v/>
      </c>
      <c r="V52" s="27" t="str">
        <f>IF(AND('Lap ED'!G43='Peta Risiko'!$D$7,'Lap ED'!H43='Peta Risiko'!$I$9),'Lap ED'!A43,"")</f>
        <v/>
      </c>
      <c r="W52" s="27">
        <f>IF(AND('Lap ED'!G43='Peta Risiko'!$D$8,'Lap ED'!H43='Peta Risiko'!$E$9),'Lap ED'!A43,"")</f>
        <v>33</v>
      </c>
      <c r="X52" s="27" t="str">
        <f>IF(AND('Lap ED'!G43='Peta Risiko'!$D$8,'Lap ED'!H43='Peta Risiko'!$F$9),'Lap ED'!A43,"")</f>
        <v/>
      </c>
      <c r="Y52" s="27" t="str">
        <f>IF(AND('Lap ED'!G43='Peta Risiko'!$D$8,'Lap ED'!H43='Peta Risiko'!$G$9),'Lap ED'!A43,"")</f>
        <v/>
      </c>
      <c r="Z52" s="27" t="str">
        <f>IF(AND('Lap ED'!G43='Peta Risiko'!$D$8,'Lap ED'!H43='Peta Risiko'!$H$9),'Lap ED'!A43,"")</f>
        <v/>
      </c>
      <c r="AA52" s="27" t="str">
        <f>IF(AND('Lap ED'!G43='Peta Risiko'!$D$8,'Lap ED'!H43='Peta Risiko'!$I$9),'Lap ED'!A43,"")</f>
        <v/>
      </c>
    </row>
    <row r="53" spans="2:27" hidden="1" x14ac:dyDescent="0.25">
      <c r="B53" s="27">
        <f t="shared" si="5"/>
        <v>39</v>
      </c>
      <c r="C53" s="27" t="str">
        <f>IF(AND('Lap ED'!G44='Peta Risiko'!$D$4,'Lap ED'!H44='Peta Risiko'!$E$9),'Lap ED'!A44,"")</f>
        <v/>
      </c>
      <c r="D53" s="27" t="str">
        <f>IF(AND('Lap ED'!G44='Peta Risiko'!$D$4,'Lap ED'!H44='Peta Risiko'!$F$9),'Lap ED'!A44,"")</f>
        <v/>
      </c>
      <c r="E53" s="27" t="str">
        <f>IF(AND('Lap ED'!G44='Peta Risiko'!$D$4,'Lap ED'!H44='Peta Risiko'!$G$9),'Lap ED'!A44,"")</f>
        <v/>
      </c>
      <c r="F53" s="27" t="str">
        <f>IF(AND('Lap ED'!G44='Peta Risiko'!$D$4,'Lap ED'!H44='Peta Risiko'!$H$9),'Lap ED'!A44,"")</f>
        <v/>
      </c>
      <c r="G53" s="27" t="str">
        <f>IF(AND('Lap ED'!G44='Peta Risiko'!$D$4,'Lap ED'!H44='Peta Risiko'!$I$9),'Lap ED'!A44,"")</f>
        <v/>
      </c>
      <c r="H53" s="27" t="str">
        <f>IF(AND('Lap ED'!G44='Peta Risiko'!$D$5,'Lap ED'!H44='Peta Risiko'!$E$9),'Lap ED'!A44,"")</f>
        <v/>
      </c>
      <c r="I53" s="27" t="str">
        <f>IF(AND('Lap ED'!G44='Peta Risiko'!$D$5,'Lap ED'!H44='Peta Risiko'!$F$9),'Lap ED'!A44,"")</f>
        <v/>
      </c>
      <c r="J53" s="27" t="str">
        <f>IF(AND('Lap ED'!G44='Peta Risiko'!$D$5,'Lap ED'!H44='Peta Risiko'!$G$9),'Lap ED'!A44,"")</f>
        <v/>
      </c>
      <c r="K53" s="27" t="str">
        <f>IF(AND('Lap ED'!G44='Peta Risiko'!$D$5,'Lap ED'!H44='Peta Risiko'!$H$9),'Lap ED'!A44,"")</f>
        <v/>
      </c>
      <c r="L53" s="27" t="str">
        <f>IF(AND('Lap ED'!G44='Peta Risiko'!$D$5,'Lap ED'!H44='Peta Risiko'!$I$9),'Lap ED'!A44,"")</f>
        <v/>
      </c>
      <c r="M53" s="27" t="str">
        <f>IF(AND('Lap ED'!G44='Peta Risiko'!$D$6,'Lap ED'!H44='Peta Risiko'!$E$9),'Lap ED'!A44,"")</f>
        <v/>
      </c>
      <c r="N53" s="27" t="str">
        <f>IF(AND('Lap ED'!G44='Peta Risiko'!$D$6,'Lap ED'!H44='Peta Risiko'!$F$9),'Lap ED'!A44,"")</f>
        <v/>
      </c>
      <c r="O53" s="27" t="str">
        <f>IF(AND('Lap ED'!G44='Peta Risiko'!$D$6,'Lap ED'!H44='Peta Risiko'!$G$9),'Lap ED'!A44,"")</f>
        <v/>
      </c>
      <c r="P53" s="27" t="str">
        <f>IF(AND('Lap ED'!G44='Peta Risiko'!$D$6,'Lap ED'!H44='Peta Risiko'!$H$9),'Lap ED'!A44,"")</f>
        <v/>
      </c>
      <c r="Q53" s="27" t="str">
        <f>IF(AND('Lap ED'!G44='Peta Risiko'!$D$6,'Lap ED'!H44='Peta Risiko'!$I$9),'Lap ED'!A44,"")</f>
        <v/>
      </c>
      <c r="R53" s="27" t="str">
        <f>IF(AND('Lap ED'!G44='Peta Risiko'!$D$7,'Lap ED'!H44='Peta Risiko'!$E$9),'Lap ED'!A44,"")</f>
        <v/>
      </c>
      <c r="S53" s="27" t="str">
        <f>IF(AND('Lap ED'!G44='Peta Risiko'!$D$7,'Lap ED'!H44='Peta Risiko'!$F$9),'Lap ED'!A44,"")</f>
        <v/>
      </c>
      <c r="T53" s="27" t="str">
        <f>IF(AND('Lap ED'!G44='Peta Risiko'!$D$7,'Lap ED'!H44='Peta Risiko'!$G$9),'Lap ED'!A44,"")</f>
        <v/>
      </c>
      <c r="U53" s="27" t="str">
        <f>IF(AND('Lap ED'!G44='Peta Risiko'!$D$7,'Lap ED'!H44='Peta Risiko'!$H$9),'Lap ED'!A44,"")</f>
        <v/>
      </c>
      <c r="V53" s="27" t="str">
        <f>IF(AND('Lap ED'!G44='Peta Risiko'!$D$7,'Lap ED'!H44='Peta Risiko'!$I$9),'Lap ED'!A44,"")</f>
        <v/>
      </c>
      <c r="W53" s="27">
        <f>IF(AND('Lap ED'!G44='Peta Risiko'!$D$8,'Lap ED'!H44='Peta Risiko'!$E$9),'Lap ED'!A44,"")</f>
        <v>34</v>
      </c>
      <c r="X53" s="27" t="str">
        <f>IF(AND('Lap ED'!G44='Peta Risiko'!$D$8,'Lap ED'!H44='Peta Risiko'!$F$9),'Lap ED'!A44,"")</f>
        <v/>
      </c>
      <c r="Y53" s="27" t="str">
        <f>IF(AND('Lap ED'!G44='Peta Risiko'!$D$8,'Lap ED'!H44='Peta Risiko'!$G$9),'Lap ED'!A44,"")</f>
        <v/>
      </c>
      <c r="Z53" s="27" t="str">
        <f>IF(AND('Lap ED'!G44='Peta Risiko'!$D$8,'Lap ED'!H44='Peta Risiko'!$H$9),'Lap ED'!A44,"")</f>
        <v/>
      </c>
      <c r="AA53" s="27" t="str">
        <f>IF(AND('Lap ED'!G44='Peta Risiko'!$D$8,'Lap ED'!H44='Peta Risiko'!$I$9),'Lap ED'!A44,"")</f>
        <v/>
      </c>
    </row>
    <row r="54" spans="2:27" hidden="1" x14ac:dyDescent="0.25">
      <c r="B54" s="27">
        <f t="shared" si="5"/>
        <v>40</v>
      </c>
      <c r="C54" s="27" t="str">
        <f>IF(AND('Lap ED'!G45='Peta Risiko'!$D$4,'Lap ED'!H45='Peta Risiko'!$E$9),'Lap ED'!A45,"")</f>
        <v/>
      </c>
      <c r="D54" s="27" t="str">
        <f>IF(AND('Lap ED'!G45='Peta Risiko'!$D$4,'Lap ED'!H45='Peta Risiko'!$F$9),'Lap ED'!A45,"")</f>
        <v/>
      </c>
      <c r="E54" s="27" t="str">
        <f>IF(AND('Lap ED'!G45='Peta Risiko'!$D$4,'Lap ED'!H45='Peta Risiko'!$G$9),'Lap ED'!A45,"")</f>
        <v/>
      </c>
      <c r="F54" s="27" t="str">
        <f>IF(AND('Lap ED'!G45='Peta Risiko'!$D$4,'Lap ED'!H45='Peta Risiko'!$H$9),'Lap ED'!A45,"")</f>
        <v/>
      </c>
      <c r="G54" s="27" t="str">
        <f>IF(AND('Lap ED'!G45='Peta Risiko'!$D$4,'Lap ED'!H45='Peta Risiko'!$I$9),'Lap ED'!A45,"")</f>
        <v/>
      </c>
      <c r="H54" s="27" t="str">
        <f>IF(AND('Lap ED'!G45='Peta Risiko'!$D$5,'Lap ED'!H45='Peta Risiko'!$E$9),'Lap ED'!A45,"")</f>
        <v/>
      </c>
      <c r="I54" s="27" t="str">
        <f>IF(AND('Lap ED'!G45='Peta Risiko'!$D$5,'Lap ED'!H45='Peta Risiko'!$F$9),'Lap ED'!A45,"")</f>
        <v/>
      </c>
      <c r="J54" s="27" t="str">
        <f>IF(AND('Lap ED'!G45='Peta Risiko'!$D$5,'Lap ED'!H45='Peta Risiko'!$G$9),'Lap ED'!A45,"")</f>
        <v/>
      </c>
      <c r="K54" s="27" t="str">
        <f>IF(AND('Lap ED'!G45='Peta Risiko'!$D$5,'Lap ED'!H45='Peta Risiko'!$H$9),'Lap ED'!A45,"")</f>
        <v/>
      </c>
      <c r="L54" s="27" t="str">
        <f>IF(AND('Lap ED'!G45='Peta Risiko'!$D$5,'Lap ED'!H45='Peta Risiko'!$I$9),'Lap ED'!A45,"")</f>
        <v/>
      </c>
      <c r="M54" s="27" t="str">
        <f>IF(AND('Lap ED'!G45='Peta Risiko'!$D$6,'Lap ED'!H45='Peta Risiko'!$E$9),'Lap ED'!A45,"")</f>
        <v/>
      </c>
      <c r="N54" s="27" t="str">
        <f>IF(AND('Lap ED'!G45='Peta Risiko'!$D$6,'Lap ED'!H45='Peta Risiko'!$F$9),'Lap ED'!A45,"")</f>
        <v/>
      </c>
      <c r="O54" s="27" t="str">
        <f>IF(AND('Lap ED'!G45='Peta Risiko'!$D$6,'Lap ED'!H45='Peta Risiko'!$G$9),'Lap ED'!A45,"")</f>
        <v/>
      </c>
      <c r="P54" s="27" t="str">
        <f>IF(AND('Lap ED'!G45='Peta Risiko'!$D$6,'Lap ED'!H45='Peta Risiko'!$H$9),'Lap ED'!A45,"")</f>
        <v/>
      </c>
      <c r="Q54" s="27" t="str">
        <f>IF(AND('Lap ED'!G45='Peta Risiko'!$D$6,'Lap ED'!H45='Peta Risiko'!$I$9),'Lap ED'!A45,"")</f>
        <v/>
      </c>
      <c r="R54" s="27" t="str">
        <f>IF(AND('Lap ED'!G45='Peta Risiko'!$D$7,'Lap ED'!H45='Peta Risiko'!$E$9),'Lap ED'!A45,"")</f>
        <v/>
      </c>
      <c r="S54" s="27" t="str">
        <f>IF(AND('Lap ED'!G45='Peta Risiko'!$D$7,'Lap ED'!H45='Peta Risiko'!$F$9),'Lap ED'!A45,"")</f>
        <v/>
      </c>
      <c r="T54" s="27" t="str">
        <f>IF(AND('Lap ED'!G45='Peta Risiko'!$D$7,'Lap ED'!H45='Peta Risiko'!$G$9),'Lap ED'!A45,"")</f>
        <v/>
      </c>
      <c r="U54" s="27" t="str">
        <f>IF(AND('Lap ED'!G45='Peta Risiko'!$D$7,'Lap ED'!H45='Peta Risiko'!$H$9),'Lap ED'!A45,"")</f>
        <v/>
      </c>
      <c r="V54" s="27" t="str">
        <f>IF(AND('Lap ED'!G45='Peta Risiko'!$D$7,'Lap ED'!H45='Peta Risiko'!$I$9),'Lap ED'!A45,"")</f>
        <v/>
      </c>
      <c r="W54" s="27">
        <f>IF(AND('Lap ED'!G45='Peta Risiko'!$D$8,'Lap ED'!H45='Peta Risiko'!$E$9),'Lap ED'!A45,"")</f>
        <v>35</v>
      </c>
      <c r="X54" s="27" t="str">
        <f>IF(AND('Lap ED'!G45='Peta Risiko'!$D$8,'Lap ED'!H45='Peta Risiko'!$F$9),'Lap ED'!A45,"")</f>
        <v/>
      </c>
      <c r="Y54" s="27" t="str">
        <f>IF(AND('Lap ED'!G45='Peta Risiko'!$D$8,'Lap ED'!H45='Peta Risiko'!$G$9),'Lap ED'!A45,"")</f>
        <v/>
      </c>
      <c r="Z54" s="27" t="str">
        <f>IF(AND('Lap ED'!G45='Peta Risiko'!$D$8,'Lap ED'!H45='Peta Risiko'!$H$9),'Lap ED'!A45,"")</f>
        <v/>
      </c>
      <c r="AA54" s="27" t="str">
        <f>IF(AND('Lap ED'!G45='Peta Risiko'!$D$8,'Lap ED'!H45='Peta Risiko'!$I$9),'Lap ED'!A45,"")</f>
        <v/>
      </c>
    </row>
    <row r="55" spans="2:27" hidden="1" x14ac:dyDescent="0.25">
      <c r="B55" s="27">
        <f t="shared" si="5"/>
        <v>41</v>
      </c>
      <c r="C55" s="27" t="str">
        <f>IF(AND('Lap ED'!G46='Peta Risiko'!$D$4,'Lap ED'!H46='Peta Risiko'!$E$9),'Lap ED'!A46,"")</f>
        <v/>
      </c>
      <c r="D55" s="27" t="str">
        <f>IF(AND('Lap ED'!G46='Peta Risiko'!$D$4,'Lap ED'!H46='Peta Risiko'!$F$9),'Lap ED'!A46,"")</f>
        <v/>
      </c>
      <c r="E55" s="27" t="str">
        <f>IF(AND('Lap ED'!G46='Peta Risiko'!$D$4,'Lap ED'!H46='Peta Risiko'!$G$9),'Lap ED'!A46,"")</f>
        <v/>
      </c>
      <c r="F55" s="27" t="str">
        <f>IF(AND('Lap ED'!G46='Peta Risiko'!$D$4,'Lap ED'!H46='Peta Risiko'!$H$9),'Lap ED'!A46,"")</f>
        <v/>
      </c>
      <c r="G55" s="27" t="str">
        <f>IF(AND('Lap ED'!G46='Peta Risiko'!$D$4,'Lap ED'!H46='Peta Risiko'!$I$9),'Lap ED'!A46,"")</f>
        <v/>
      </c>
      <c r="H55" s="27" t="str">
        <f>IF(AND('Lap ED'!G46='Peta Risiko'!$D$5,'Lap ED'!H46='Peta Risiko'!$E$9),'Lap ED'!A46,"")</f>
        <v/>
      </c>
      <c r="I55" s="27" t="str">
        <f>IF(AND('Lap ED'!G46='Peta Risiko'!$D$5,'Lap ED'!H46='Peta Risiko'!$F$9),'Lap ED'!A46,"")</f>
        <v/>
      </c>
      <c r="J55" s="27" t="str">
        <f>IF(AND('Lap ED'!G46='Peta Risiko'!$D$5,'Lap ED'!H46='Peta Risiko'!$G$9),'Lap ED'!A46,"")</f>
        <v/>
      </c>
      <c r="K55" s="27" t="str">
        <f>IF(AND('Lap ED'!G46='Peta Risiko'!$D$5,'Lap ED'!H46='Peta Risiko'!$H$9),'Lap ED'!A46,"")</f>
        <v/>
      </c>
      <c r="L55" s="27" t="str">
        <f>IF(AND('Lap ED'!G46='Peta Risiko'!$D$5,'Lap ED'!H46='Peta Risiko'!$I$9),'Lap ED'!A46,"")</f>
        <v/>
      </c>
      <c r="M55" s="27" t="str">
        <f>IF(AND('Lap ED'!G46='Peta Risiko'!$D$6,'Lap ED'!H46='Peta Risiko'!$E$9),'Lap ED'!A46,"")</f>
        <v/>
      </c>
      <c r="N55" s="27" t="str">
        <f>IF(AND('Lap ED'!G46='Peta Risiko'!$D$6,'Lap ED'!H46='Peta Risiko'!$F$9),'Lap ED'!A46,"")</f>
        <v/>
      </c>
      <c r="O55" s="27" t="str">
        <f>IF(AND('Lap ED'!G46='Peta Risiko'!$D$6,'Lap ED'!H46='Peta Risiko'!$G$9),'Lap ED'!A46,"")</f>
        <v/>
      </c>
      <c r="P55" s="27" t="str">
        <f>IF(AND('Lap ED'!G46='Peta Risiko'!$D$6,'Lap ED'!H46='Peta Risiko'!$H$9),'Lap ED'!A46,"")</f>
        <v/>
      </c>
      <c r="Q55" s="27" t="str">
        <f>IF(AND('Lap ED'!G46='Peta Risiko'!$D$6,'Lap ED'!H46='Peta Risiko'!$I$9),'Lap ED'!A46,"")</f>
        <v/>
      </c>
      <c r="R55" s="27" t="str">
        <f>IF(AND('Lap ED'!G46='Peta Risiko'!$D$7,'Lap ED'!H46='Peta Risiko'!$E$9),'Lap ED'!A46,"")</f>
        <v/>
      </c>
      <c r="S55" s="27" t="str">
        <f>IF(AND('Lap ED'!G46='Peta Risiko'!$D$7,'Lap ED'!H46='Peta Risiko'!$F$9),'Lap ED'!A46,"")</f>
        <v/>
      </c>
      <c r="T55" s="27" t="str">
        <f>IF(AND('Lap ED'!G46='Peta Risiko'!$D$7,'Lap ED'!H46='Peta Risiko'!$G$9),'Lap ED'!A46,"")</f>
        <v/>
      </c>
      <c r="U55" s="27" t="str">
        <f>IF(AND('Lap ED'!G46='Peta Risiko'!$D$7,'Lap ED'!H46='Peta Risiko'!$H$9),'Lap ED'!A46,"")</f>
        <v/>
      </c>
      <c r="V55" s="27" t="str">
        <f>IF(AND('Lap ED'!G46='Peta Risiko'!$D$7,'Lap ED'!H46='Peta Risiko'!$I$9),'Lap ED'!A46,"")</f>
        <v/>
      </c>
      <c r="W55" s="27">
        <f>IF(AND('Lap ED'!G46='Peta Risiko'!$D$8,'Lap ED'!H46='Peta Risiko'!$E$9),'Lap ED'!A46,"")</f>
        <v>36</v>
      </c>
      <c r="X55" s="27" t="str">
        <f>IF(AND('Lap ED'!G46='Peta Risiko'!$D$8,'Lap ED'!H46='Peta Risiko'!$F$9),'Lap ED'!A46,"")</f>
        <v/>
      </c>
      <c r="Y55" s="27" t="str">
        <f>IF(AND('Lap ED'!G46='Peta Risiko'!$D$8,'Lap ED'!H46='Peta Risiko'!$G$9),'Lap ED'!A46,"")</f>
        <v/>
      </c>
      <c r="Z55" s="27" t="str">
        <f>IF(AND('Lap ED'!G46='Peta Risiko'!$D$8,'Lap ED'!H46='Peta Risiko'!$H$9),'Lap ED'!A46,"")</f>
        <v/>
      </c>
      <c r="AA55" s="27" t="str">
        <f>IF(AND('Lap ED'!G46='Peta Risiko'!$D$8,'Lap ED'!H46='Peta Risiko'!$I$9),'Lap ED'!A46,"")</f>
        <v/>
      </c>
    </row>
    <row r="56" spans="2:27" hidden="1" x14ac:dyDescent="0.25">
      <c r="B56" s="27">
        <f t="shared" si="5"/>
        <v>42</v>
      </c>
      <c r="C56" s="27" t="str">
        <f>IF(AND('Lap ED'!G47='Peta Risiko'!$D$4,'Lap ED'!H47='Peta Risiko'!$E$9),'Lap ED'!A47,"")</f>
        <v/>
      </c>
      <c r="D56" s="27" t="str">
        <f>IF(AND('Lap ED'!G47='Peta Risiko'!$D$4,'Lap ED'!H47='Peta Risiko'!$F$9),'Lap ED'!A47,"")</f>
        <v/>
      </c>
      <c r="E56" s="27" t="str">
        <f>IF(AND('Lap ED'!G47='Peta Risiko'!$D$4,'Lap ED'!H47='Peta Risiko'!$G$9),'Lap ED'!A47,"")</f>
        <v/>
      </c>
      <c r="F56" s="27" t="str">
        <f>IF(AND('Lap ED'!G47='Peta Risiko'!$D$4,'Lap ED'!H47='Peta Risiko'!$H$9),'Lap ED'!A47,"")</f>
        <v/>
      </c>
      <c r="G56" s="27" t="str">
        <f>IF(AND('Lap ED'!G47='Peta Risiko'!$D$4,'Lap ED'!H47='Peta Risiko'!$I$9),'Lap ED'!A47,"")</f>
        <v/>
      </c>
      <c r="H56" s="27" t="str">
        <f>IF(AND('Lap ED'!G47='Peta Risiko'!$D$5,'Lap ED'!H47='Peta Risiko'!$E$9),'Lap ED'!A47,"")</f>
        <v/>
      </c>
      <c r="I56" s="27" t="str">
        <f>IF(AND('Lap ED'!G47='Peta Risiko'!$D$5,'Lap ED'!H47='Peta Risiko'!$F$9),'Lap ED'!A47,"")</f>
        <v/>
      </c>
      <c r="J56" s="27" t="str">
        <f>IF(AND('Lap ED'!G47='Peta Risiko'!$D$5,'Lap ED'!H47='Peta Risiko'!$G$9),'Lap ED'!A47,"")</f>
        <v/>
      </c>
      <c r="K56" s="27" t="str">
        <f>IF(AND('Lap ED'!G47='Peta Risiko'!$D$5,'Lap ED'!H47='Peta Risiko'!$H$9),'Lap ED'!A47,"")</f>
        <v/>
      </c>
      <c r="L56" s="27" t="str">
        <f>IF(AND('Lap ED'!G47='Peta Risiko'!$D$5,'Lap ED'!H47='Peta Risiko'!$I$9),'Lap ED'!A47,"")</f>
        <v/>
      </c>
      <c r="M56" s="27" t="str">
        <f>IF(AND('Lap ED'!G47='Peta Risiko'!$D$6,'Lap ED'!H47='Peta Risiko'!$E$9),'Lap ED'!A47,"")</f>
        <v/>
      </c>
      <c r="N56" s="27" t="str">
        <f>IF(AND('Lap ED'!G47='Peta Risiko'!$D$6,'Lap ED'!H47='Peta Risiko'!$F$9),'Lap ED'!A47,"")</f>
        <v/>
      </c>
      <c r="O56" s="27" t="str">
        <f>IF(AND('Lap ED'!G47='Peta Risiko'!$D$6,'Lap ED'!H47='Peta Risiko'!$G$9),'Lap ED'!A47,"")</f>
        <v/>
      </c>
      <c r="P56" s="27" t="str">
        <f>IF(AND('Lap ED'!G47='Peta Risiko'!$D$6,'Lap ED'!H47='Peta Risiko'!$H$9),'Lap ED'!A47,"")</f>
        <v/>
      </c>
      <c r="Q56" s="27" t="str">
        <f>IF(AND('Lap ED'!G47='Peta Risiko'!$D$6,'Lap ED'!H47='Peta Risiko'!$I$9),'Lap ED'!A47,"")</f>
        <v/>
      </c>
      <c r="R56" s="27" t="str">
        <f>IF(AND('Lap ED'!G47='Peta Risiko'!$D$7,'Lap ED'!H47='Peta Risiko'!$E$9),'Lap ED'!A47,"")</f>
        <v/>
      </c>
      <c r="S56" s="27" t="str">
        <f>IF(AND('Lap ED'!G47='Peta Risiko'!$D$7,'Lap ED'!H47='Peta Risiko'!$F$9),'Lap ED'!A47,"")</f>
        <v/>
      </c>
      <c r="T56" s="27" t="str">
        <f>IF(AND('Lap ED'!G47='Peta Risiko'!$D$7,'Lap ED'!H47='Peta Risiko'!$G$9),'Lap ED'!A47,"")</f>
        <v/>
      </c>
      <c r="U56" s="27" t="str">
        <f>IF(AND('Lap ED'!G47='Peta Risiko'!$D$7,'Lap ED'!H47='Peta Risiko'!$H$9),'Lap ED'!A47,"")</f>
        <v/>
      </c>
      <c r="V56" s="27" t="str">
        <f>IF(AND('Lap ED'!G47='Peta Risiko'!$D$7,'Lap ED'!H47='Peta Risiko'!$I$9),'Lap ED'!A47,"")</f>
        <v/>
      </c>
      <c r="W56" s="27">
        <f>IF(AND('Lap ED'!G47='Peta Risiko'!$D$8,'Lap ED'!H47='Peta Risiko'!$E$9),'Lap ED'!A47,"")</f>
        <v>37</v>
      </c>
      <c r="X56" s="27" t="str">
        <f>IF(AND('Lap ED'!G47='Peta Risiko'!$D$8,'Lap ED'!H47='Peta Risiko'!$F$9),'Lap ED'!A47,"")</f>
        <v/>
      </c>
      <c r="Y56" s="27" t="str">
        <f>IF(AND('Lap ED'!G47='Peta Risiko'!$D$8,'Lap ED'!H47='Peta Risiko'!$G$9),'Lap ED'!A47,"")</f>
        <v/>
      </c>
      <c r="Z56" s="27" t="str">
        <f>IF(AND('Lap ED'!G47='Peta Risiko'!$D$8,'Lap ED'!H47='Peta Risiko'!$H$9),'Lap ED'!A47,"")</f>
        <v/>
      </c>
      <c r="AA56" s="27" t="str">
        <f>IF(AND('Lap ED'!G47='Peta Risiko'!$D$8,'Lap ED'!H47='Peta Risiko'!$I$9),'Lap ED'!A47,"")</f>
        <v/>
      </c>
    </row>
    <row r="57" spans="2:27" hidden="1" x14ac:dyDescent="0.25">
      <c r="B57" s="27">
        <f t="shared" si="5"/>
        <v>43</v>
      </c>
      <c r="C57" s="27" t="str">
        <f>IF(AND('Lap ED'!G48='Peta Risiko'!$D$4,'Lap ED'!H48='Peta Risiko'!$E$9),'Lap ED'!A48,"")</f>
        <v/>
      </c>
      <c r="D57" s="27" t="str">
        <f>IF(AND('Lap ED'!G48='Peta Risiko'!$D$4,'Lap ED'!H48='Peta Risiko'!$F$9),'Lap ED'!A48,"")</f>
        <v/>
      </c>
      <c r="E57" s="27" t="str">
        <f>IF(AND('Lap ED'!G48='Peta Risiko'!$D$4,'Lap ED'!H48='Peta Risiko'!$G$9),'Lap ED'!A48,"")</f>
        <v/>
      </c>
      <c r="F57" s="27" t="str">
        <f>IF(AND('Lap ED'!G48='Peta Risiko'!$D$4,'Lap ED'!H48='Peta Risiko'!$H$9),'Lap ED'!A48,"")</f>
        <v/>
      </c>
      <c r="G57" s="27" t="str">
        <f>IF(AND('Lap ED'!G48='Peta Risiko'!$D$4,'Lap ED'!H48='Peta Risiko'!$I$9),'Lap ED'!A48,"")</f>
        <v/>
      </c>
      <c r="H57" s="27" t="str">
        <f>IF(AND('Lap ED'!G48='Peta Risiko'!$D$5,'Lap ED'!H48='Peta Risiko'!$E$9),'Lap ED'!A48,"")</f>
        <v/>
      </c>
      <c r="I57" s="27" t="str">
        <f>IF(AND('Lap ED'!G48='Peta Risiko'!$D$5,'Lap ED'!H48='Peta Risiko'!$F$9),'Lap ED'!A48,"")</f>
        <v/>
      </c>
      <c r="J57" s="27" t="str">
        <f>IF(AND('Lap ED'!G48='Peta Risiko'!$D$5,'Lap ED'!H48='Peta Risiko'!$G$9),'Lap ED'!A48,"")</f>
        <v/>
      </c>
      <c r="K57" s="27" t="str">
        <f>IF(AND('Lap ED'!G48='Peta Risiko'!$D$5,'Lap ED'!H48='Peta Risiko'!$H$9),'Lap ED'!A48,"")</f>
        <v/>
      </c>
      <c r="L57" s="27" t="str">
        <f>IF(AND('Lap ED'!G48='Peta Risiko'!$D$5,'Lap ED'!H48='Peta Risiko'!$I$9),'Lap ED'!A48,"")</f>
        <v/>
      </c>
      <c r="M57" s="27" t="str">
        <f>IF(AND('Lap ED'!G48='Peta Risiko'!$D$6,'Lap ED'!H48='Peta Risiko'!$E$9),'Lap ED'!A48,"")</f>
        <v/>
      </c>
      <c r="N57" s="27" t="str">
        <f>IF(AND('Lap ED'!G48='Peta Risiko'!$D$6,'Lap ED'!H48='Peta Risiko'!$F$9),'Lap ED'!A48,"")</f>
        <v/>
      </c>
      <c r="O57" s="27" t="str">
        <f>IF(AND('Lap ED'!G48='Peta Risiko'!$D$6,'Lap ED'!H48='Peta Risiko'!$G$9),'Lap ED'!A48,"")</f>
        <v/>
      </c>
      <c r="P57" s="27" t="str">
        <f>IF(AND('Lap ED'!G48='Peta Risiko'!$D$6,'Lap ED'!H48='Peta Risiko'!$H$9),'Lap ED'!A48,"")</f>
        <v/>
      </c>
      <c r="Q57" s="27" t="str">
        <f>IF(AND('Lap ED'!G48='Peta Risiko'!$D$6,'Lap ED'!H48='Peta Risiko'!$I$9),'Lap ED'!A48,"")</f>
        <v/>
      </c>
      <c r="R57" s="27" t="str">
        <f>IF(AND('Lap ED'!G48='Peta Risiko'!$D$7,'Lap ED'!H48='Peta Risiko'!$E$9),'Lap ED'!A48,"")</f>
        <v/>
      </c>
      <c r="S57" s="27" t="str">
        <f>IF(AND('Lap ED'!G48='Peta Risiko'!$D$7,'Lap ED'!H48='Peta Risiko'!$F$9),'Lap ED'!A48,"")</f>
        <v/>
      </c>
      <c r="T57" s="27" t="str">
        <f>IF(AND('Lap ED'!G48='Peta Risiko'!$D$7,'Lap ED'!H48='Peta Risiko'!$G$9),'Lap ED'!A48,"")</f>
        <v/>
      </c>
      <c r="U57" s="27" t="str">
        <f>IF(AND('Lap ED'!G48='Peta Risiko'!$D$7,'Lap ED'!H48='Peta Risiko'!$H$9),'Lap ED'!A48,"")</f>
        <v/>
      </c>
      <c r="V57" s="27" t="str">
        <f>IF(AND('Lap ED'!G48='Peta Risiko'!$D$7,'Lap ED'!H48='Peta Risiko'!$I$9),'Lap ED'!A48,"")</f>
        <v/>
      </c>
      <c r="W57" s="27">
        <f>IF(AND('Lap ED'!G48='Peta Risiko'!$D$8,'Lap ED'!H48='Peta Risiko'!$E$9),'Lap ED'!A48,"")</f>
        <v>38</v>
      </c>
      <c r="X57" s="27" t="str">
        <f>IF(AND('Lap ED'!G48='Peta Risiko'!$D$8,'Lap ED'!H48='Peta Risiko'!$F$9),'Lap ED'!A48,"")</f>
        <v/>
      </c>
      <c r="Y57" s="27" t="str">
        <f>IF(AND('Lap ED'!G48='Peta Risiko'!$D$8,'Lap ED'!H48='Peta Risiko'!$G$9),'Lap ED'!A48,"")</f>
        <v/>
      </c>
      <c r="Z57" s="27" t="str">
        <f>IF(AND('Lap ED'!G48='Peta Risiko'!$D$8,'Lap ED'!H48='Peta Risiko'!$H$9),'Lap ED'!A48,"")</f>
        <v/>
      </c>
      <c r="AA57" s="27" t="str">
        <f>IF(AND('Lap ED'!G48='Peta Risiko'!$D$8,'Lap ED'!H48='Peta Risiko'!$I$9),'Lap ED'!A48,"")</f>
        <v/>
      </c>
    </row>
    <row r="58" spans="2:27" hidden="1" x14ac:dyDescent="0.25">
      <c r="B58" s="27">
        <f t="shared" si="5"/>
        <v>44</v>
      </c>
      <c r="C58" s="27" t="str">
        <f>IF(AND('Lap ED'!G49='Peta Risiko'!$D$4,'Lap ED'!H49='Peta Risiko'!$E$9),'Lap ED'!A49,"")</f>
        <v/>
      </c>
      <c r="D58" s="27" t="str">
        <f>IF(AND('Lap ED'!G49='Peta Risiko'!$D$4,'Lap ED'!H49='Peta Risiko'!$F$9),'Lap ED'!A49,"")</f>
        <v/>
      </c>
      <c r="E58" s="27" t="str">
        <f>IF(AND('Lap ED'!G49='Peta Risiko'!$D$4,'Lap ED'!H49='Peta Risiko'!$G$9),'Lap ED'!A49,"")</f>
        <v/>
      </c>
      <c r="F58" s="27" t="str">
        <f>IF(AND('Lap ED'!G49='Peta Risiko'!$D$4,'Lap ED'!H49='Peta Risiko'!$H$9),'Lap ED'!A49,"")</f>
        <v/>
      </c>
      <c r="G58" s="27" t="str">
        <f>IF(AND('Lap ED'!G49='Peta Risiko'!$D$4,'Lap ED'!H49='Peta Risiko'!$I$9),'Lap ED'!A49,"")</f>
        <v/>
      </c>
      <c r="H58" s="27" t="str">
        <f>IF(AND('Lap ED'!G49='Peta Risiko'!$D$5,'Lap ED'!H49='Peta Risiko'!$E$9),'Lap ED'!A49,"")</f>
        <v/>
      </c>
      <c r="I58" s="27" t="str">
        <f>IF(AND('Lap ED'!G49='Peta Risiko'!$D$5,'Lap ED'!H49='Peta Risiko'!$F$9),'Lap ED'!A49,"")</f>
        <v/>
      </c>
      <c r="J58" s="27" t="str">
        <f>IF(AND('Lap ED'!G49='Peta Risiko'!$D$5,'Lap ED'!H49='Peta Risiko'!$G$9),'Lap ED'!A49,"")</f>
        <v/>
      </c>
      <c r="K58" s="27" t="str">
        <f>IF(AND('Lap ED'!G49='Peta Risiko'!$D$5,'Lap ED'!H49='Peta Risiko'!$H$9),'Lap ED'!A49,"")</f>
        <v/>
      </c>
      <c r="L58" s="27" t="str">
        <f>IF(AND('Lap ED'!G49='Peta Risiko'!$D$5,'Lap ED'!H49='Peta Risiko'!$I$9),'Lap ED'!A49,"")</f>
        <v/>
      </c>
      <c r="M58" s="27" t="str">
        <f>IF(AND('Lap ED'!G49='Peta Risiko'!$D$6,'Lap ED'!H49='Peta Risiko'!$E$9),'Lap ED'!A49,"")</f>
        <v/>
      </c>
      <c r="N58" s="27" t="str">
        <f>IF(AND('Lap ED'!G49='Peta Risiko'!$D$6,'Lap ED'!H49='Peta Risiko'!$F$9),'Lap ED'!A49,"")</f>
        <v/>
      </c>
      <c r="O58" s="27" t="str">
        <f>IF(AND('Lap ED'!G49='Peta Risiko'!$D$6,'Lap ED'!H49='Peta Risiko'!$G$9),'Lap ED'!A49,"")</f>
        <v/>
      </c>
      <c r="P58" s="27" t="str">
        <f>IF(AND('Lap ED'!G49='Peta Risiko'!$D$6,'Lap ED'!H49='Peta Risiko'!$H$9),'Lap ED'!A49,"")</f>
        <v/>
      </c>
      <c r="Q58" s="27" t="str">
        <f>IF(AND('Lap ED'!G49='Peta Risiko'!$D$6,'Lap ED'!H49='Peta Risiko'!$I$9),'Lap ED'!A49,"")</f>
        <v/>
      </c>
      <c r="R58" s="27" t="str">
        <f>IF(AND('Lap ED'!G49='Peta Risiko'!$D$7,'Lap ED'!H49='Peta Risiko'!$E$9),'Lap ED'!A49,"")</f>
        <v/>
      </c>
      <c r="S58" s="27" t="str">
        <f>IF(AND('Lap ED'!G49='Peta Risiko'!$D$7,'Lap ED'!H49='Peta Risiko'!$F$9),'Lap ED'!A49,"")</f>
        <v/>
      </c>
      <c r="T58" s="27" t="str">
        <f>IF(AND('Lap ED'!G49='Peta Risiko'!$D$7,'Lap ED'!H49='Peta Risiko'!$G$9),'Lap ED'!A49,"")</f>
        <v/>
      </c>
      <c r="U58" s="27" t="str">
        <f>IF(AND('Lap ED'!G49='Peta Risiko'!$D$7,'Lap ED'!H49='Peta Risiko'!$H$9),'Lap ED'!A49,"")</f>
        <v/>
      </c>
      <c r="V58" s="27" t="str">
        <f>IF(AND('Lap ED'!G49='Peta Risiko'!$D$7,'Lap ED'!H49='Peta Risiko'!$I$9),'Lap ED'!A49,"")</f>
        <v/>
      </c>
      <c r="W58" s="27">
        <f>IF(AND('Lap ED'!G49='Peta Risiko'!$D$8,'Lap ED'!H49='Peta Risiko'!$E$9),'Lap ED'!A49,"")</f>
        <v>39</v>
      </c>
      <c r="X58" s="27" t="str">
        <f>IF(AND('Lap ED'!G49='Peta Risiko'!$D$8,'Lap ED'!H49='Peta Risiko'!$F$9),'Lap ED'!A49,"")</f>
        <v/>
      </c>
      <c r="Y58" s="27" t="str">
        <f>IF(AND('Lap ED'!G49='Peta Risiko'!$D$8,'Lap ED'!H49='Peta Risiko'!$G$9),'Lap ED'!A49,"")</f>
        <v/>
      </c>
      <c r="Z58" s="27" t="str">
        <f>IF(AND('Lap ED'!G49='Peta Risiko'!$D$8,'Lap ED'!H49='Peta Risiko'!$H$9),'Lap ED'!A49,"")</f>
        <v/>
      </c>
      <c r="AA58" s="27" t="str">
        <f>IF(AND('Lap ED'!G49='Peta Risiko'!$D$8,'Lap ED'!H49='Peta Risiko'!$I$9),'Lap ED'!A49,"")</f>
        <v/>
      </c>
    </row>
    <row r="59" spans="2:27" hidden="1" x14ac:dyDescent="0.25">
      <c r="B59" s="27">
        <f t="shared" si="5"/>
        <v>45</v>
      </c>
      <c r="C59" s="27" t="str">
        <f>IF(AND('Lap ED'!G50='Peta Risiko'!$D$4,'Lap ED'!H50='Peta Risiko'!$E$9),'Lap ED'!A50,"")</f>
        <v/>
      </c>
      <c r="D59" s="27" t="str">
        <f>IF(AND('Lap ED'!G50='Peta Risiko'!$D$4,'Lap ED'!H50='Peta Risiko'!$F$9),'Lap ED'!A50,"")</f>
        <v/>
      </c>
      <c r="E59" s="27" t="str">
        <f>IF(AND('Lap ED'!G50='Peta Risiko'!$D$4,'Lap ED'!H50='Peta Risiko'!$G$9),'Lap ED'!A50,"")</f>
        <v/>
      </c>
      <c r="F59" s="27" t="str">
        <f>IF(AND('Lap ED'!G50='Peta Risiko'!$D$4,'Lap ED'!H50='Peta Risiko'!$H$9),'Lap ED'!A50,"")</f>
        <v/>
      </c>
      <c r="G59" s="27" t="str">
        <f>IF(AND('Lap ED'!G50='Peta Risiko'!$D$4,'Lap ED'!H50='Peta Risiko'!$I$9),'Lap ED'!A50,"")</f>
        <v/>
      </c>
      <c r="H59" s="27" t="str">
        <f>IF(AND('Lap ED'!G50='Peta Risiko'!$D$5,'Lap ED'!H50='Peta Risiko'!$E$9),'Lap ED'!A50,"")</f>
        <v/>
      </c>
      <c r="I59" s="27" t="str">
        <f>IF(AND('Lap ED'!G50='Peta Risiko'!$D$5,'Lap ED'!H50='Peta Risiko'!$F$9),'Lap ED'!A50,"")</f>
        <v/>
      </c>
      <c r="J59" s="27" t="str">
        <f>IF(AND('Lap ED'!G50='Peta Risiko'!$D$5,'Lap ED'!H50='Peta Risiko'!$G$9),'Lap ED'!A50,"")</f>
        <v/>
      </c>
      <c r="K59" s="27" t="str">
        <f>IF(AND('Lap ED'!G50='Peta Risiko'!$D$5,'Lap ED'!H50='Peta Risiko'!$H$9),'Lap ED'!A50,"")</f>
        <v/>
      </c>
      <c r="L59" s="27" t="str">
        <f>IF(AND('Lap ED'!G50='Peta Risiko'!$D$5,'Lap ED'!H50='Peta Risiko'!$I$9),'Lap ED'!A50,"")</f>
        <v/>
      </c>
      <c r="M59" s="27" t="str">
        <f>IF(AND('Lap ED'!G50='Peta Risiko'!$D$6,'Lap ED'!H50='Peta Risiko'!$E$9),'Lap ED'!A50,"")</f>
        <v/>
      </c>
      <c r="N59" s="27" t="str">
        <f>IF(AND('Lap ED'!G50='Peta Risiko'!$D$6,'Lap ED'!H50='Peta Risiko'!$F$9),'Lap ED'!A50,"")</f>
        <v/>
      </c>
      <c r="O59" s="27" t="str">
        <f>IF(AND('Lap ED'!G50='Peta Risiko'!$D$6,'Lap ED'!H50='Peta Risiko'!$G$9),'Lap ED'!A50,"")</f>
        <v/>
      </c>
      <c r="P59" s="27" t="str">
        <f>IF(AND('Lap ED'!G50='Peta Risiko'!$D$6,'Lap ED'!H50='Peta Risiko'!$H$9),'Lap ED'!A50,"")</f>
        <v/>
      </c>
      <c r="Q59" s="27" t="str">
        <f>IF(AND('Lap ED'!G50='Peta Risiko'!$D$6,'Lap ED'!H50='Peta Risiko'!$I$9),'Lap ED'!A50,"")</f>
        <v/>
      </c>
      <c r="R59" s="27" t="str">
        <f>IF(AND('Lap ED'!G50='Peta Risiko'!$D$7,'Lap ED'!H50='Peta Risiko'!$E$9),'Lap ED'!A50,"")</f>
        <v/>
      </c>
      <c r="S59" s="27" t="str">
        <f>IF(AND('Lap ED'!G50='Peta Risiko'!$D$7,'Lap ED'!H50='Peta Risiko'!$F$9),'Lap ED'!A50,"")</f>
        <v/>
      </c>
      <c r="T59" s="27" t="str">
        <f>IF(AND('Lap ED'!G50='Peta Risiko'!$D$7,'Lap ED'!H50='Peta Risiko'!$G$9),'Lap ED'!A50,"")</f>
        <v/>
      </c>
      <c r="U59" s="27" t="str">
        <f>IF(AND('Lap ED'!G50='Peta Risiko'!$D$7,'Lap ED'!H50='Peta Risiko'!$H$9),'Lap ED'!A50,"")</f>
        <v/>
      </c>
      <c r="V59" s="27" t="str">
        <f>IF(AND('Lap ED'!G50='Peta Risiko'!$D$7,'Lap ED'!H50='Peta Risiko'!$I$9),'Lap ED'!A50,"")</f>
        <v/>
      </c>
      <c r="W59" s="27" t="str">
        <f>IF(AND('Lap ED'!G50='Peta Risiko'!$D$8,'Lap ED'!H50='Peta Risiko'!$E$9),'Lap ED'!A50,"")</f>
        <v/>
      </c>
      <c r="X59" s="27" t="str">
        <f>IF(AND('Lap ED'!G50='Peta Risiko'!$D$8,'Lap ED'!H50='Peta Risiko'!$F$9),'Lap ED'!A50,"")</f>
        <v/>
      </c>
      <c r="Y59" s="27" t="str">
        <f>IF(AND('Lap ED'!G50='Peta Risiko'!$D$8,'Lap ED'!H50='Peta Risiko'!$G$9),'Lap ED'!A50,"")</f>
        <v/>
      </c>
      <c r="Z59" s="27" t="str">
        <f>IF(AND('Lap ED'!G50='Peta Risiko'!$D$8,'Lap ED'!H50='Peta Risiko'!$H$9),'Lap ED'!A50,"")</f>
        <v/>
      </c>
      <c r="AA59" s="27" t="str">
        <f>IF(AND('Lap ED'!G50='Peta Risiko'!$D$8,'Lap ED'!H50='Peta Risiko'!$I$9),'Lap ED'!A50,"")</f>
        <v/>
      </c>
    </row>
    <row r="60" spans="2:27" hidden="1" x14ac:dyDescent="0.25">
      <c r="B60" s="27">
        <f t="shared" si="5"/>
        <v>46</v>
      </c>
      <c r="C60" s="27" t="str">
        <f>IF(AND('Lap ED'!G51='Peta Risiko'!$D$4,'Lap ED'!H51='Peta Risiko'!$E$9),'Lap ED'!A51,"")</f>
        <v/>
      </c>
      <c r="D60" s="27" t="str">
        <f>IF(AND('Lap ED'!G51='Peta Risiko'!$D$4,'Lap ED'!H51='Peta Risiko'!$F$9),'Lap ED'!A51,"")</f>
        <v/>
      </c>
      <c r="E60" s="27" t="str">
        <f>IF(AND('Lap ED'!G51='Peta Risiko'!$D$4,'Lap ED'!H51='Peta Risiko'!$G$9),'Lap ED'!A51,"")</f>
        <v/>
      </c>
      <c r="F60" s="27" t="str">
        <f>IF(AND('Lap ED'!G51='Peta Risiko'!$D$4,'Lap ED'!H51='Peta Risiko'!$H$9),'Lap ED'!A51,"")</f>
        <v/>
      </c>
      <c r="G60" s="27" t="str">
        <f>IF(AND('Lap ED'!G51='Peta Risiko'!$D$4,'Lap ED'!H51='Peta Risiko'!$I$9),'Lap ED'!A51,"")</f>
        <v/>
      </c>
      <c r="H60" s="27" t="str">
        <f>IF(AND('Lap ED'!G51='Peta Risiko'!$D$5,'Lap ED'!H51='Peta Risiko'!$E$9),'Lap ED'!A51,"")</f>
        <v/>
      </c>
      <c r="I60" s="27" t="str">
        <f>IF(AND('Lap ED'!G51='Peta Risiko'!$D$5,'Lap ED'!H51='Peta Risiko'!$F$9),'Lap ED'!A51,"")</f>
        <v/>
      </c>
      <c r="J60" s="27" t="str">
        <f>IF(AND('Lap ED'!G51='Peta Risiko'!$D$5,'Lap ED'!H51='Peta Risiko'!$G$9),'Lap ED'!A51,"")</f>
        <v/>
      </c>
      <c r="K60" s="27" t="str">
        <f>IF(AND('Lap ED'!G51='Peta Risiko'!$D$5,'Lap ED'!H51='Peta Risiko'!$H$9),'Lap ED'!A51,"")</f>
        <v/>
      </c>
      <c r="L60" s="27" t="str">
        <f>IF(AND('Lap ED'!G51='Peta Risiko'!$D$5,'Lap ED'!H51='Peta Risiko'!$I$9),'Lap ED'!A51,"")</f>
        <v/>
      </c>
      <c r="M60" s="27" t="str">
        <f>IF(AND('Lap ED'!G51='Peta Risiko'!$D$6,'Lap ED'!H51='Peta Risiko'!$E$9),'Lap ED'!A51,"")</f>
        <v/>
      </c>
      <c r="N60" s="27" t="str">
        <f>IF(AND('Lap ED'!G51='Peta Risiko'!$D$6,'Lap ED'!H51='Peta Risiko'!$F$9),'Lap ED'!A51,"")</f>
        <v/>
      </c>
      <c r="O60" s="27" t="str">
        <f>IF(AND('Lap ED'!G51='Peta Risiko'!$D$6,'Lap ED'!H51='Peta Risiko'!$G$9),'Lap ED'!A51,"")</f>
        <v/>
      </c>
      <c r="P60" s="27" t="str">
        <f>IF(AND('Lap ED'!G51='Peta Risiko'!$D$6,'Lap ED'!H51='Peta Risiko'!$H$9),'Lap ED'!A51,"")</f>
        <v/>
      </c>
      <c r="Q60" s="27" t="str">
        <f>IF(AND('Lap ED'!G51='Peta Risiko'!$D$6,'Lap ED'!H51='Peta Risiko'!$I$9),'Lap ED'!A51,"")</f>
        <v/>
      </c>
      <c r="R60" s="27" t="str">
        <f>IF(AND('Lap ED'!G51='Peta Risiko'!$D$7,'Lap ED'!H51='Peta Risiko'!$E$9),'Lap ED'!A51,"")</f>
        <v/>
      </c>
      <c r="S60" s="27" t="str">
        <f>IF(AND('Lap ED'!G51='Peta Risiko'!$D$7,'Lap ED'!H51='Peta Risiko'!$F$9),'Lap ED'!A51,"")</f>
        <v/>
      </c>
      <c r="T60" s="27" t="str">
        <f>IF(AND('Lap ED'!G51='Peta Risiko'!$D$7,'Lap ED'!H51='Peta Risiko'!$G$9),'Lap ED'!A51,"")</f>
        <v/>
      </c>
      <c r="U60" s="27" t="str">
        <f>IF(AND('Lap ED'!G51='Peta Risiko'!$D$7,'Lap ED'!H51='Peta Risiko'!$H$9),'Lap ED'!A51,"")</f>
        <v/>
      </c>
      <c r="V60" s="27" t="str">
        <f>IF(AND('Lap ED'!G51='Peta Risiko'!$D$7,'Lap ED'!H51='Peta Risiko'!$I$9),'Lap ED'!A51,"")</f>
        <v/>
      </c>
      <c r="W60" s="27">
        <f>IF(AND('Lap ED'!G51='Peta Risiko'!$D$8,'Lap ED'!H51='Peta Risiko'!$E$9),'Lap ED'!A51,"")</f>
        <v>40</v>
      </c>
      <c r="X60" s="27" t="str">
        <f>IF(AND('Lap ED'!G51='Peta Risiko'!$D$8,'Lap ED'!H51='Peta Risiko'!$F$9),'Lap ED'!A51,"")</f>
        <v/>
      </c>
      <c r="Y60" s="27" t="str">
        <f>IF(AND('Lap ED'!G51='Peta Risiko'!$D$8,'Lap ED'!H51='Peta Risiko'!$G$9),'Lap ED'!A51,"")</f>
        <v/>
      </c>
      <c r="Z60" s="27" t="str">
        <f>IF(AND('Lap ED'!G51='Peta Risiko'!$D$8,'Lap ED'!H51='Peta Risiko'!$H$9),'Lap ED'!A51,"")</f>
        <v/>
      </c>
      <c r="AA60" s="27" t="str">
        <f>IF(AND('Lap ED'!G51='Peta Risiko'!$D$8,'Lap ED'!H51='Peta Risiko'!$I$9),'Lap ED'!A51,"")</f>
        <v/>
      </c>
    </row>
    <row r="61" spans="2:27" hidden="1" x14ac:dyDescent="0.25">
      <c r="B61" s="27">
        <f t="shared" si="5"/>
        <v>47</v>
      </c>
      <c r="C61" s="27" t="str">
        <f>IF(AND('Lap ED'!G52='Peta Risiko'!$D$4,'Lap ED'!H52='Peta Risiko'!$E$9),'Lap ED'!A52,"")</f>
        <v/>
      </c>
      <c r="D61" s="27" t="str">
        <f>IF(AND('Lap ED'!G52='Peta Risiko'!$D$4,'Lap ED'!H52='Peta Risiko'!$F$9),'Lap ED'!A52,"")</f>
        <v/>
      </c>
      <c r="E61" s="27" t="str">
        <f>IF(AND('Lap ED'!G52='Peta Risiko'!$D$4,'Lap ED'!H52='Peta Risiko'!$G$9),'Lap ED'!A52,"")</f>
        <v/>
      </c>
      <c r="F61" s="27" t="str">
        <f>IF(AND('Lap ED'!G52='Peta Risiko'!$D$4,'Lap ED'!H52='Peta Risiko'!$H$9),'Lap ED'!A52,"")</f>
        <v/>
      </c>
      <c r="G61" s="27" t="str">
        <f>IF(AND('Lap ED'!G52='Peta Risiko'!$D$4,'Lap ED'!H52='Peta Risiko'!$I$9),'Lap ED'!A52,"")</f>
        <v/>
      </c>
      <c r="H61" s="27" t="str">
        <f>IF(AND('Lap ED'!G52='Peta Risiko'!$D$5,'Lap ED'!H52='Peta Risiko'!$E$9),'Lap ED'!A52,"")</f>
        <v/>
      </c>
      <c r="I61" s="27" t="str">
        <f>IF(AND('Lap ED'!G52='Peta Risiko'!$D$5,'Lap ED'!H52='Peta Risiko'!$F$9),'Lap ED'!A52,"")</f>
        <v/>
      </c>
      <c r="J61" s="27" t="str">
        <f>IF(AND('Lap ED'!G52='Peta Risiko'!$D$5,'Lap ED'!H52='Peta Risiko'!$G$9),'Lap ED'!A52,"")</f>
        <v/>
      </c>
      <c r="K61" s="27" t="str">
        <f>IF(AND('Lap ED'!G52='Peta Risiko'!$D$5,'Lap ED'!H52='Peta Risiko'!$H$9),'Lap ED'!A52,"")</f>
        <v/>
      </c>
      <c r="L61" s="27" t="str">
        <f>IF(AND('Lap ED'!G52='Peta Risiko'!$D$5,'Lap ED'!H52='Peta Risiko'!$I$9),'Lap ED'!A52,"")</f>
        <v/>
      </c>
      <c r="M61" s="27" t="str">
        <f>IF(AND('Lap ED'!G52='Peta Risiko'!$D$6,'Lap ED'!H52='Peta Risiko'!$E$9),'Lap ED'!A52,"")</f>
        <v/>
      </c>
      <c r="N61" s="27" t="str">
        <f>IF(AND('Lap ED'!G52='Peta Risiko'!$D$6,'Lap ED'!H52='Peta Risiko'!$F$9),'Lap ED'!A52,"")</f>
        <v/>
      </c>
      <c r="O61" s="27" t="str">
        <f>IF(AND('Lap ED'!G52='Peta Risiko'!$D$6,'Lap ED'!H52='Peta Risiko'!$G$9),'Lap ED'!A52,"")</f>
        <v/>
      </c>
      <c r="P61" s="27" t="str">
        <f>IF(AND('Lap ED'!G52='Peta Risiko'!$D$6,'Lap ED'!H52='Peta Risiko'!$H$9),'Lap ED'!A52,"")</f>
        <v/>
      </c>
      <c r="Q61" s="27" t="str">
        <f>IF(AND('Lap ED'!G52='Peta Risiko'!$D$6,'Lap ED'!H52='Peta Risiko'!$I$9),'Lap ED'!A52,"")</f>
        <v/>
      </c>
      <c r="R61" s="27" t="str">
        <f>IF(AND('Lap ED'!G52='Peta Risiko'!$D$7,'Lap ED'!H52='Peta Risiko'!$E$9),'Lap ED'!A52,"")</f>
        <v/>
      </c>
      <c r="S61" s="27" t="str">
        <f>IF(AND('Lap ED'!G52='Peta Risiko'!$D$7,'Lap ED'!H52='Peta Risiko'!$F$9),'Lap ED'!A52,"")</f>
        <v/>
      </c>
      <c r="T61" s="27" t="str">
        <f>IF(AND('Lap ED'!G52='Peta Risiko'!$D$7,'Lap ED'!H52='Peta Risiko'!$G$9),'Lap ED'!A52,"")</f>
        <v/>
      </c>
      <c r="U61" s="27" t="str">
        <f>IF(AND('Lap ED'!G52='Peta Risiko'!$D$7,'Lap ED'!H52='Peta Risiko'!$H$9),'Lap ED'!A52,"")</f>
        <v/>
      </c>
      <c r="V61" s="27" t="str">
        <f>IF(AND('Lap ED'!G52='Peta Risiko'!$D$7,'Lap ED'!H52='Peta Risiko'!$I$9),'Lap ED'!A52,"")</f>
        <v/>
      </c>
      <c r="W61" s="27">
        <f>IF(AND('Lap ED'!G52='Peta Risiko'!$D$8,'Lap ED'!H52='Peta Risiko'!$E$9),'Lap ED'!A52,"")</f>
        <v>41</v>
      </c>
      <c r="X61" s="27" t="str">
        <f>IF(AND('Lap ED'!G52='Peta Risiko'!$D$8,'Lap ED'!H52='Peta Risiko'!$F$9),'Lap ED'!A52,"")</f>
        <v/>
      </c>
      <c r="Y61" s="27" t="str">
        <f>IF(AND('Lap ED'!G52='Peta Risiko'!$D$8,'Lap ED'!H52='Peta Risiko'!$G$9),'Lap ED'!A52,"")</f>
        <v/>
      </c>
      <c r="Z61" s="27" t="str">
        <f>IF(AND('Lap ED'!G52='Peta Risiko'!$D$8,'Lap ED'!H52='Peta Risiko'!$H$9),'Lap ED'!A52,"")</f>
        <v/>
      </c>
      <c r="AA61" s="27" t="str">
        <f>IF(AND('Lap ED'!G52='Peta Risiko'!$D$8,'Lap ED'!H52='Peta Risiko'!$I$9),'Lap ED'!A52,"")</f>
        <v/>
      </c>
    </row>
    <row r="62" spans="2:27" hidden="1" x14ac:dyDescent="0.25">
      <c r="B62" s="27">
        <f t="shared" si="5"/>
        <v>48</v>
      </c>
      <c r="C62" s="27" t="str">
        <f>IF(AND('Lap ED'!G53='Peta Risiko'!$D$4,'Lap ED'!H53='Peta Risiko'!$E$9),'Lap ED'!A53,"")</f>
        <v/>
      </c>
      <c r="D62" s="27" t="str">
        <f>IF(AND('Lap ED'!G53='Peta Risiko'!$D$4,'Lap ED'!H53='Peta Risiko'!$F$9),'Lap ED'!A53,"")</f>
        <v/>
      </c>
      <c r="E62" s="27" t="str">
        <f>IF(AND('Lap ED'!G53='Peta Risiko'!$D$4,'Lap ED'!H53='Peta Risiko'!$G$9),'Lap ED'!A53,"")</f>
        <v/>
      </c>
      <c r="F62" s="27" t="str">
        <f>IF(AND('Lap ED'!G53='Peta Risiko'!$D$4,'Lap ED'!H53='Peta Risiko'!$H$9),'Lap ED'!A53,"")</f>
        <v/>
      </c>
      <c r="G62" s="27" t="str">
        <f>IF(AND('Lap ED'!G53='Peta Risiko'!$D$4,'Lap ED'!H53='Peta Risiko'!$I$9),'Lap ED'!A53,"")</f>
        <v/>
      </c>
      <c r="H62" s="27" t="str">
        <f>IF(AND('Lap ED'!G53='Peta Risiko'!$D$5,'Lap ED'!H53='Peta Risiko'!$E$9),'Lap ED'!A53,"")</f>
        <v/>
      </c>
      <c r="I62" s="27" t="str">
        <f>IF(AND('Lap ED'!G53='Peta Risiko'!$D$5,'Lap ED'!H53='Peta Risiko'!$F$9),'Lap ED'!A53,"")</f>
        <v/>
      </c>
      <c r="J62" s="27" t="str">
        <f>IF(AND('Lap ED'!G53='Peta Risiko'!$D$5,'Lap ED'!H53='Peta Risiko'!$G$9),'Lap ED'!A53,"")</f>
        <v/>
      </c>
      <c r="K62" s="27" t="str">
        <f>IF(AND('Lap ED'!G53='Peta Risiko'!$D$5,'Lap ED'!H53='Peta Risiko'!$H$9),'Lap ED'!A53,"")</f>
        <v/>
      </c>
      <c r="L62" s="27" t="str">
        <f>IF(AND('Lap ED'!G53='Peta Risiko'!$D$5,'Lap ED'!H53='Peta Risiko'!$I$9),'Lap ED'!A53,"")</f>
        <v/>
      </c>
      <c r="M62" s="27" t="str">
        <f>IF(AND('Lap ED'!G53='Peta Risiko'!$D$6,'Lap ED'!H53='Peta Risiko'!$E$9),'Lap ED'!A53,"")</f>
        <v/>
      </c>
      <c r="N62" s="27" t="str">
        <f>IF(AND('Lap ED'!G53='Peta Risiko'!$D$6,'Lap ED'!H53='Peta Risiko'!$F$9),'Lap ED'!A53,"")</f>
        <v/>
      </c>
      <c r="O62" s="27" t="str">
        <f>IF(AND('Lap ED'!G53='Peta Risiko'!$D$6,'Lap ED'!H53='Peta Risiko'!$G$9),'Lap ED'!A53,"")</f>
        <v/>
      </c>
      <c r="P62" s="27" t="str">
        <f>IF(AND('Lap ED'!G53='Peta Risiko'!$D$6,'Lap ED'!H53='Peta Risiko'!$H$9),'Lap ED'!A53,"")</f>
        <v/>
      </c>
      <c r="Q62" s="27" t="str">
        <f>IF(AND('Lap ED'!G53='Peta Risiko'!$D$6,'Lap ED'!H53='Peta Risiko'!$I$9),'Lap ED'!A53,"")</f>
        <v/>
      </c>
      <c r="R62" s="27" t="str">
        <f>IF(AND('Lap ED'!G53='Peta Risiko'!$D$7,'Lap ED'!H53='Peta Risiko'!$E$9),'Lap ED'!A53,"")</f>
        <v/>
      </c>
      <c r="S62" s="27" t="str">
        <f>IF(AND('Lap ED'!G53='Peta Risiko'!$D$7,'Lap ED'!H53='Peta Risiko'!$F$9),'Lap ED'!A53,"")</f>
        <v/>
      </c>
      <c r="T62" s="27" t="str">
        <f>IF(AND('Lap ED'!G53='Peta Risiko'!$D$7,'Lap ED'!H53='Peta Risiko'!$G$9),'Lap ED'!A53,"")</f>
        <v/>
      </c>
      <c r="U62" s="27" t="str">
        <f>IF(AND('Lap ED'!G53='Peta Risiko'!$D$7,'Lap ED'!H53='Peta Risiko'!$H$9),'Lap ED'!A53,"")</f>
        <v/>
      </c>
      <c r="V62" s="27" t="str">
        <f>IF(AND('Lap ED'!G53='Peta Risiko'!$D$7,'Lap ED'!H53='Peta Risiko'!$I$9),'Lap ED'!A53,"")</f>
        <v/>
      </c>
      <c r="W62" s="27">
        <f>IF(AND('Lap ED'!G53='Peta Risiko'!$D$8,'Lap ED'!H53='Peta Risiko'!$E$9),'Lap ED'!A53,"")</f>
        <v>42</v>
      </c>
      <c r="X62" s="27" t="str">
        <f>IF(AND('Lap ED'!G53='Peta Risiko'!$D$8,'Lap ED'!H53='Peta Risiko'!$F$9),'Lap ED'!A53,"")</f>
        <v/>
      </c>
      <c r="Y62" s="27" t="str">
        <f>IF(AND('Lap ED'!G53='Peta Risiko'!$D$8,'Lap ED'!H53='Peta Risiko'!$G$9),'Lap ED'!A53,"")</f>
        <v/>
      </c>
      <c r="Z62" s="27" t="str">
        <f>IF(AND('Lap ED'!G53='Peta Risiko'!$D$8,'Lap ED'!H53='Peta Risiko'!$H$9),'Lap ED'!A53,"")</f>
        <v/>
      </c>
      <c r="AA62" s="27" t="str">
        <f>IF(AND('Lap ED'!G53='Peta Risiko'!$D$8,'Lap ED'!H53='Peta Risiko'!$I$9),'Lap ED'!A53,"")</f>
        <v/>
      </c>
    </row>
    <row r="63" spans="2:27" hidden="1" x14ac:dyDescent="0.25">
      <c r="B63" s="27">
        <f t="shared" si="5"/>
        <v>49</v>
      </c>
      <c r="C63" s="27" t="str">
        <f>IF(AND('Lap ED'!G54='Peta Risiko'!$D$4,'Lap ED'!H54='Peta Risiko'!$E$9),'Lap ED'!A54,"")</f>
        <v/>
      </c>
      <c r="D63" s="27" t="str">
        <f>IF(AND('Lap ED'!G54='Peta Risiko'!$D$4,'Lap ED'!H54='Peta Risiko'!$F$9),'Lap ED'!A54,"")</f>
        <v/>
      </c>
      <c r="E63" s="27" t="str">
        <f>IF(AND('Lap ED'!G54='Peta Risiko'!$D$4,'Lap ED'!H54='Peta Risiko'!$G$9),'Lap ED'!A54,"")</f>
        <v/>
      </c>
      <c r="F63" s="27" t="str">
        <f>IF(AND('Lap ED'!G54='Peta Risiko'!$D$4,'Lap ED'!H54='Peta Risiko'!$H$9),'Lap ED'!A54,"")</f>
        <v/>
      </c>
      <c r="G63" s="27" t="str">
        <f>IF(AND('Lap ED'!G54='Peta Risiko'!$D$4,'Lap ED'!H54='Peta Risiko'!$I$9),'Lap ED'!A54,"")</f>
        <v/>
      </c>
      <c r="H63" s="27" t="str">
        <f>IF(AND('Lap ED'!G54='Peta Risiko'!$D$5,'Lap ED'!H54='Peta Risiko'!$E$9),'Lap ED'!A54,"")</f>
        <v/>
      </c>
      <c r="I63" s="27" t="str">
        <f>IF(AND('Lap ED'!G54='Peta Risiko'!$D$5,'Lap ED'!H54='Peta Risiko'!$F$9),'Lap ED'!A54,"")</f>
        <v/>
      </c>
      <c r="J63" s="27" t="str">
        <f>IF(AND('Lap ED'!G54='Peta Risiko'!$D$5,'Lap ED'!H54='Peta Risiko'!$G$9),'Lap ED'!A54,"")</f>
        <v/>
      </c>
      <c r="K63" s="27" t="str">
        <f>IF(AND('Lap ED'!G54='Peta Risiko'!$D$5,'Lap ED'!H54='Peta Risiko'!$H$9),'Lap ED'!A54,"")</f>
        <v/>
      </c>
      <c r="L63" s="27" t="str">
        <f>IF(AND('Lap ED'!G54='Peta Risiko'!$D$5,'Lap ED'!H54='Peta Risiko'!$I$9),'Lap ED'!A54,"")</f>
        <v/>
      </c>
      <c r="M63" s="27" t="str">
        <f>IF(AND('Lap ED'!G54='Peta Risiko'!$D$6,'Lap ED'!H54='Peta Risiko'!$E$9),'Lap ED'!A54,"")</f>
        <v/>
      </c>
      <c r="N63" s="27" t="str">
        <f>IF(AND('Lap ED'!G54='Peta Risiko'!$D$6,'Lap ED'!H54='Peta Risiko'!$F$9),'Lap ED'!A54,"")</f>
        <v/>
      </c>
      <c r="O63" s="27" t="str">
        <f>IF(AND('Lap ED'!G54='Peta Risiko'!$D$6,'Lap ED'!H54='Peta Risiko'!$G$9),'Lap ED'!A54,"")</f>
        <v/>
      </c>
      <c r="P63" s="27" t="str">
        <f>IF(AND('Lap ED'!G54='Peta Risiko'!$D$6,'Lap ED'!H54='Peta Risiko'!$H$9),'Lap ED'!A54,"")</f>
        <v/>
      </c>
      <c r="Q63" s="27" t="str">
        <f>IF(AND('Lap ED'!G54='Peta Risiko'!$D$6,'Lap ED'!H54='Peta Risiko'!$I$9),'Lap ED'!A54,"")</f>
        <v/>
      </c>
      <c r="R63" s="27" t="str">
        <f>IF(AND('Lap ED'!G54='Peta Risiko'!$D$7,'Lap ED'!H54='Peta Risiko'!$E$9),'Lap ED'!A54,"")</f>
        <v/>
      </c>
      <c r="S63" s="27" t="str">
        <f>IF(AND('Lap ED'!G54='Peta Risiko'!$D$7,'Lap ED'!H54='Peta Risiko'!$F$9),'Lap ED'!A54,"")</f>
        <v/>
      </c>
      <c r="T63" s="27" t="str">
        <f>IF(AND('Lap ED'!G54='Peta Risiko'!$D$7,'Lap ED'!H54='Peta Risiko'!$G$9),'Lap ED'!A54,"")</f>
        <v/>
      </c>
      <c r="U63" s="27" t="str">
        <f>IF(AND('Lap ED'!G54='Peta Risiko'!$D$7,'Lap ED'!H54='Peta Risiko'!$H$9),'Lap ED'!A54,"")</f>
        <v/>
      </c>
      <c r="V63" s="27" t="str">
        <f>IF(AND('Lap ED'!G54='Peta Risiko'!$D$7,'Lap ED'!H54='Peta Risiko'!$I$9),'Lap ED'!A54,"")</f>
        <v/>
      </c>
      <c r="W63" s="27">
        <f>IF(AND('Lap ED'!G54='Peta Risiko'!$D$8,'Lap ED'!H54='Peta Risiko'!$E$9),'Lap ED'!A54,"")</f>
        <v>43</v>
      </c>
      <c r="X63" s="27" t="str">
        <f>IF(AND('Lap ED'!G54='Peta Risiko'!$D$8,'Lap ED'!H54='Peta Risiko'!$F$9),'Lap ED'!A54,"")</f>
        <v/>
      </c>
      <c r="Y63" s="27" t="str">
        <f>IF(AND('Lap ED'!G54='Peta Risiko'!$D$8,'Lap ED'!H54='Peta Risiko'!$G$9),'Lap ED'!A54,"")</f>
        <v/>
      </c>
      <c r="Z63" s="27" t="str">
        <f>IF(AND('Lap ED'!G54='Peta Risiko'!$D$8,'Lap ED'!H54='Peta Risiko'!$H$9),'Lap ED'!A54,"")</f>
        <v/>
      </c>
      <c r="AA63" s="27" t="str">
        <f>IF(AND('Lap ED'!G54='Peta Risiko'!$D$8,'Lap ED'!H54='Peta Risiko'!$I$9),'Lap ED'!A54,"")</f>
        <v/>
      </c>
    </row>
    <row r="64" spans="2:27" hidden="1" x14ac:dyDescent="0.25">
      <c r="B64" s="27">
        <f t="shared" si="5"/>
        <v>50</v>
      </c>
      <c r="C64" s="27" t="str">
        <f>IF(AND('Lap ED'!G55='Peta Risiko'!$D$4,'Lap ED'!H55='Peta Risiko'!$E$9),'Lap ED'!A55,"")</f>
        <v/>
      </c>
      <c r="D64" s="27" t="str">
        <f>IF(AND('Lap ED'!G55='Peta Risiko'!$D$4,'Lap ED'!H55='Peta Risiko'!$F$9),'Lap ED'!A55,"")</f>
        <v/>
      </c>
      <c r="E64" s="27" t="str">
        <f>IF(AND('Lap ED'!G55='Peta Risiko'!$D$4,'Lap ED'!H55='Peta Risiko'!$G$9),'Lap ED'!A55,"")</f>
        <v/>
      </c>
      <c r="F64" s="27" t="str">
        <f>IF(AND('Lap ED'!G55='Peta Risiko'!$D$4,'Lap ED'!H55='Peta Risiko'!$H$9),'Lap ED'!A55,"")</f>
        <v/>
      </c>
      <c r="G64" s="27" t="str">
        <f>IF(AND('Lap ED'!G55='Peta Risiko'!$D$4,'Lap ED'!H55='Peta Risiko'!$I$9),'Lap ED'!A55,"")</f>
        <v/>
      </c>
      <c r="H64" s="27" t="str">
        <f>IF(AND('Lap ED'!G55='Peta Risiko'!$D$5,'Lap ED'!H55='Peta Risiko'!$E$9),'Lap ED'!A55,"")</f>
        <v/>
      </c>
      <c r="I64" s="27" t="str">
        <f>IF(AND('Lap ED'!G55='Peta Risiko'!$D$5,'Lap ED'!H55='Peta Risiko'!$F$9),'Lap ED'!A55,"")</f>
        <v/>
      </c>
      <c r="J64" s="27" t="str">
        <f>IF(AND('Lap ED'!G55='Peta Risiko'!$D$5,'Lap ED'!H55='Peta Risiko'!$G$9),'Lap ED'!A55,"")</f>
        <v/>
      </c>
      <c r="K64" s="27" t="str">
        <f>IF(AND('Lap ED'!G55='Peta Risiko'!$D$5,'Lap ED'!H55='Peta Risiko'!$H$9),'Lap ED'!A55,"")</f>
        <v/>
      </c>
      <c r="L64" s="27" t="str">
        <f>IF(AND('Lap ED'!G55='Peta Risiko'!$D$5,'Lap ED'!H55='Peta Risiko'!$I$9),'Lap ED'!A55,"")</f>
        <v/>
      </c>
      <c r="M64" s="27" t="str">
        <f>IF(AND('Lap ED'!G55='Peta Risiko'!$D$6,'Lap ED'!H55='Peta Risiko'!$E$9),'Lap ED'!A55,"")</f>
        <v/>
      </c>
      <c r="N64" s="27" t="str">
        <f>IF(AND('Lap ED'!G55='Peta Risiko'!$D$6,'Lap ED'!H55='Peta Risiko'!$F$9),'Lap ED'!A55,"")</f>
        <v/>
      </c>
      <c r="O64" s="27" t="str">
        <f>IF(AND('Lap ED'!G55='Peta Risiko'!$D$6,'Lap ED'!H55='Peta Risiko'!$G$9),'Lap ED'!A55,"")</f>
        <v/>
      </c>
      <c r="P64" s="27" t="str">
        <f>IF(AND('Lap ED'!G55='Peta Risiko'!$D$6,'Lap ED'!H55='Peta Risiko'!$H$9),'Lap ED'!A55,"")</f>
        <v/>
      </c>
      <c r="Q64" s="27" t="str">
        <f>IF(AND('Lap ED'!G55='Peta Risiko'!$D$6,'Lap ED'!H55='Peta Risiko'!$I$9),'Lap ED'!A55,"")</f>
        <v/>
      </c>
      <c r="R64" s="27" t="str">
        <f>IF(AND('Lap ED'!G55='Peta Risiko'!$D$7,'Lap ED'!H55='Peta Risiko'!$E$9),'Lap ED'!A55,"")</f>
        <v/>
      </c>
      <c r="S64" s="27" t="str">
        <f>IF(AND('Lap ED'!G55='Peta Risiko'!$D$7,'Lap ED'!H55='Peta Risiko'!$F$9),'Lap ED'!A55,"")</f>
        <v/>
      </c>
      <c r="T64" s="27" t="str">
        <f>IF(AND('Lap ED'!G55='Peta Risiko'!$D$7,'Lap ED'!H55='Peta Risiko'!$G$9),'Lap ED'!A55,"")</f>
        <v/>
      </c>
      <c r="U64" s="27" t="str">
        <f>IF(AND('Lap ED'!G55='Peta Risiko'!$D$7,'Lap ED'!H55='Peta Risiko'!$H$9),'Lap ED'!A55,"")</f>
        <v/>
      </c>
      <c r="V64" s="27" t="str">
        <f>IF(AND('Lap ED'!G55='Peta Risiko'!$D$7,'Lap ED'!H55='Peta Risiko'!$I$9),'Lap ED'!A55,"")</f>
        <v/>
      </c>
      <c r="W64" s="27">
        <f>IF(AND('Lap ED'!G55='Peta Risiko'!$D$8,'Lap ED'!H55='Peta Risiko'!$E$9),'Lap ED'!A55,"")</f>
        <v>44</v>
      </c>
      <c r="X64" s="27" t="str">
        <f>IF(AND('Lap ED'!G55='Peta Risiko'!$D$8,'Lap ED'!H55='Peta Risiko'!$F$9),'Lap ED'!A55,"")</f>
        <v/>
      </c>
      <c r="Y64" s="27" t="str">
        <f>IF(AND('Lap ED'!G55='Peta Risiko'!$D$8,'Lap ED'!H55='Peta Risiko'!$G$9),'Lap ED'!A55,"")</f>
        <v/>
      </c>
      <c r="Z64" s="27" t="str">
        <f>IF(AND('Lap ED'!G55='Peta Risiko'!$D$8,'Lap ED'!H55='Peta Risiko'!$H$9),'Lap ED'!A55,"")</f>
        <v/>
      </c>
      <c r="AA64" s="27" t="str">
        <f>IF(AND('Lap ED'!G55='Peta Risiko'!$D$8,'Lap ED'!H55='Peta Risiko'!$I$9),'Lap ED'!A55,"")</f>
        <v/>
      </c>
    </row>
    <row r="65" spans="2:27" hidden="1" x14ac:dyDescent="0.25">
      <c r="B65" s="27">
        <f t="shared" si="5"/>
        <v>51</v>
      </c>
      <c r="C65" s="27" t="str">
        <f>IF(AND('Lap ED'!G56='Peta Risiko'!$D$4,'Lap ED'!H56='Peta Risiko'!$E$9),'Lap ED'!A56,"")</f>
        <v/>
      </c>
      <c r="D65" s="27" t="str">
        <f>IF(AND('Lap ED'!G56='Peta Risiko'!$D$4,'Lap ED'!H56='Peta Risiko'!$F$9),'Lap ED'!A56,"")</f>
        <v/>
      </c>
      <c r="E65" s="27" t="str">
        <f>IF(AND('Lap ED'!G56='Peta Risiko'!$D$4,'Lap ED'!H56='Peta Risiko'!$G$9),'Lap ED'!A56,"")</f>
        <v/>
      </c>
      <c r="F65" s="27" t="str">
        <f>IF(AND('Lap ED'!G56='Peta Risiko'!$D$4,'Lap ED'!H56='Peta Risiko'!$H$9),'Lap ED'!A56,"")</f>
        <v/>
      </c>
      <c r="G65" s="27" t="str">
        <f>IF(AND('Lap ED'!G56='Peta Risiko'!$D$4,'Lap ED'!H56='Peta Risiko'!$I$9),'Lap ED'!A56,"")</f>
        <v/>
      </c>
      <c r="H65" s="27" t="str">
        <f>IF(AND('Lap ED'!G56='Peta Risiko'!$D$5,'Lap ED'!H56='Peta Risiko'!$E$9),'Lap ED'!A56,"")</f>
        <v/>
      </c>
      <c r="I65" s="27" t="str">
        <f>IF(AND('Lap ED'!G56='Peta Risiko'!$D$5,'Lap ED'!H56='Peta Risiko'!$F$9),'Lap ED'!A56,"")</f>
        <v/>
      </c>
      <c r="J65" s="27" t="str">
        <f>IF(AND('Lap ED'!G56='Peta Risiko'!$D$5,'Lap ED'!H56='Peta Risiko'!$G$9),'Lap ED'!A56,"")</f>
        <v/>
      </c>
      <c r="K65" s="27" t="str">
        <f>IF(AND('Lap ED'!G56='Peta Risiko'!$D$5,'Lap ED'!H56='Peta Risiko'!$H$9),'Lap ED'!A56,"")</f>
        <v/>
      </c>
      <c r="L65" s="27" t="str">
        <f>IF(AND('Lap ED'!G56='Peta Risiko'!$D$5,'Lap ED'!H56='Peta Risiko'!$I$9),'Lap ED'!A56,"")</f>
        <v/>
      </c>
      <c r="M65" s="27" t="str">
        <f>IF(AND('Lap ED'!G56='Peta Risiko'!$D$6,'Lap ED'!H56='Peta Risiko'!$E$9),'Lap ED'!A56,"")</f>
        <v/>
      </c>
      <c r="N65" s="27" t="str">
        <f>IF(AND('Lap ED'!G56='Peta Risiko'!$D$6,'Lap ED'!H56='Peta Risiko'!$F$9),'Lap ED'!A56,"")</f>
        <v/>
      </c>
      <c r="O65" s="27" t="str">
        <f>IF(AND('Lap ED'!G56='Peta Risiko'!$D$6,'Lap ED'!H56='Peta Risiko'!$G$9),'Lap ED'!A56,"")</f>
        <v/>
      </c>
      <c r="P65" s="27" t="str">
        <f>IF(AND('Lap ED'!G56='Peta Risiko'!$D$6,'Lap ED'!H56='Peta Risiko'!$H$9),'Lap ED'!A56,"")</f>
        <v/>
      </c>
      <c r="Q65" s="27" t="str">
        <f>IF(AND('Lap ED'!G56='Peta Risiko'!$D$6,'Lap ED'!H56='Peta Risiko'!$I$9),'Lap ED'!A56,"")</f>
        <v/>
      </c>
      <c r="R65" s="27" t="str">
        <f>IF(AND('Lap ED'!G56='Peta Risiko'!$D$7,'Lap ED'!H56='Peta Risiko'!$E$9),'Lap ED'!A56,"")</f>
        <v/>
      </c>
      <c r="S65" s="27" t="str">
        <f>IF(AND('Lap ED'!G56='Peta Risiko'!$D$7,'Lap ED'!H56='Peta Risiko'!$F$9),'Lap ED'!A56,"")</f>
        <v/>
      </c>
      <c r="T65" s="27" t="str">
        <f>IF(AND('Lap ED'!G56='Peta Risiko'!$D$7,'Lap ED'!H56='Peta Risiko'!$G$9),'Lap ED'!A56,"")</f>
        <v/>
      </c>
      <c r="U65" s="27" t="str">
        <f>IF(AND('Lap ED'!G56='Peta Risiko'!$D$7,'Lap ED'!H56='Peta Risiko'!$H$9),'Lap ED'!A56,"")</f>
        <v/>
      </c>
      <c r="V65" s="27" t="str">
        <f>IF(AND('Lap ED'!G56='Peta Risiko'!$D$7,'Lap ED'!H56='Peta Risiko'!$I$9),'Lap ED'!A56,"")</f>
        <v/>
      </c>
      <c r="W65" s="27">
        <f>IF(AND('Lap ED'!G56='Peta Risiko'!$D$8,'Lap ED'!H56='Peta Risiko'!$E$9),'Lap ED'!A56,"")</f>
        <v>45</v>
      </c>
      <c r="X65" s="27" t="str">
        <f>IF(AND('Lap ED'!G56='Peta Risiko'!$D$8,'Lap ED'!H56='Peta Risiko'!$F$9),'Lap ED'!A56,"")</f>
        <v/>
      </c>
      <c r="Y65" s="27" t="str">
        <f>IF(AND('Lap ED'!G56='Peta Risiko'!$D$8,'Lap ED'!H56='Peta Risiko'!$G$9),'Lap ED'!A56,"")</f>
        <v/>
      </c>
      <c r="Z65" s="27" t="str">
        <f>IF(AND('Lap ED'!G56='Peta Risiko'!$D$8,'Lap ED'!H56='Peta Risiko'!$H$9),'Lap ED'!A56,"")</f>
        <v/>
      </c>
      <c r="AA65" s="27" t="str">
        <f>IF(AND('Lap ED'!G56='Peta Risiko'!$D$8,'Lap ED'!H56='Peta Risiko'!$I$9),'Lap ED'!A56,"")</f>
        <v/>
      </c>
    </row>
    <row r="66" spans="2:27" hidden="1" x14ac:dyDescent="0.25">
      <c r="B66" s="27">
        <f t="shared" si="5"/>
        <v>52</v>
      </c>
      <c r="C66" s="27" t="str">
        <f>IF(AND('Lap ED'!G57='Peta Risiko'!$D$4,'Lap ED'!H57='Peta Risiko'!$E$9),'Lap ED'!A57,"")</f>
        <v/>
      </c>
      <c r="D66" s="27" t="str">
        <f>IF(AND('Lap ED'!G57='Peta Risiko'!$D$4,'Lap ED'!H57='Peta Risiko'!$F$9),'Lap ED'!A57,"")</f>
        <v/>
      </c>
      <c r="E66" s="27" t="str">
        <f>IF(AND('Lap ED'!G57='Peta Risiko'!$D$4,'Lap ED'!H57='Peta Risiko'!$G$9),'Lap ED'!A57,"")</f>
        <v/>
      </c>
      <c r="F66" s="27" t="str">
        <f>IF(AND('Lap ED'!G57='Peta Risiko'!$D$4,'Lap ED'!H57='Peta Risiko'!$H$9),'Lap ED'!A57,"")</f>
        <v/>
      </c>
      <c r="G66" s="27" t="str">
        <f>IF(AND('Lap ED'!G57='Peta Risiko'!$D$4,'Lap ED'!H57='Peta Risiko'!$I$9),'Lap ED'!A57,"")</f>
        <v/>
      </c>
      <c r="H66" s="27" t="str">
        <f>IF(AND('Lap ED'!G57='Peta Risiko'!$D$5,'Lap ED'!H57='Peta Risiko'!$E$9),'Lap ED'!A57,"")</f>
        <v/>
      </c>
      <c r="I66" s="27" t="str">
        <f>IF(AND('Lap ED'!G57='Peta Risiko'!$D$5,'Lap ED'!H57='Peta Risiko'!$F$9),'Lap ED'!A57,"")</f>
        <v/>
      </c>
      <c r="J66" s="27" t="str">
        <f>IF(AND('Lap ED'!G57='Peta Risiko'!$D$5,'Lap ED'!H57='Peta Risiko'!$G$9),'Lap ED'!A57,"")</f>
        <v/>
      </c>
      <c r="K66" s="27" t="str">
        <f>IF(AND('Lap ED'!G57='Peta Risiko'!$D$5,'Lap ED'!H57='Peta Risiko'!$H$9),'Lap ED'!A57,"")</f>
        <v/>
      </c>
      <c r="L66" s="27" t="str">
        <f>IF(AND('Lap ED'!G57='Peta Risiko'!$D$5,'Lap ED'!H57='Peta Risiko'!$I$9),'Lap ED'!A57,"")</f>
        <v/>
      </c>
      <c r="M66" s="27" t="str">
        <f>IF(AND('Lap ED'!G57='Peta Risiko'!$D$6,'Lap ED'!H57='Peta Risiko'!$E$9),'Lap ED'!A57,"")</f>
        <v/>
      </c>
      <c r="N66" s="27" t="str">
        <f>IF(AND('Lap ED'!G57='Peta Risiko'!$D$6,'Lap ED'!H57='Peta Risiko'!$F$9),'Lap ED'!A57,"")</f>
        <v/>
      </c>
      <c r="O66" s="27" t="str">
        <f>IF(AND('Lap ED'!G57='Peta Risiko'!$D$6,'Lap ED'!H57='Peta Risiko'!$G$9),'Lap ED'!A57,"")</f>
        <v/>
      </c>
      <c r="P66" s="27" t="str">
        <f>IF(AND('Lap ED'!G57='Peta Risiko'!$D$6,'Lap ED'!H57='Peta Risiko'!$H$9),'Lap ED'!A57,"")</f>
        <v/>
      </c>
      <c r="Q66" s="27" t="str">
        <f>IF(AND('Lap ED'!G57='Peta Risiko'!$D$6,'Lap ED'!H57='Peta Risiko'!$I$9),'Lap ED'!A57,"")</f>
        <v/>
      </c>
      <c r="R66" s="27" t="str">
        <f>IF(AND('Lap ED'!G57='Peta Risiko'!$D$7,'Lap ED'!H57='Peta Risiko'!$E$9),'Lap ED'!A57,"")</f>
        <v/>
      </c>
      <c r="S66" s="27" t="str">
        <f>IF(AND('Lap ED'!G57='Peta Risiko'!$D$7,'Lap ED'!H57='Peta Risiko'!$F$9),'Lap ED'!A57,"")</f>
        <v/>
      </c>
      <c r="T66" s="27" t="str">
        <f>IF(AND('Lap ED'!G57='Peta Risiko'!$D$7,'Lap ED'!H57='Peta Risiko'!$G$9),'Lap ED'!A57,"")</f>
        <v/>
      </c>
      <c r="U66" s="27" t="str">
        <f>IF(AND('Lap ED'!G57='Peta Risiko'!$D$7,'Lap ED'!H57='Peta Risiko'!$H$9),'Lap ED'!A57,"")</f>
        <v/>
      </c>
      <c r="V66" s="27" t="str">
        <f>IF(AND('Lap ED'!G57='Peta Risiko'!$D$7,'Lap ED'!H57='Peta Risiko'!$I$9),'Lap ED'!A57,"")</f>
        <v/>
      </c>
      <c r="W66" s="27">
        <f>IF(AND('Lap ED'!G57='Peta Risiko'!$D$8,'Lap ED'!H57='Peta Risiko'!$E$9),'Lap ED'!A57,"")</f>
        <v>46</v>
      </c>
      <c r="X66" s="27" t="str">
        <f>IF(AND('Lap ED'!G57='Peta Risiko'!$D$8,'Lap ED'!H57='Peta Risiko'!$F$9),'Lap ED'!A57,"")</f>
        <v/>
      </c>
      <c r="Y66" s="27" t="str">
        <f>IF(AND('Lap ED'!G57='Peta Risiko'!$D$8,'Lap ED'!H57='Peta Risiko'!$G$9),'Lap ED'!A57,"")</f>
        <v/>
      </c>
      <c r="Z66" s="27" t="str">
        <f>IF(AND('Lap ED'!G57='Peta Risiko'!$D$8,'Lap ED'!H57='Peta Risiko'!$H$9),'Lap ED'!A57,"")</f>
        <v/>
      </c>
      <c r="AA66" s="27" t="str">
        <f>IF(AND('Lap ED'!G57='Peta Risiko'!$D$8,'Lap ED'!H57='Peta Risiko'!$I$9),'Lap ED'!A57,"")</f>
        <v/>
      </c>
    </row>
    <row r="67" spans="2:27" hidden="1" x14ac:dyDescent="0.25">
      <c r="B67" s="27">
        <f t="shared" si="5"/>
        <v>53</v>
      </c>
      <c r="C67" s="27" t="str">
        <f>IF(AND('Lap ED'!G58='Peta Risiko'!$D$4,'Lap ED'!H58='Peta Risiko'!$E$9),'Lap ED'!A58,"")</f>
        <v/>
      </c>
      <c r="D67" s="27" t="str">
        <f>IF(AND('Lap ED'!G58='Peta Risiko'!$D$4,'Lap ED'!H58='Peta Risiko'!$F$9),'Lap ED'!A58,"")</f>
        <v/>
      </c>
      <c r="E67" s="27" t="str">
        <f>IF(AND('Lap ED'!G58='Peta Risiko'!$D$4,'Lap ED'!H58='Peta Risiko'!$G$9),'Lap ED'!A58,"")</f>
        <v/>
      </c>
      <c r="F67" s="27" t="str">
        <f>IF(AND('Lap ED'!G58='Peta Risiko'!$D$4,'Lap ED'!H58='Peta Risiko'!$H$9),'Lap ED'!A58,"")</f>
        <v/>
      </c>
      <c r="G67" s="27" t="str">
        <f>IF(AND('Lap ED'!G58='Peta Risiko'!$D$4,'Lap ED'!H58='Peta Risiko'!$I$9),'Lap ED'!A58,"")</f>
        <v/>
      </c>
      <c r="H67" s="27" t="str">
        <f>IF(AND('Lap ED'!G58='Peta Risiko'!$D$5,'Lap ED'!H58='Peta Risiko'!$E$9),'Lap ED'!A58,"")</f>
        <v/>
      </c>
      <c r="I67" s="27" t="str">
        <f>IF(AND('Lap ED'!G58='Peta Risiko'!$D$5,'Lap ED'!H58='Peta Risiko'!$F$9),'Lap ED'!A58,"")</f>
        <v/>
      </c>
      <c r="J67" s="27" t="str">
        <f>IF(AND('Lap ED'!G58='Peta Risiko'!$D$5,'Lap ED'!H58='Peta Risiko'!$G$9),'Lap ED'!A58,"")</f>
        <v/>
      </c>
      <c r="K67" s="27" t="str">
        <f>IF(AND('Lap ED'!G58='Peta Risiko'!$D$5,'Lap ED'!H58='Peta Risiko'!$H$9),'Lap ED'!A58,"")</f>
        <v/>
      </c>
      <c r="L67" s="27" t="str">
        <f>IF(AND('Lap ED'!G58='Peta Risiko'!$D$5,'Lap ED'!H58='Peta Risiko'!$I$9),'Lap ED'!A58,"")</f>
        <v/>
      </c>
      <c r="M67" s="27" t="str">
        <f>IF(AND('Lap ED'!G58='Peta Risiko'!$D$6,'Lap ED'!H58='Peta Risiko'!$E$9),'Lap ED'!A58,"")</f>
        <v/>
      </c>
      <c r="N67" s="27" t="str">
        <f>IF(AND('Lap ED'!G58='Peta Risiko'!$D$6,'Lap ED'!H58='Peta Risiko'!$F$9),'Lap ED'!A58,"")</f>
        <v/>
      </c>
      <c r="O67" s="27" t="str">
        <f>IF(AND('Lap ED'!G58='Peta Risiko'!$D$6,'Lap ED'!H58='Peta Risiko'!$G$9),'Lap ED'!A58,"")</f>
        <v/>
      </c>
      <c r="P67" s="27" t="str">
        <f>IF(AND('Lap ED'!G58='Peta Risiko'!$D$6,'Lap ED'!H58='Peta Risiko'!$H$9),'Lap ED'!A58,"")</f>
        <v/>
      </c>
      <c r="Q67" s="27" t="str">
        <f>IF(AND('Lap ED'!G58='Peta Risiko'!$D$6,'Lap ED'!H58='Peta Risiko'!$I$9),'Lap ED'!A58,"")</f>
        <v/>
      </c>
      <c r="R67" s="27" t="str">
        <f>IF(AND('Lap ED'!G58='Peta Risiko'!$D$7,'Lap ED'!H58='Peta Risiko'!$E$9),'Lap ED'!A58,"")</f>
        <v/>
      </c>
      <c r="S67" s="27" t="str">
        <f>IF(AND('Lap ED'!G58='Peta Risiko'!$D$7,'Lap ED'!H58='Peta Risiko'!$F$9),'Lap ED'!A58,"")</f>
        <v/>
      </c>
      <c r="T67" s="27" t="str">
        <f>IF(AND('Lap ED'!G58='Peta Risiko'!$D$7,'Lap ED'!H58='Peta Risiko'!$G$9),'Lap ED'!A58,"")</f>
        <v/>
      </c>
      <c r="U67" s="27" t="str">
        <f>IF(AND('Lap ED'!G58='Peta Risiko'!$D$7,'Lap ED'!H58='Peta Risiko'!$H$9),'Lap ED'!A58,"")</f>
        <v/>
      </c>
      <c r="V67" s="27" t="str">
        <f>IF(AND('Lap ED'!G58='Peta Risiko'!$D$7,'Lap ED'!H58='Peta Risiko'!$I$9),'Lap ED'!A58,"")</f>
        <v/>
      </c>
      <c r="W67" s="27">
        <f>IF(AND('Lap ED'!G58='Peta Risiko'!$D$8,'Lap ED'!H58='Peta Risiko'!$E$9),'Lap ED'!A58,"")</f>
        <v>47</v>
      </c>
      <c r="X67" s="27" t="str">
        <f>IF(AND('Lap ED'!G58='Peta Risiko'!$D$8,'Lap ED'!H58='Peta Risiko'!$F$9),'Lap ED'!A58,"")</f>
        <v/>
      </c>
      <c r="Y67" s="27" t="str">
        <f>IF(AND('Lap ED'!G58='Peta Risiko'!$D$8,'Lap ED'!H58='Peta Risiko'!$G$9),'Lap ED'!A58,"")</f>
        <v/>
      </c>
      <c r="Z67" s="27" t="str">
        <f>IF(AND('Lap ED'!G58='Peta Risiko'!$D$8,'Lap ED'!H58='Peta Risiko'!$H$9),'Lap ED'!A58,"")</f>
        <v/>
      </c>
      <c r="AA67" s="27" t="str">
        <f>IF(AND('Lap ED'!G58='Peta Risiko'!$D$8,'Lap ED'!H58='Peta Risiko'!$I$9),'Lap ED'!A58,"")</f>
        <v/>
      </c>
    </row>
    <row r="68" spans="2:27" hidden="1" x14ac:dyDescent="0.25">
      <c r="B68" s="27">
        <f t="shared" si="5"/>
        <v>54</v>
      </c>
      <c r="C68" s="27" t="str">
        <f>IF(AND('Lap ED'!G59='Peta Risiko'!$D$4,'Lap ED'!H59='Peta Risiko'!$E$9),'Lap ED'!A59,"")</f>
        <v/>
      </c>
      <c r="D68" s="27" t="str">
        <f>IF(AND('Lap ED'!G59='Peta Risiko'!$D$4,'Lap ED'!H59='Peta Risiko'!$F$9),'Lap ED'!A59,"")</f>
        <v/>
      </c>
      <c r="E68" s="27" t="str">
        <f>IF(AND('Lap ED'!G59='Peta Risiko'!$D$4,'Lap ED'!H59='Peta Risiko'!$G$9),'Lap ED'!A59,"")</f>
        <v/>
      </c>
      <c r="F68" s="27" t="str">
        <f>IF(AND('Lap ED'!G59='Peta Risiko'!$D$4,'Lap ED'!H59='Peta Risiko'!$H$9),'Lap ED'!A59,"")</f>
        <v/>
      </c>
      <c r="G68" s="27" t="str">
        <f>IF(AND('Lap ED'!G59='Peta Risiko'!$D$4,'Lap ED'!H59='Peta Risiko'!$I$9),'Lap ED'!A59,"")</f>
        <v/>
      </c>
      <c r="H68" s="27" t="str">
        <f>IF(AND('Lap ED'!G59='Peta Risiko'!$D$5,'Lap ED'!H59='Peta Risiko'!$E$9),'Lap ED'!A59,"")</f>
        <v/>
      </c>
      <c r="I68" s="27" t="str">
        <f>IF(AND('Lap ED'!G59='Peta Risiko'!$D$5,'Lap ED'!H59='Peta Risiko'!$F$9),'Lap ED'!A59,"")</f>
        <v/>
      </c>
      <c r="J68" s="27" t="str">
        <f>IF(AND('Lap ED'!G59='Peta Risiko'!$D$5,'Lap ED'!H59='Peta Risiko'!$G$9),'Lap ED'!A59,"")</f>
        <v/>
      </c>
      <c r="K68" s="27" t="str">
        <f>IF(AND('Lap ED'!G59='Peta Risiko'!$D$5,'Lap ED'!H59='Peta Risiko'!$H$9),'Lap ED'!A59,"")</f>
        <v/>
      </c>
      <c r="L68" s="27" t="str">
        <f>IF(AND('Lap ED'!G59='Peta Risiko'!$D$5,'Lap ED'!H59='Peta Risiko'!$I$9),'Lap ED'!A59,"")</f>
        <v/>
      </c>
      <c r="M68" s="27" t="str">
        <f>IF(AND('Lap ED'!G59='Peta Risiko'!$D$6,'Lap ED'!H59='Peta Risiko'!$E$9),'Lap ED'!A59,"")</f>
        <v/>
      </c>
      <c r="N68" s="27" t="str">
        <f>IF(AND('Lap ED'!G59='Peta Risiko'!$D$6,'Lap ED'!H59='Peta Risiko'!$F$9),'Lap ED'!A59,"")</f>
        <v/>
      </c>
      <c r="O68" s="27" t="str">
        <f>IF(AND('Lap ED'!G59='Peta Risiko'!$D$6,'Lap ED'!H59='Peta Risiko'!$G$9),'Lap ED'!A59,"")</f>
        <v/>
      </c>
      <c r="P68" s="27" t="str">
        <f>IF(AND('Lap ED'!G59='Peta Risiko'!$D$6,'Lap ED'!H59='Peta Risiko'!$H$9),'Lap ED'!A59,"")</f>
        <v/>
      </c>
      <c r="Q68" s="27" t="str">
        <f>IF(AND('Lap ED'!G59='Peta Risiko'!$D$6,'Lap ED'!H59='Peta Risiko'!$I$9),'Lap ED'!A59,"")</f>
        <v/>
      </c>
      <c r="R68" s="27" t="str">
        <f>IF(AND('Lap ED'!G59='Peta Risiko'!$D$7,'Lap ED'!H59='Peta Risiko'!$E$9),'Lap ED'!A59,"")</f>
        <v/>
      </c>
      <c r="S68" s="27" t="str">
        <f>IF(AND('Lap ED'!G59='Peta Risiko'!$D$7,'Lap ED'!H59='Peta Risiko'!$F$9),'Lap ED'!A59,"")</f>
        <v/>
      </c>
      <c r="T68" s="27" t="str">
        <f>IF(AND('Lap ED'!G59='Peta Risiko'!$D$7,'Lap ED'!H59='Peta Risiko'!$G$9),'Lap ED'!A59,"")</f>
        <v/>
      </c>
      <c r="U68" s="27" t="str">
        <f>IF(AND('Lap ED'!G59='Peta Risiko'!$D$7,'Lap ED'!H59='Peta Risiko'!$H$9),'Lap ED'!A59,"")</f>
        <v/>
      </c>
      <c r="V68" s="27" t="str">
        <f>IF(AND('Lap ED'!G59='Peta Risiko'!$D$7,'Lap ED'!H59='Peta Risiko'!$I$9),'Lap ED'!A59,"")</f>
        <v/>
      </c>
      <c r="W68" s="27">
        <f>IF(AND('Lap ED'!G59='Peta Risiko'!$D$8,'Lap ED'!H59='Peta Risiko'!$E$9),'Lap ED'!A59,"")</f>
        <v>48</v>
      </c>
      <c r="X68" s="27" t="str">
        <f>IF(AND('Lap ED'!G59='Peta Risiko'!$D$8,'Lap ED'!H59='Peta Risiko'!$F$9),'Lap ED'!A59,"")</f>
        <v/>
      </c>
      <c r="Y68" s="27" t="str">
        <f>IF(AND('Lap ED'!G59='Peta Risiko'!$D$8,'Lap ED'!H59='Peta Risiko'!$G$9),'Lap ED'!A59,"")</f>
        <v/>
      </c>
      <c r="Z68" s="27" t="str">
        <f>IF(AND('Lap ED'!G59='Peta Risiko'!$D$8,'Lap ED'!H59='Peta Risiko'!$H$9),'Lap ED'!A59,"")</f>
        <v/>
      </c>
      <c r="AA68" s="27" t="str">
        <f>IF(AND('Lap ED'!G59='Peta Risiko'!$D$8,'Lap ED'!H59='Peta Risiko'!$I$9),'Lap ED'!A59,"")</f>
        <v/>
      </c>
    </row>
    <row r="69" spans="2:27" hidden="1" x14ac:dyDescent="0.25">
      <c r="B69" s="27">
        <f t="shared" si="5"/>
        <v>55</v>
      </c>
      <c r="C69" s="27" t="str">
        <f>IF(AND('Lap ED'!G60='Peta Risiko'!$D$4,'Lap ED'!H60='Peta Risiko'!$E$9),'Lap ED'!A60,"")</f>
        <v/>
      </c>
      <c r="D69" s="27" t="str">
        <f>IF(AND('Lap ED'!G60='Peta Risiko'!$D$4,'Lap ED'!H60='Peta Risiko'!$F$9),'Lap ED'!A60,"")</f>
        <v/>
      </c>
      <c r="E69" s="27" t="str">
        <f>IF(AND('Lap ED'!G60='Peta Risiko'!$D$4,'Lap ED'!H60='Peta Risiko'!$G$9),'Lap ED'!A60,"")</f>
        <v/>
      </c>
      <c r="F69" s="27" t="str">
        <f>IF(AND('Lap ED'!G60='Peta Risiko'!$D$4,'Lap ED'!H60='Peta Risiko'!$H$9),'Lap ED'!A60,"")</f>
        <v/>
      </c>
      <c r="G69" s="27" t="str">
        <f>IF(AND('Lap ED'!G60='Peta Risiko'!$D$4,'Lap ED'!H60='Peta Risiko'!$I$9),'Lap ED'!A60,"")</f>
        <v/>
      </c>
      <c r="H69" s="27" t="str">
        <f>IF(AND('Lap ED'!G60='Peta Risiko'!$D$5,'Lap ED'!H60='Peta Risiko'!$E$9),'Lap ED'!A60,"")</f>
        <v/>
      </c>
      <c r="I69" s="27" t="str">
        <f>IF(AND('Lap ED'!G60='Peta Risiko'!$D$5,'Lap ED'!H60='Peta Risiko'!$F$9),'Lap ED'!A60,"")</f>
        <v/>
      </c>
      <c r="J69" s="27" t="str">
        <f>IF(AND('Lap ED'!G60='Peta Risiko'!$D$5,'Lap ED'!H60='Peta Risiko'!$G$9),'Lap ED'!A60,"")</f>
        <v/>
      </c>
      <c r="K69" s="27" t="str">
        <f>IF(AND('Lap ED'!G60='Peta Risiko'!$D$5,'Lap ED'!H60='Peta Risiko'!$H$9),'Lap ED'!A60,"")</f>
        <v/>
      </c>
      <c r="L69" s="27" t="str">
        <f>IF(AND('Lap ED'!G60='Peta Risiko'!$D$5,'Lap ED'!H60='Peta Risiko'!$I$9),'Lap ED'!A60,"")</f>
        <v/>
      </c>
      <c r="M69" s="27" t="str">
        <f>IF(AND('Lap ED'!G60='Peta Risiko'!$D$6,'Lap ED'!H60='Peta Risiko'!$E$9),'Lap ED'!A60,"")</f>
        <v/>
      </c>
      <c r="N69" s="27" t="str">
        <f>IF(AND('Lap ED'!G60='Peta Risiko'!$D$6,'Lap ED'!H60='Peta Risiko'!$F$9),'Lap ED'!A60,"")</f>
        <v/>
      </c>
      <c r="O69" s="27" t="str">
        <f>IF(AND('Lap ED'!G60='Peta Risiko'!$D$6,'Lap ED'!H60='Peta Risiko'!$G$9),'Lap ED'!A60,"")</f>
        <v/>
      </c>
      <c r="P69" s="27" t="str">
        <f>IF(AND('Lap ED'!G60='Peta Risiko'!$D$6,'Lap ED'!H60='Peta Risiko'!$H$9),'Lap ED'!A60,"")</f>
        <v/>
      </c>
      <c r="Q69" s="27" t="str">
        <f>IF(AND('Lap ED'!G60='Peta Risiko'!$D$6,'Lap ED'!H60='Peta Risiko'!$I$9),'Lap ED'!A60,"")</f>
        <v/>
      </c>
      <c r="R69" s="27" t="str">
        <f>IF(AND('Lap ED'!G60='Peta Risiko'!$D$7,'Lap ED'!H60='Peta Risiko'!$E$9),'Lap ED'!A60,"")</f>
        <v/>
      </c>
      <c r="S69" s="27" t="str">
        <f>IF(AND('Lap ED'!G60='Peta Risiko'!$D$7,'Lap ED'!H60='Peta Risiko'!$F$9),'Lap ED'!A60,"")</f>
        <v/>
      </c>
      <c r="T69" s="27" t="str">
        <f>IF(AND('Lap ED'!G60='Peta Risiko'!$D$7,'Lap ED'!H60='Peta Risiko'!$G$9),'Lap ED'!A60,"")</f>
        <v/>
      </c>
      <c r="U69" s="27" t="str">
        <f>IF(AND('Lap ED'!G60='Peta Risiko'!$D$7,'Lap ED'!H60='Peta Risiko'!$H$9),'Lap ED'!A60,"")</f>
        <v/>
      </c>
      <c r="V69" s="27" t="str">
        <f>IF(AND('Lap ED'!G60='Peta Risiko'!$D$7,'Lap ED'!H60='Peta Risiko'!$I$9),'Lap ED'!A60,"")</f>
        <v/>
      </c>
      <c r="W69" s="27" t="str">
        <f>IF(AND('Lap ED'!G60='Peta Risiko'!$D$8,'Lap ED'!H60='Peta Risiko'!$E$9),'Lap ED'!A60,"")</f>
        <v/>
      </c>
      <c r="X69" s="27" t="str">
        <f>IF(AND('Lap ED'!G60='Peta Risiko'!$D$8,'Lap ED'!H60='Peta Risiko'!$F$9),'Lap ED'!A60,"")</f>
        <v/>
      </c>
      <c r="Y69" s="27" t="str">
        <f>IF(AND('Lap ED'!G60='Peta Risiko'!$D$8,'Lap ED'!H60='Peta Risiko'!$G$9),'Lap ED'!A60,"")</f>
        <v/>
      </c>
      <c r="Z69" s="27" t="str">
        <f>IF(AND('Lap ED'!G60='Peta Risiko'!$D$8,'Lap ED'!H60='Peta Risiko'!$H$9),'Lap ED'!A60,"")</f>
        <v/>
      </c>
      <c r="AA69" s="27" t="str">
        <f>IF(AND('Lap ED'!G60='Peta Risiko'!$D$8,'Lap ED'!H60='Peta Risiko'!$I$9),'Lap ED'!A60,"")</f>
        <v/>
      </c>
    </row>
    <row r="70" spans="2:27" hidden="1" x14ac:dyDescent="0.25">
      <c r="B70" s="27">
        <f t="shared" si="5"/>
        <v>56</v>
      </c>
      <c r="C70" s="27" t="str">
        <f>IF(AND('Lap ED'!G61='Peta Risiko'!$D$4,'Lap ED'!H61='Peta Risiko'!$E$9),'Lap ED'!A61,"")</f>
        <v/>
      </c>
      <c r="D70" s="27" t="str">
        <f>IF(AND('Lap ED'!G61='Peta Risiko'!$D$4,'Lap ED'!H61='Peta Risiko'!$F$9),'Lap ED'!A61,"")</f>
        <v/>
      </c>
      <c r="E70" s="27" t="str">
        <f>IF(AND('Lap ED'!G61='Peta Risiko'!$D$4,'Lap ED'!H61='Peta Risiko'!$G$9),'Lap ED'!A61,"")</f>
        <v/>
      </c>
      <c r="F70" s="27" t="str">
        <f>IF(AND('Lap ED'!G61='Peta Risiko'!$D$4,'Lap ED'!H61='Peta Risiko'!$H$9),'Lap ED'!A61,"")</f>
        <v/>
      </c>
      <c r="G70" s="27" t="str">
        <f>IF(AND('Lap ED'!G61='Peta Risiko'!$D$4,'Lap ED'!H61='Peta Risiko'!$I$9),'Lap ED'!A61,"")</f>
        <v/>
      </c>
      <c r="H70" s="27" t="str">
        <f>IF(AND('Lap ED'!G61='Peta Risiko'!$D$5,'Lap ED'!H61='Peta Risiko'!$E$9),'Lap ED'!A61,"")</f>
        <v/>
      </c>
      <c r="I70" s="27" t="str">
        <f>IF(AND('Lap ED'!G61='Peta Risiko'!$D$5,'Lap ED'!H61='Peta Risiko'!$F$9),'Lap ED'!A61,"")</f>
        <v/>
      </c>
      <c r="J70" s="27" t="str">
        <f>IF(AND('Lap ED'!G61='Peta Risiko'!$D$5,'Lap ED'!H61='Peta Risiko'!$G$9),'Lap ED'!A61,"")</f>
        <v/>
      </c>
      <c r="K70" s="27" t="str">
        <f>IF(AND('Lap ED'!G61='Peta Risiko'!$D$5,'Lap ED'!H61='Peta Risiko'!$H$9),'Lap ED'!A61,"")</f>
        <v/>
      </c>
      <c r="L70" s="27" t="str">
        <f>IF(AND('Lap ED'!G61='Peta Risiko'!$D$5,'Lap ED'!H61='Peta Risiko'!$I$9),'Lap ED'!A61,"")</f>
        <v/>
      </c>
      <c r="M70" s="27" t="str">
        <f>IF(AND('Lap ED'!G61='Peta Risiko'!$D$6,'Lap ED'!H61='Peta Risiko'!$E$9),'Lap ED'!A61,"")</f>
        <v/>
      </c>
      <c r="N70" s="27" t="str">
        <f>IF(AND('Lap ED'!G61='Peta Risiko'!$D$6,'Lap ED'!H61='Peta Risiko'!$F$9),'Lap ED'!A61,"")</f>
        <v/>
      </c>
      <c r="O70" s="27" t="str">
        <f>IF(AND('Lap ED'!G61='Peta Risiko'!$D$6,'Lap ED'!H61='Peta Risiko'!$G$9),'Lap ED'!A61,"")</f>
        <v/>
      </c>
      <c r="P70" s="27" t="str">
        <f>IF(AND('Lap ED'!G61='Peta Risiko'!$D$6,'Lap ED'!H61='Peta Risiko'!$H$9),'Lap ED'!A61,"")</f>
        <v/>
      </c>
      <c r="Q70" s="27" t="str">
        <f>IF(AND('Lap ED'!G61='Peta Risiko'!$D$6,'Lap ED'!H61='Peta Risiko'!$I$9),'Lap ED'!A61,"")</f>
        <v/>
      </c>
      <c r="R70" s="27" t="str">
        <f>IF(AND('Lap ED'!G61='Peta Risiko'!$D$7,'Lap ED'!H61='Peta Risiko'!$E$9),'Lap ED'!A61,"")</f>
        <v/>
      </c>
      <c r="S70" s="27" t="str">
        <f>IF(AND('Lap ED'!G61='Peta Risiko'!$D$7,'Lap ED'!H61='Peta Risiko'!$F$9),'Lap ED'!A61,"")</f>
        <v/>
      </c>
      <c r="T70" s="27" t="str">
        <f>IF(AND('Lap ED'!G61='Peta Risiko'!$D$7,'Lap ED'!H61='Peta Risiko'!$G$9),'Lap ED'!A61,"")</f>
        <v/>
      </c>
      <c r="U70" s="27" t="str">
        <f>IF(AND('Lap ED'!G61='Peta Risiko'!$D$7,'Lap ED'!H61='Peta Risiko'!$H$9),'Lap ED'!A61,"")</f>
        <v/>
      </c>
      <c r="V70" s="27" t="str">
        <f>IF(AND('Lap ED'!G61='Peta Risiko'!$D$7,'Lap ED'!H61='Peta Risiko'!$I$9),'Lap ED'!A61,"")</f>
        <v/>
      </c>
      <c r="W70" s="27">
        <f>IF(AND('Lap ED'!G61='Peta Risiko'!$D$8,'Lap ED'!H61='Peta Risiko'!$E$9),'Lap ED'!A61,"")</f>
        <v>49</v>
      </c>
      <c r="X70" s="27" t="str">
        <f>IF(AND('Lap ED'!G61='Peta Risiko'!$D$8,'Lap ED'!H61='Peta Risiko'!$F$9),'Lap ED'!A61,"")</f>
        <v/>
      </c>
      <c r="Y70" s="27" t="str">
        <f>IF(AND('Lap ED'!G61='Peta Risiko'!$D$8,'Lap ED'!H61='Peta Risiko'!$G$9),'Lap ED'!A61,"")</f>
        <v/>
      </c>
      <c r="Z70" s="27" t="str">
        <f>IF(AND('Lap ED'!G61='Peta Risiko'!$D$8,'Lap ED'!H61='Peta Risiko'!$H$9),'Lap ED'!A61,"")</f>
        <v/>
      </c>
      <c r="AA70" s="27" t="str">
        <f>IF(AND('Lap ED'!G61='Peta Risiko'!$D$8,'Lap ED'!H61='Peta Risiko'!$I$9),'Lap ED'!A61,"")</f>
        <v/>
      </c>
    </row>
    <row r="71" spans="2:27" hidden="1" x14ac:dyDescent="0.25">
      <c r="B71" s="27">
        <f t="shared" si="5"/>
        <v>57</v>
      </c>
      <c r="C71" s="27" t="str">
        <f>IF(AND('Lap ED'!G62='Peta Risiko'!$D$4,'Lap ED'!H62='Peta Risiko'!$E$9),'Lap ED'!A62,"")</f>
        <v/>
      </c>
      <c r="D71" s="27" t="str">
        <f>IF(AND('Lap ED'!G62='Peta Risiko'!$D$4,'Lap ED'!H62='Peta Risiko'!$F$9),'Lap ED'!A62,"")</f>
        <v/>
      </c>
      <c r="E71" s="27" t="str">
        <f>IF(AND('Lap ED'!G62='Peta Risiko'!$D$4,'Lap ED'!H62='Peta Risiko'!$G$9),'Lap ED'!A62,"")</f>
        <v/>
      </c>
      <c r="F71" s="27" t="str">
        <f>IF(AND('Lap ED'!G62='Peta Risiko'!$D$4,'Lap ED'!H62='Peta Risiko'!$H$9),'Lap ED'!A62,"")</f>
        <v/>
      </c>
      <c r="G71" s="27" t="str">
        <f>IF(AND('Lap ED'!G62='Peta Risiko'!$D$4,'Lap ED'!H62='Peta Risiko'!$I$9),'Lap ED'!A62,"")</f>
        <v/>
      </c>
      <c r="H71" s="27" t="str">
        <f>IF(AND('Lap ED'!G62='Peta Risiko'!$D$5,'Lap ED'!H62='Peta Risiko'!$E$9),'Lap ED'!A62,"")</f>
        <v/>
      </c>
      <c r="I71" s="27" t="str">
        <f>IF(AND('Lap ED'!G62='Peta Risiko'!$D$5,'Lap ED'!H62='Peta Risiko'!$F$9),'Lap ED'!A62,"")</f>
        <v/>
      </c>
      <c r="J71" s="27" t="str">
        <f>IF(AND('Lap ED'!G62='Peta Risiko'!$D$5,'Lap ED'!H62='Peta Risiko'!$G$9),'Lap ED'!A62,"")</f>
        <v/>
      </c>
      <c r="K71" s="27" t="str">
        <f>IF(AND('Lap ED'!G62='Peta Risiko'!$D$5,'Lap ED'!H62='Peta Risiko'!$H$9),'Lap ED'!A62,"")</f>
        <v/>
      </c>
      <c r="L71" s="27" t="str">
        <f>IF(AND('Lap ED'!G62='Peta Risiko'!$D$5,'Lap ED'!H62='Peta Risiko'!$I$9),'Lap ED'!A62,"")</f>
        <v/>
      </c>
      <c r="M71" s="27" t="str">
        <f>IF(AND('Lap ED'!G62='Peta Risiko'!$D$6,'Lap ED'!H62='Peta Risiko'!$E$9),'Lap ED'!A62,"")</f>
        <v/>
      </c>
      <c r="N71" s="27" t="str">
        <f>IF(AND('Lap ED'!G62='Peta Risiko'!$D$6,'Lap ED'!H62='Peta Risiko'!$F$9),'Lap ED'!A62,"")</f>
        <v/>
      </c>
      <c r="O71" s="27" t="str">
        <f>IF(AND('Lap ED'!G62='Peta Risiko'!$D$6,'Lap ED'!H62='Peta Risiko'!$G$9),'Lap ED'!A62,"")</f>
        <v/>
      </c>
      <c r="P71" s="27" t="str">
        <f>IF(AND('Lap ED'!G62='Peta Risiko'!$D$6,'Lap ED'!H62='Peta Risiko'!$H$9),'Lap ED'!A62,"")</f>
        <v/>
      </c>
      <c r="Q71" s="27" t="str">
        <f>IF(AND('Lap ED'!G62='Peta Risiko'!$D$6,'Lap ED'!H62='Peta Risiko'!$I$9),'Lap ED'!A62,"")</f>
        <v/>
      </c>
      <c r="R71" s="27" t="str">
        <f>IF(AND('Lap ED'!G62='Peta Risiko'!$D$7,'Lap ED'!H62='Peta Risiko'!$E$9),'Lap ED'!A62,"")</f>
        <v/>
      </c>
      <c r="S71" s="27" t="str">
        <f>IF(AND('Lap ED'!G62='Peta Risiko'!$D$7,'Lap ED'!H62='Peta Risiko'!$F$9),'Lap ED'!A62,"")</f>
        <v/>
      </c>
      <c r="T71" s="27" t="str">
        <f>IF(AND('Lap ED'!G62='Peta Risiko'!$D$7,'Lap ED'!H62='Peta Risiko'!$G$9),'Lap ED'!A62,"")</f>
        <v/>
      </c>
      <c r="U71" s="27" t="str">
        <f>IF(AND('Lap ED'!G62='Peta Risiko'!$D$7,'Lap ED'!H62='Peta Risiko'!$H$9),'Lap ED'!A62,"")</f>
        <v/>
      </c>
      <c r="V71" s="27" t="str">
        <f>IF(AND('Lap ED'!G62='Peta Risiko'!$D$7,'Lap ED'!H62='Peta Risiko'!$I$9),'Lap ED'!A62,"")</f>
        <v/>
      </c>
      <c r="W71" s="27">
        <f>IF(AND('Lap ED'!G62='Peta Risiko'!$D$8,'Lap ED'!H62='Peta Risiko'!$E$9),'Lap ED'!A62,"")</f>
        <v>50</v>
      </c>
      <c r="X71" s="27" t="str">
        <f>IF(AND('Lap ED'!G62='Peta Risiko'!$D$8,'Lap ED'!H62='Peta Risiko'!$F$9),'Lap ED'!A62,"")</f>
        <v/>
      </c>
      <c r="Y71" s="27" t="str">
        <f>IF(AND('Lap ED'!G62='Peta Risiko'!$D$8,'Lap ED'!H62='Peta Risiko'!$G$9),'Lap ED'!A62,"")</f>
        <v/>
      </c>
      <c r="Z71" s="27" t="str">
        <f>IF(AND('Lap ED'!G62='Peta Risiko'!$D$8,'Lap ED'!H62='Peta Risiko'!$H$9),'Lap ED'!A62,"")</f>
        <v/>
      </c>
      <c r="AA71" s="27" t="str">
        <f>IF(AND('Lap ED'!G62='Peta Risiko'!$D$8,'Lap ED'!H62='Peta Risiko'!$I$9),'Lap ED'!A62,"")</f>
        <v/>
      </c>
    </row>
    <row r="72" spans="2:27" hidden="1" x14ac:dyDescent="0.25">
      <c r="B72" s="27">
        <f t="shared" si="5"/>
        <v>58</v>
      </c>
      <c r="C72" s="27" t="str">
        <f>IF(AND('Lap ED'!G63='Peta Risiko'!$D$4,'Lap ED'!H63='Peta Risiko'!$E$9),'Lap ED'!A63,"")</f>
        <v/>
      </c>
      <c r="D72" s="27" t="str">
        <f>IF(AND('Lap ED'!G63='Peta Risiko'!$D$4,'Lap ED'!H63='Peta Risiko'!$F$9),'Lap ED'!A63,"")</f>
        <v/>
      </c>
      <c r="E72" s="27" t="str">
        <f>IF(AND('Lap ED'!G63='Peta Risiko'!$D$4,'Lap ED'!H63='Peta Risiko'!$G$9),'Lap ED'!A63,"")</f>
        <v/>
      </c>
      <c r="F72" s="27" t="str">
        <f>IF(AND('Lap ED'!G63='Peta Risiko'!$D$4,'Lap ED'!H63='Peta Risiko'!$H$9),'Lap ED'!A63,"")</f>
        <v/>
      </c>
      <c r="G72" s="27" t="str">
        <f>IF(AND('Lap ED'!G63='Peta Risiko'!$D$4,'Lap ED'!H63='Peta Risiko'!$I$9),'Lap ED'!A63,"")</f>
        <v/>
      </c>
      <c r="H72" s="27" t="str">
        <f>IF(AND('Lap ED'!G63='Peta Risiko'!$D$5,'Lap ED'!H63='Peta Risiko'!$E$9),'Lap ED'!A63,"")</f>
        <v/>
      </c>
      <c r="I72" s="27" t="str">
        <f>IF(AND('Lap ED'!G63='Peta Risiko'!$D$5,'Lap ED'!H63='Peta Risiko'!$F$9),'Lap ED'!A63,"")</f>
        <v/>
      </c>
      <c r="J72" s="27" t="str">
        <f>IF(AND('Lap ED'!G63='Peta Risiko'!$D$5,'Lap ED'!H63='Peta Risiko'!$G$9),'Lap ED'!A63,"")</f>
        <v/>
      </c>
      <c r="K72" s="27" t="str">
        <f>IF(AND('Lap ED'!G63='Peta Risiko'!$D$5,'Lap ED'!H63='Peta Risiko'!$H$9),'Lap ED'!A63,"")</f>
        <v/>
      </c>
      <c r="L72" s="27" t="str">
        <f>IF(AND('Lap ED'!G63='Peta Risiko'!$D$5,'Lap ED'!H63='Peta Risiko'!$I$9),'Lap ED'!A63,"")</f>
        <v/>
      </c>
      <c r="M72" s="27" t="str">
        <f>IF(AND('Lap ED'!G63='Peta Risiko'!$D$6,'Lap ED'!H63='Peta Risiko'!$E$9),'Lap ED'!A63,"")</f>
        <v/>
      </c>
      <c r="N72" s="27" t="str">
        <f>IF(AND('Lap ED'!G63='Peta Risiko'!$D$6,'Lap ED'!H63='Peta Risiko'!$F$9),'Lap ED'!A63,"")</f>
        <v/>
      </c>
      <c r="O72" s="27" t="str">
        <f>IF(AND('Lap ED'!G63='Peta Risiko'!$D$6,'Lap ED'!H63='Peta Risiko'!$G$9),'Lap ED'!A63,"")</f>
        <v/>
      </c>
      <c r="P72" s="27" t="str">
        <f>IF(AND('Lap ED'!G63='Peta Risiko'!$D$6,'Lap ED'!H63='Peta Risiko'!$H$9),'Lap ED'!A63,"")</f>
        <v/>
      </c>
      <c r="Q72" s="27" t="str">
        <f>IF(AND('Lap ED'!G63='Peta Risiko'!$D$6,'Lap ED'!H63='Peta Risiko'!$I$9),'Lap ED'!A63,"")</f>
        <v/>
      </c>
      <c r="R72" s="27" t="str">
        <f>IF(AND('Lap ED'!G63='Peta Risiko'!$D$7,'Lap ED'!H63='Peta Risiko'!$E$9),'Lap ED'!A63,"")</f>
        <v/>
      </c>
      <c r="S72" s="27" t="str">
        <f>IF(AND('Lap ED'!G63='Peta Risiko'!$D$7,'Lap ED'!H63='Peta Risiko'!$F$9),'Lap ED'!A63,"")</f>
        <v/>
      </c>
      <c r="T72" s="27" t="str">
        <f>IF(AND('Lap ED'!G63='Peta Risiko'!$D$7,'Lap ED'!H63='Peta Risiko'!$G$9),'Lap ED'!A63,"")</f>
        <v/>
      </c>
      <c r="U72" s="27" t="str">
        <f>IF(AND('Lap ED'!G63='Peta Risiko'!$D$7,'Lap ED'!H63='Peta Risiko'!$H$9),'Lap ED'!A63,"")</f>
        <v/>
      </c>
      <c r="V72" s="27" t="str">
        <f>IF(AND('Lap ED'!G63='Peta Risiko'!$D$7,'Lap ED'!H63='Peta Risiko'!$I$9),'Lap ED'!A63,"")</f>
        <v/>
      </c>
      <c r="W72" s="27">
        <f>IF(AND('Lap ED'!G63='Peta Risiko'!$D$8,'Lap ED'!H63='Peta Risiko'!$E$9),'Lap ED'!A63,"")</f>
        <v>51</v>
      </c>
      <c r="X72" s="27" t="str">
        <f>IF(AND('Lap ED'!G63='Peta Risiko'!$D$8,'Lap ED'!H63='Peta Risiko'!$F$9),'Lap ED'!A63,"")</f>
        <v/>
      </c>
      <c r="Y72" s="27" t="str">
        <f>IF(AND('Lap ED'!G63='Peta Risiko'!$D$8,'Lap ED'!H63='Peta Risiko'!$G$9),'Lap ED'!A63,"")</f>
        <v/>
      </c>
      <c r="Z72" s="27" t="str">
        <f>IF(AND('Lap ED'!G63='Peta Risiko'!$D$8,'Lap ED'!H63='Peta Risiko'!$H$9),'Lap ED'!A63,"")</f>
        <v/>
      </c>
      <c r="AA72" s="27" t="str">
        <f>IF(AND('Lap ED'!G63='Peta Risiko'!$D$8,'Lap ED'!H63='Peta Risiko'!$I$9),'Lap ED'!A63,"")</f>
        <v/>
      </c>
    </row>
    <row r="73" spans="2:27" hidden="1" x14ac:dyDescent="0.25">
      <c r="B73" s="27">
        <f t="shared" si="5"/>
        <v>59</v>
      </c>
      <c r="C73" s="27" t="str">
        <f>IF(AND('Lap ED'!G64='Peta Risiko'!$D$4,'Lap ED'!H64='Peta Risiko'!$E$9),'Lap ED'!A64,"")</f>
        <v/>
      </c>
      <c r="D73" s="27" t="str">
        <f>IF(AND('Lap ED'!G64='Peta Risiko'!$D$4,'Lap ED'!H64='Peta Risiko'!$F$9),'Lap ED'!A64,"")</f>
        <v/>
      </c>
      <c r="E73" s="27" t="str">
        <f>IF(AND('Lap ED'!G64='Peta Risiko'!$D$4,'Lap ED'!H64='Peta Risiko'!$G$9),'Lap ED'!A64,"")</f>
        <v/>
      </c>
      <c r="F73" s="27" t="str">
        <f>IF(AND('Lap ED'!G64='Peta Risiko'!$D$4,'Lap ED'!H64='Peta Risiko'!$H$9),'Lap ED'!A64,"")</f>
        <v/>
      </c>
      <c r="G73" s="27" t="str">
        <f>IF(AND('Lap ED'!G64='Peta Risiko'!$D$4,'Lap ED'!H64='Peta Risiko'!$I$9),'Lap ED'!A64,"")</f>
        <v/>
      </c>
      <c r="H73" s="27" t="str">
        <f>IF(AND('Lap ED'!G64='Peta Risiko'!$D$5,'Lap ED'!H64='Peta Risiko'!$E$9),'Lap ED'!A64,"")</f>
        <v/>
      </c>
      <c r="I73" s="27" t="str">
        <f>IF(AND('Lap ED'!G64='Peta Risiko'!$D$5,'Lap ED'!H64='Peta Risiko'!$F$9),'Lap ED'!A64,"")</f>
        <v/>
      </c>
      <c r="J73" s="27" t="str">
        <f>IF(AND('Lap ED'!G64='Peta Risiko'!$D$5,'Lap ED'!H64='Peta Risiko'!$G$9),'Lap ED'!A64,"")</f>
        <v/>
      </c>
      <c r="K73" s="27" t="str">
        <f>IF(AND('Lap ED'!G64='Peta Risiko'!$D$5,'Lap ED'!H64='Peta Risiko'!$H$9),'Lap ED'!A64,"")</f>
        <v/>
      </c>
      <c r="L73" s="27" t="str">
        <f>IF(AND('Lap ED'!G64='Peta Risiko'!$D$5,'Lap ED'!H64='Peta Risiko'!$I$9),'Lap ED'!A64,"")</f>
        <v/>
      </c>
      <c r="M73" s="27" t="str">
        <f>IF(AND('Lap ED'!G64='Peta Risiko'!$D$6,'Lap ED'!H64='Peta Risiko'!$E$9),'Lap ED'!A64,"")</f>
        <v/>
      </c>
      <c r="N73" s="27" t="str">
        <f>IF(AND('Lap ED'!G64='Peta Risiko'!$D$6,'Lap ED'!H64='Peta Risiko'!$F$9),'Lap ED'!A64,"")</f>
        <v/>
      </c>
      <c r="O73" s="27" t="str">
        <f>IF(AND('Lap ED'!G64='Peta Risiko'!$D$6,'Lap ED'!H64='Peta Risiko'!$G$9),'Lap ED'!A64,"")</f>
        <v/>
      </c>
      <c r="P73" s="27" t="str">
        <f>IF(AND('Lap ED'!G64='Peta Risiko'!$D$6,'Lap ED'!H64='Peta Risiko'!$H$9),'Lap ED'!A64,"")</f>
        <v/>
      </c>
      <c r="Q73" s="27" t="str">
        <f>IF(AND('Lap ED'!G64='Peta Risiko'!$D$6,'Lap ED'!H64='Peta Risiko'!$I$9),'Lap ED'!A64,"")</f>
        <v/>
      </c>
      <c r="R73" s="27" t="str">
        <f>IF(AND('Lap ED'!G64='Peta Risiko'!$D$7,'Lap ED'!H64='Peta Risiko'!$E$9),'Lap ED'!A64,"")</f>
        <v/>
      </c>
      <c r="S73" s="27" t="str">
        <f>IF(AND('Lap ED'!G64='Peta Risiko'!$D$7,'Lap ED'!H64='Peta Risiko'!$F$9),'Lap ED'!A64,"")</f>
        <v/>
      </c>
      <c r="T73" s="27" t="str">
        <f>IF(AND('Lap ED'!G64='Peta Risiko'!$D$7,'Lap ED'!H64='Peta Risiko'!$G$9),'Lap ED'!A64,"")</f>
        <v/>
      </c>
      <c r="U73" s="27" t="str">
        <f>IF(AND('Lap ED'!G64='Peta Risiko'!$D$7,'Lap ED'!H64='Peta Risiko'!$H$9),'Lap ED'!A64,"")</f>
        <v/>
      </c>
      <c r="V73" s="27" t="str">
        <f>IF(AND('Lap ED'!G64='Peta Risiko'!$D$7,'Lap ED'!H64='Peta Risiko'!$I$9),'Lap ED'!A64,"")</f>
        <v/>
      </c>
      <c r="W73" s="27" t="str">
        <f>IF(AND('Lap ED'!G64='Peta Risiko'!$D$8,'Lap ED'!H64='Peta Risiko'!$E$9),'Lap ED'!A64,"")</f>
        <v/>
      </c>
      <c r="X73" s="27" t="str">
        <f>IF(AND('Lap ED'!G64='Peta Risiko'!$D$8,'Lap ED'!H64='Peta Risiko'!$F$9),'Lap ED'!A64,"")</f>
        <v/>
      </c>
      <c r="Y73" s="27" t="str">
        <f>IF(AND('Lap ED'!G64='Peta Risiko'!$D$8,'Lap ED'!H64='Peta Risiko'!$G$9),'Lap ED'!A64,"")</f>
        <v/>
      </c>
      <c r="Z73" s="27" t="str">
        <f>IF(AND('Lap ED'!G64='Peta Risiko'!$D$8,'Lap ED'!H64='Peta Risiko'!$H$9),'Lap ED'!A64,"")</f>
        <v/>
      </c>
      <c r="AA73" s="27" t="str">
        <f>IF(AND('Lap ED'!G64='Peta Risiko'!$D$8,'Lap ED'!H64='Peta Risiko'!$I$9),'Lap ED'!A64,"")</f>
        <v/>
      </c>
    </row>
    <row r="74" spans="2:27" hidden="1" x14ac:dyDescent="0.25">
      <c r="B74" s="27">
        <f t="shared" si="5"/>
        <v>60</v>
      </c>
      <c r="C74" s="27" t="str">
        <f>IF(AND('Lap ED'!G65='Peta Risiko'!$D$4,'Lap ED'!H65='Peta Risiko'!$E$9),'Lap ED'!A65,"")</f>
        <v/>
      </c>
      <c r="D74" s="27" t="str">
        <f>IF(AND('Lap ED'!G65='Peta Risiko'!$D$4,'Lap ED'!H65='Peta Risiko'!$F$9),'Lap ED'!A65,"")</f>
        <v/>
      </c>
      <c r="E74" s="27" t="str">
        <f>IF(AND('Lap ED'!G65='Peta Risiko'!$D$4,'Lap ED'!H65='Peta Risiko'!$G$9),'Lap ED'!A65,"")</f>
        <v/>
      </c>
      <c r="F74" s="27" t="str">
        <f>IF(AND('Lap ED'!G65='Peta Risiko'!$D$4,'Lap ED'!H65='Peta Risiko'!$H$9),'Lap ED'!A65,"")</f>
        <v/>
      </c>
      <c r="G74" s="27" t="str">
        <f>IF(AND('Lap ED'!G65='Peta Risiko'!$D$4,'Lap ED'!H65='Peta Risiko'!$I$9),'Lap ED'!A65,"")</f>
        <v/>
      </c>
      <c r="H74" s="27" t="str">
        <f>IF(AND('Lap ED'!G65='Peta Risiko'!$D$5,'Lap ED'!H65='Peta Risiko'!$E$9),'Lap ED'!A65,"")</f>
        <v/>
      </c>
      <c r="I74" s="27" t="str">
        <f>IF(AND('Lap ED'!G65='Peta Risiko'!$D$5,'Lap ED'!H65='Peta Risiko'!$F$9),'Lap ED'!A65,"")</f>
        <v/>
      </c>
      <c r="J74" s="27" t="str">
        <f>IF(AND('Lap ED'!G65='Peta Risiko'!$D$5,'Lap ED'!H65='Peta Risiko'!$G$9),'Lap ED'!A65,"")</f>
        <v/>
      </c>
      <c r="K74" s="27" t="str">
        <f>IF(AND('Lap ED'!G65='Peta Risiko'!$D$5,'Lap ED'!H65='Peta Risiko'!$H$9),'Lap ED'!A65,"")</f>
        <v/>
      </c>
      <c r="L74" s="27" t="str">
        <f>IF(AND('Lap ED'!G65='Peta Risiko'!$D$5,'Lap ED'!H65='Peta Risiko'!$I$9),'Lap ED'!A65,"")</f>
        <v/>
      </c>
      <c r="M74" s="27" t="str">
        <f>IF(AND('Lap ED'!G65='Peta Risiko'!$D$6,'Lap ED'!H65='Peta Risiko'!$E$9),'Lap ED'!A65,"")</f>
        <v/>
      </c>
      <c r="N74" s="27" t="str">
        <f>IF(AND('Lap ED'!G65='Peta Risiko'!$D$6,'Lap ED'!H65='Peta Risiko'!$F$9),'Lap ED'!A65,"")</f>
        <v/>
      </c>
      <c r="O74" s="27" t="str">
        <f>IF(AND('Lap ED'!G65='Peta Risiko'!$D$6,'Lap ED'!H65='Peta Risiko'!$G$9),'Lap ED'!A65,"")</f>
        <v/>
      </c>
      <c r="P74" s="27" t="str">
        <f>IF(AND('Lap ED'!G65='Peta Risiko'!$D$6,'Lap ED'!H65='Peta Risiko'!$H$9),'Lap ED'!A65,"")</f>
        <v/>
      </c>
      <c r="Q74" s="27" t="str">
        <f>IF(AND('Lap ED'!G65='Peta Risiko'!$D$6,'Lap ED'!H65='Peta Risiko'!$I$9),'Lap ED'!A65,"")</f>
        <v/>
      </c>
      <c r="R74" s="27" t="str">
        <f>IF(AND('Lap ED'!G65='Peta Risiko'!$D$7,'Lap ED'!H65='Peta Risiko'!$E$9),'Lap ED'!A65,"")</f>
        <v/>
      </c>
      <c r="S74" s="27" t="str">
        <f>IF(AND('Lap ED'!G65='Peta Risiko'!$D$7,'Lap ED'!H65='Peta Risiko'!$F$9),'Lap ED'!A65,"")</f>
        <v/>
      </c>
      <c r="T74" s="27" t="str">
        <f>IF(AND('Lap ED'!G65='Peta Risiko'!$D$7,'Lap ED'!H65='Peta Risiko'!$G$9),'Lap ED'!A65,"")</f>
        <v/>
      </c>
      <c r="U74" s="27" t="str">
        <f>IF(AND('Lap ED'!G65='Peta Risiko'!$D$7,'Lap ED'!H65='Peta Risiko'!$H$9),'Lap ED'!A65,"")</f>
        <v/>
      </c>
      <c r="V74" s="27" t="str">
        <f>IF(AND('Lap ED'!G65='Peta Risiko'!$D$7,'Lap ED'!H65='Peta Risiko'!$I$9),'Lap ED'!A65,"")</f>
        <v/>
      </c>
      <c r="W74" s="27">
        <f>IF(AND('Lap ED'!G65='Peta Risiko'!$D$8,'Lap ED'!H65='Peta Risiko'!$E$9),'Lap ED'!A65,"")</f>
        <v>52</v>
      </c>
      <c r="X74" s="27" t="str">
        <f>IF(AND('Lap ED'!G65='Peta Risiko'!$D$8,'Lap ED'!H65='Peta Risiko'!$F$9),'Lap ED'!A65,"")</f>
        <v/>
      </c>
      <c r="Y74" s="27" t="str">
        <f>IF(AND('Lap ED'!G65='Peta Risiko'!$D$8,'Lap ED'!H65='Peta Risiko'!$G$9),'Lap ED'!A65,"")</f>
        <v/>
      </c>
      <c r="Z74" s="27" t="str">
        <f>IF(AND('Lap ED'!G65='Peta Risiko'!$D$8,'Lap ED'!H65='Peta Risiko'!$H$9),'Lap ED'!A65,"")</f>
        <v/>
      </c>
      <c r="AA74" s="27" t="str">
        <f>IF(AND('Lap ED'!G65='Peta Risiko'!$D$8,'Lap ED'!H65='Peta Risiko'!$I$9),'Lap ED'!A65,"")</f>
        <v/>
      </c>
    </row>
    <row r="75" spans="2:27" hidden="1" x14ac:dyDescent="0.25">
      <c r="B75" s="27">
        <f t="shared" si="5"/>
        <v>61</v>
      </c>
      <c r="C75" s="27" t="str">
        <f>IF(AND('Lap ED'!G66='Peta Risiko'!$D$4,'Lap ED'!H66='Peta Risiko'!$E$9),'Lap ED'!A66,"")</f>
        <v/>
      </c>
      <c r="D75" s="27" t="str">
        <f>IF(AND('Lap ED'!G66='Peta Risiko'!$D$4,'Lap ED'!H66='Peta Risiko'!$F$9),'Lap ED'!A66,"")</f>
        <v/>
      </c>
      <c r="E75" s="27" t="str">
        <f>IF(AND('Lap ED'!G66='Peta Risiko'!$D$4,'Lap ED'!H66='Peta Risiko'!$G$9),'Lap ED'!A66,"")</f>
        <v/>
      </c>
      <c r="F75" s="27" t="str">
        <f>IF(AND('Lap ED'!G66='Peta Risiko'!$D$4,'Lap ED'!H66='Peta Risiko'!$H$9),'Lap ED'!A66,"")</f>
        <v/>
      </c>
      <c r="G75" s="27" t="str">
        <f>IF(AND('Lap ED'!G66='Peta Risiko'!$D$4,'Lap ED'!H66='Peta Risiko'!$I$9),'Lap ED'!A66,"")</f>
        <v/>
      </c>
      <c r="H75" s="27" t="str">
        <f>IF(AND('Lap ED'!G66='Peta Risiko'!$D$5,'Lap ED'!H66='Peta Risiko'!$E$9),'Lap ED'!A66,"")</f>
        <v/>
      </c>
      <c r="I75" s="27" t="str">
        <f>IF(AND('Lap ED'!G66='Peta Risiko'!$D$5,'Lap ED'!H66='Peta Risiko'!$F$9),'Lap ED'!A66,"")</f>
        <v/>
      </c>
      <c r="J75" s="27" t="str">
        <f>IF(AND('Lap ED'!G66='Peta Risiko'!$D$5,'Lap ED'!H66='Peta Risiko'!$G$9),'Lap ED'!A66,"")</f>
        <v/>
      </c>
      <c r="K75" s="27" t="str">
        <f>IF(AND('Lap ED'!G66='Peta Risiko'!$D$5,'Lap ED'!H66='Peta Risiko'!$H$9),'Lap ED'!A66,"")</f>
        <v/>
      </c>
      <c r="L75" s="27" t="str">
        <f>IF(AND('Lap ED'!G66='Peta Risiko'!$D$5,'Lap ED'!H66='Peta Risiko'!$I$9),'Lap ED'!A66,"")</f>
        <v/>
      </c>
      <c r="M75" s="27" t="str">
        <f>IF(AND('Lap ED'!G66='Peta Risiko'!$D$6,'Lap ED'!H66='Peta Risiko'!$E$9),'Lap ED'!A66,"")</f>
        <v/>
      </c>
      <c r="N75" s="27" t="str">
        <f>IF(AND('Lap ED'!G66='Peta Risiko'!$D$6,'Lap ED'!H66='Peta Risiko'!$F$9),'Lap ED'!A66,"")</f>
        <v/>
      </c>
      <c r="O75" s="27" t="str">
        <f>IF(AND('Lap ED'!G66='Peta Risiko'!$D$6,'Lap ED'!H66='Peta Risiko'!$G$9),'Lap ED'!A66,"")</f>
        <v/>
      </c>
      <c r="P75" s="27" t="str">
        <f>IF(AND('Lap ED'!G66='Peta Risiko'!$D$6,'Lap ED'!H66='Peta Risiko'!$H$9),'Lap ED'!A66,"")</f>
        <v/>
      </c>
      <c r="Q75" s="27" t="str">
        <f>IF(AND('Lap ED'!G66='Peta Risiko'!$D$6,'Lap ED'!H66='Peta Risiko'!$I$9),'Lap ED'!A66,"")</f>
        <v/>
      </c>
      <c r="R75" s="27" t="str">
        <f>IF(AND('Lap ED'!G66='Peta Risiko'!$D$7,'Lap ED'!H66='Peta Risiko'!$E$9),'Lap ED'!A66,"")</f>
        <v/>
      </c>
      <c r="S75" s="27" t="str">
        <f>IF(AND('Lap ED'!G66='Peta Risiko'!$D$7,'Lap ED'!H66='Peta Risiko'!$F$9),'Lap ED'!A66,"")</f>
        <v/>
      </c>
      <c r="T75" s="27" t="str">
        <f>IF(AND('Lap ED'!G66='Peta Risiko'!$D$7,'Lap ED'!H66='Peta Risiko'!$G$9),'Lap ED'!A66,"")</f>
        <v/>
      </c>
      <c r="U75" s="27" t="str">
        <f>IF(AND('Lap ED'!G66='Peta Risiko'!$D$7,'Lap ED'!H66='Peta Risiko'!$H$9),'Lap ED'!A66,"")</f>
        <v/>
      </c>
      <c r="V75" s="27" t="str">
        <f>IF(AND('Lap ED'!G66='Peta Risiko'!$D$7,'Lap ED'!H66='Peta Risiko'!$I$9),'Lap ED'!A66,"")</f>
        <v/>
      </c>
      <c r="W75" s="27">
        <f>IF(AND('Lap ED'!G66='Peta Risiko'!$D$8,'Lap ED'!H66='Peta Risiko'!$E$9),'Lap ED'!A66,"")</f>
        <v>53</v>
      </c>
      <c r="X75" s="27" t="str">
        <f>IF(AND('Lap ED'!G66='Peta Risiko'!$D$8,'Lap ED'!H66='Peta Risiko'!$F$9),'Lap ED'!A66,"")</f>
        <v/>
      </c>
      <c r="Y75" s="27" t="str">
        <f>IF(AND('Lap ED'!G66='Peta Risiko'!$D$8,'Lap ED'!H66='Peta Risiko'!$G$9),'Lap ED'!A66,"")</f>
        <v/>
      </c>
      <c r="Z75" s="27" t="str">
        <f>IF(AND('Lap ED'!G66='Peta Risiko'!$D$8,'Lap ED'!H66='Peta Risiko'!$H$9),'Lap ED'!A66,"")</f>
        <v/>
      </c>
      <c r="AA75" s="27" t="str">
        <f>IF(AND('Lap ED'!G66='Peta Risiko'!$D$8,'Lap ED'!H66='Peta Risiko'!$I$9),'Lap ED'!A66,"")</f>
        <v/>
      </c>
    </row>
    <row r="76" spans="2:27" hidden="1" x14ac:dyDescent="0.25">
      <c r="B76" s="27">
        <f t="shared" si="5"/>
        <v>62</v>
      </c>
      <c r="C76" s="27" t="str">
        <f>IF(AND('Lap ED'!G67='Peta Risiko'!$D$4,'Lap ED'!H67='Peta Risiko'!$E$9),'Lap ED'!A67,"")</f>
        <v/>
      </c>
      <c r="D76" s="27" t="str">
        <f>IF(AND('Lap ED'!G67='Peta Risiko'!$D$4,'Lap ED'!H67='Peta Risiko'!$F$9),'Lap ED'!A67,"")</f>
        <v/>
      </c>
      <c r="E76" s="27" t="str">
        <f>IF(AND('Lap ED'!G67='Peta Risiko'!$D$4,'Lap ED'!H67='Peta Risiko'!$G$9),'Lap ED'!A67,"")</f>
        <v/>
      </c>
      <c r="F76" s="27" t="str">
        <f>IF(AND('Lap ED'!G67='Peta Risiko'!$D$4,'Lap ED'!H67='Peta Risiko'!$H$9),'Lap ED'!A67,"")</f>
        <v/>
      </c>
      <c r="G76" s="27" t="str">
        <f>IF(AND('Lap ED'!G67='Peta Risiko'!$D$4,'Lap ED'!H67='Peta Risiko'!$I$9),'Lap ED'!A67,"")</f>
        <v/>
      </c>
      <c r="H76" s="27" t="str">
        <f>IF(AND('Lap ED'!G67='Peta Risiko'!$D$5,'Lap ED'!H67='Peta Risiko'!$E$9),'Lap ED'!A67,"")</f>
        <v/>
      </c>
      <c r="I76" s="27" t="str">
        <f>IF(AND('Lap ED'!G67='Peta Risiko'!$D$5,'Lap ED'!H67='Peta Risiko'!$F$9),'Lap ED'!A67,"")</f>
        <v/>
      </c>
      <c r="J76" s="27" t="str">
        <f>IF(AND('Lap ED'!G67='Peta Risiko'!$D$5,'Lap ED'!H67='Peta Risiko'!$G$9),'Lap ED'!A67,"")</f>
        <v/>
      </c>
      <c r="K76" s="27" t="str">
        <f>IF(AND('Lap ED'!G67='Peta Risiko'!$D$5,'Lap ED'!H67='Peta Risiko'!$H$9),'Lap ED'!A67,"")</f>
        <v/>
      </c>
      <c r="L76" s="27" t="str">
        <f>IF(AND('Lap ED'!G67='Peta Risiko'!$D$5,'Lap ED'!H67='Peta Risiko'!$I$9),'Lap ED'!A67,"")</f>
        <v/>
      </c>
      <c r="M76" s="27" t="str">
        <f>IF(AND('Lap ED'!G67='Peta Risiko'!$D$6,'Lap ED'!H67='Peta Risiko'!$E$9),'Lap ED'!A67,"")</f>
        <v/>
      </c>
      <c r="N76" s="27" t="str">
        <f>IF(AND('Lap ED'!G67='Peta Risiko'!$D$6,'Lap ED'!H67='Peta Risiko'!$F$9),'Lap ED'!A67,"")</f>
        <v/>
      </c>
      <c r="O76" s="27" t="str">
        <f>IF(AND('Lap ED'!G67='Peta Risiko'!$D$6,'Lap ED'!H67='Peta Risiko'!$G$9),'Lap ED'!A67,"")</f>
        <v/>
      </c>
      <c r="P76" s="27" t="str">
        <f>IF(AND('Lap ED'!G67='Peta Risiko'!$D$6,'Lap ED'!H67='Peta Risiko'!$H$9),'Lap ED'!A67,"")</f>
        <v/>
      </c>
      <c r="Q76" s="27" t="str">
        <f>IF(AND('Lap ED'!G67='Peta Risiko'!$D$6,'Lap ED'!H67='Peta Risiko'!$I$9),'Lap ED'!A67,"")</f>
        <v/>
      </c>
      <c r="R76" s="27" t="str">
        <f>IF(AND('Lap ED'!G67='Peta Risiko'!$D$7,'Lap ED'!H67='Peta Risiko'!$E$9),'Lap ED'!A67,"")</f>
        <v/>
      </c>
      <c r="S76" s="27" t="str">
        <f>IF(AND('Lap ED'!G67='Peta Risiko'!$D$7,'Lap ED'!H67='Peta Risiko'!$F$9),'Lap ED'!A67,"")</f>
        <v/>
      </c>
      <c r="T76" s="27" t="str">
        <f>IF(AND('Lap ED'!G67='Peta Risiko'!$D$7,'Lap ED'!H67='Peta Risiko'!$G$9),'Lap ED'!A67,"")</f>
        <v/>
      </c>
      <c r="U76" s="27" t="str">
        <f>IF(AND('Lap ED'!G67='Peta Risiko'!$D$7,'Lap ED'!H67='Peta Risiko'!$H$9),'Lap ED'!A67,"")</f>
        <v/>
      </c>
      <c r="V76" s="27" t="str">
        <f>IF(AND('Lap ED'!G67='Peta Risiko'!$D$7,'Lap ED'!H67='Peta Risiko'!$I$9),'Lap ED'!A67,"")</f>
        <v/>
      </c>
      <c r="W76" s="27">
        <f>IF(AND('Lap ED'!G67='Peta Risiko'!$D$8,'Lap ED'!H67='Peta Risiko'!$E$9),'Lap ED'!A67,"")</f>
        <v>54</v>
      </c>
      <c r="X76" s="27" t="str">
        <f>IF(AND('Lap ED'!G67='Peta Risiko'!$D$8,'Lap ED'!H67='Peta Risiko'!$F$9),'Lap ED'!A67,"")</f>
        <v/>
      </c>
      <c r="Y76" s="27" t="str">
        <f>IF(AND('Lap ED'!G67='Peta Risiko'!$D$8,'Lap ED'!H67='Peta Risiko'!$G$9),'Lap ED'!A67,"")</f>
        <v/>
      </c>
      <c r="Z76" s="27" t="str">
        <f>IF(AND('Lap ED'!G67='Peta Risiko'!$D$8,'Lap ED'!H67='Peta Risiko'!$H$9),'Lap ED'!A67,"")</f>
        <v/>
      </c>
      <c r="AA76" s="27" t="str">
        <f>IF(AND('Lap ED'!G67='Peta Risiko'!$D$8,'Lap ED'!H67='Peta Risiko'!$I$9),'Lap ED'!A67,"")</f>
        <v/>
      </c>
    </row>
    <row r="77" spans="2:27" hidden="1" x14ac:dyDescent="0.25">
      <c r="B77" s="27">
        <f t="shared" si="5"/>
        <v>63</v>
      </c>
      <c r="C77" s="27" t="str">
        <f>IF(AND('Lap ED'!G68='Peta Risiko'!$D$4,'Lap ED'!H68='Peta Risiko'!$E$9),'Lap ED'!A68,"")</f>
        <v/>
      </c>
      <c r="D77" s="27" t="str">
        <f>IF(AND('Lap ED'!G68='Peta Risiko'!$D$4,'Lap ED'!H68='Peta Risiko'!$F$9),'Lap ED'!A68,"")</f>
        <v/>
      </c>
      <c r="E77" s="27" t="str">
        <f>IF(AND('Lap ED'!G68='Peta Risiko'!$D$4,'Lap ED'!H68='Peta Risiko'!$G$9),'Lap ED'!A68,"")</f>
        <v/>
      </c>
      <c r="F77" s="27" t="str">
        <f>IF(AND('Lap ED'!G68='Peta Risiko'!$D$4,'Lap ED'!H68='Peta Risiko'!$H$9),'Lap ED'!A68,"")</f>
        <v/>
      </c>
      <c r="G77" s="27" t="str">
        <f>IF(AND('Lap ED'!G68='Peta Risiko'!$D$4,'Lap ED'!H68='Peta Risiko'!$I$9),'Lap ED'!A68,"")</f>
        <v/>
      </c>
      <c r="H77" s="27" t="str">
        <f>IF(AND('Lap ED'!G68='Peta Risiko'!$D$5,'Lap ED'!H68='Peta Risiko'!$E$9),'Lap ED'!A68,"")</f>
        <v/>
      </c>
      <c r="I77" s="27" t="str">
        <f>IF(AND('Lap ED'!G68='Peta Risiko'!$D$5,'Lap ED'!H68='Peta Risiko'!$F$9),'Lap ED'!A68,"")</f>
        <v/>
      </c>
      <c r="J77" s="27" t="str">
        <f>IF(AND('Lap ED'!G68='Peta Risiko'!$D$5,'Lap ED'!H68='Peta Risiko'!$G$9),'Lap ED'!A68,"")</f>
        <v/>
      </c>
      <c r="K77" s="27" t="str">
        <f>IF(AND('Lap ED'!G68='Peta Risiko'!$D$5,'Lap ED'!H68='Peta Risiko'!$H$9),'Lap ED'!A68,"")</f>
        <v/>
      </c>
      <c r="L77" s="27" t="str">
        <f>IF(AND('Lap ED'!G68='Peta Risiko'!$D$5,'Lap ED'!H68='Peta Risiko'!$I$9),'Lap ED'!A68,"")</f>
        <v/>
      </c>
      <c r="M77" s="27" t="str">
        <f>IF(AND('Lap ED'!G68='Peta Risiko'!$D$6,'Lap ED'!H68='Peta Risiko'!$E$9),'Lap ED'!A68,"")</f>
        <v/>
      </c>
      <c r="N77" s="27" t="str">
        <f>IF(AND('Lap ED'!G68='Peta Risiko'!$D$6,'Lap ED'!H68='Peta Risiko'!$F$9),'Lap ED'!A68,"")</f>
        <v/>
      </c>
      <c r="O77" s="27" t="str">
        <f>IF(AND('Lap ED'!G68='Peta Risiko'!$D$6,'Lap ED'!H68='Peta Risiko'!$G$9),'Lap ED'!A68,"")</f>
        <v/>
      </c>
      <c r="P77" s="27" t="str">
        <f>IF(AND('Lap ED'!G68='Peta Risiko'!$D$6,'Lap ED'!H68='Peta Risiko'!$H$9),'Lap ED'!A68,"")</f>
        <v/>
      </c>
      <c r="Q77" s="27" t="str">
        <f>IF(AND('Lap ED'!G68='Peta Risiko'!$D$6,'Lap ED'!H68='Peta Risiko'!$I$9),'Lap ED'!A68,"")</f>
        <v/>
      </c>
      <c r="R77" s="27" t="str">
        <f>IF(AND('Lap ED'!G68='Peta Risiko'!$D$7,'Lap ED'!H68='Peta Risiko'!$E$9),'Lap ED'!A68,"")</f>
        <v/>
      </c>
      <c r="S77" s="27" t="str">
        <f>IF(AND('Lap ED'!G68='Peta Risiko'!$D$7,'Lap ED'!H68='Peta Risiko'!$F$9),'Lap ED'!A68,"")</f>
        <v/>
      </c>
      <c r="T77" s="27" t="str">
        <f>IF(AND('Lap ED'!G68='Peta Risiko'!$D$7,'Lap ED'!H68='Peta Risiko'!$G$9),'Lap ED'!A68,"")</f>
        <v/>
      </c>
      <c r="U77" s="27" t="str">
        <f>IF(AND('Lap ED'!G68='Peta Risiko'!$D$7,'Lap ED'!H68='Peta Risiko'!$H$9),'Lap ED'!A68,"")</f>
        <v/>
      </c>
      <c r="V77" s="27" t="str">
        <f>IF(AND('Lap ED'!G68='Peta Risiko'!$D$7,'Lap ED'!H68='Peta Risiko'!$I$9),'Lap ED'!A68,"")</f>
        <v/>
      </c>
      <c r="W77" s="27">
        <f>IF(AND('Lap ED'!G68='Peta Risiko'!$D$8,'Lap ED'!H68='Peta Risiko'!$E$9),'Lap ED'!A68,"")</f>
        <v>55</v>
      </c>
      <c r="X77" s="27" t="str">
        <f>IF(AND('Lap ED'!G68='Peta Risiko'!$D$8,'Lap ED'!H68='Peta Risiko'!$F$9),'Lap ED'!A68,"")</f>
        <v/>
      </c>
      <c r="Y77" s="27" t="str">
        <f>IF(AND('Lap ED'!G68='Peta Risiko'!$D$8,'Lap ED'!H68='Peta Risiko'!$G$9),'Lap ED'!A68,"")</f>
        <v/>
      </c>
      <c r="Z77" s="27" t="str">
        <f>IF(AND('Lap ED'!G68='Peta Risiko'!$D$8,'Lap ED'!H68='Peta Risiko'!$H$9),'Lap ED'!A68,"")</f>
        <v/>
      </c>
      <c r="AA77" s="27" t="str">
        <f>IF(AND('Lap ED'!G68='Peta Risiko'!$D$8,'Lap ED'!H68='Peta Risiko'!$I$9),'Lap ED'!A68,"")</f>
        <v/>
      </c>
    </row>
    <row r="78" spans="2:27" hidden="1" x14ac:dyDescent="0.25">
      <c r="B78" s="27">
        <f t="shared" si="5"/>
        <v>64</v>
      </c>
      <c r="C78" s="27" t="str">
        <f>IF(AND('Lap ED'!G69='Peta Risiko'!$D$4,'Lap ED'!H69='Peta Risiko'!$E$9),'Lap ED'!A69,"")</f>
        <v/>
      </c>
      <c r="D78" s="27" t="str">
        <f>IF(AND('Lap ED'!G69='Peta Risiko'!$D$4,'Lap ED'!H69='Peta Risiko'!$F$9),'Lap ED'!A69,"")</f>
        <v/>
      </c>
      <c r="E78" s="27" t="str">
        <f>IF(AND('Lap ED'!G69='Peta Risiko'!$D$4,'Lap ED'!H69='Peta Risiko'!$G$9),'Lap ED'!A69,"")</f>
        <v/>
      </c>
      <c r="F78" s="27" t="str">
        <f>IF(AND('Lap ED'!G69='Peta Risiko'!$D$4,'Lap ED'!H69='Peta Risiko'!$H$9),'Lap ED'!A69,"")</f>
        <v/>
      </c>
      <c r="G78" s="27" t="str">
        <f>IF(AND('Lap ED'!G69='Peta Risiko'!$D$4,'Lap ED'!H69='Peta Risiko'!$I$9),'Lap ED'!A69,"")</f>
        <v/>
      </c>
      <c r="H78" s="27" t="str">
        <f>IF(AND('Lap ED'!G69='Peta Risiko'!$D$5,'Lap ED'!H69='Peta Risiko'!$E$9),'Lap ED'!A69,"")</f>
        <v/>
      </c>
      <c r="I78" s="27" t="str">
        <f>IF(AND('Lap ED'!G69='Peta Risiko'!$D$5,'Lap ED'!H69='Peta Risiko'!$F$9),'Lap ED'!A69,"")</f>
        <v/>
      </c>
      <c r="J78" s="27" t="str">
        <f>IF(AND('Lap ED'!G69='Peta Risiko'!$D$5,'Lap ED'!H69='Peta Risiko'!$G$9),'Lap ED'!A69,"")</f>
        <v/>
      </c>
      <c r="K78" s="27" t="str">
        <f>IF(AND('Lap ED'!G69='Peta Risiko'!$D$5,'Lap ED'!H69='Peta Risiko'!$H$9),'Lap ED'!A69,"")</f>
        <v/>
      </c>
      <c r="L78" s="27" t="str">
        <f>IF(AND('Lap ED'!G69='Peta Risiko'!$D$5,'Lap ED'!H69='Peta Risiko'!$I$9),'Lap ED'!A69,"")</f>
        <v/>
      </c>
      <c r="M78" s="27" t="str">
        <f>IF(AND('Lap ED'!G69='Peta Risiko'!$D$6,'Lap ED'!H69='Peta Risiko'!$E$9),'Lap ED'!A69,"")</f>
        <v/>
      </c>
      <c r="N78" s="27" t="str">
        <f>IF(AND('Lap ED'!G69='Peta Risiko'!$D$6,'Lap ED'!H69='Peta Risiko'!$F$9),'Lap ED'!A69,"")</f>
        <v/>
      </c>
      <c r="O78" s="27" t="str">
        <f>IF(AND('Lap ED'!G69='Peta Risiko'!$D$6,'Lap ED'!H69='Peta Risiko'!$G$9),'Lap ED'!A69,"")</f>
        <v/>
      </c>
      <c r="P78" s="27" t="str">
        <f>IF(AND('Lap ED'!G69='Peta Risiko'!$D$6,'Lap ED'!H69='Peta Risiko'!$H$9),'Lap ED'!A69,"")</f>
        <v/>
      </c>
      <c r="Q78" s="27" t="str">
        <f>IF(AND('Lap ED'!G69='Peta Risiko'!$D$6,'Lap ED'!H69='Peta Risiko'!$I$9),'Lap ED'!A69,"")</f>
        <v/>
      </c>
      <c r="R78" s="27" t="str">
        <f>IF(AND('Lap ED'!G69='Peta Risiko'!$D$7,'Lap ED'!H69='Peta Risiko'!$E$9),'Lap ED'!A69,"")</f>
        <v/>
      </c>
      <c r="S78" s="27" t="str">
        <f>IF(AND('Lap ED'!G69='Peta Risiko'!$D$7,'Lap ED'!H69='Peta Risiko'!$F$9),'Lap ED'!A69,"")</f>
        <v/>
      </c>
      <c r="T78" s="27" t="str">
        <f>IF(AND('Lap ED'!G69='Peta Risiko'!$D$7,'Lap ED'!H69='Peta Risiko'!$G$9),'Lap ED'!A69,"")</f>
        <v/>
      </c>
      <c r="U78" s="27" t="str">
        <f>IF(AND('Lap ED'!G69='Peta Risiko'!$D$7,'Lap ED'!H69='Peta Risiko'!$H$9),'Lap ED'!A69,"")</f>
        <v/>
      </c>
      <c r="V78" s="27" t="str">
        <f>IF(AND('Lap ED'!G69='Peta Risiko'!$D$7,'Lap ED'!H69='Peta Risiko'!$I$9),'Lap ED'!A69,"")</f>
        <v/>
      </c>
      <c r="W78" s="27" t="str">
        <f>IF(AND('Lap ED'!G69='Peta Risiko'!$D$8,'Lap ED'!H69='Peta Risiko'!$E$9),'Lap ED'!A69,"")</f>
        <v/>
      </c>
      <c r="X78" s="27" t="str">
        <f>IF(AND('Lap ED'!G69='Peta Risiko'!$D$8,'Lap ED'!H69='Peta Risiko'!$F$9),'Lap ED'!A69,"")</f>
        <v/>
      </c>
      <c r="Y78" s="27" t="str">
        <f>IF(AND('Lap ED'!G69='Peta Risiko'!$D$8,'Lap ED'!H69='Peta Risiko'!$G$9),'Lap ED'!A69,"")</f>
        <v/>
      </c>
      <c r="Z78" s="27" t="str">
        <f>IF(AND('Lap ED'!G69='Peta Risiko'!$D$8,'Lap ED'!H69='Peta Risiko'!$H$9),'Lap ED'!A69,"")</f>
        <v/>
      </c>
      <c r="AA78" s="27" t="str">
        <f>IF(AND('Lap ED'!G69='Peta Risiko'!$D$8,'Lap ED'!H69='Peta Risiko'!$I$9),'Lap ED'!A69,"")</f>
        <v/>
      </c>
    </row>
    <row r="79" spans="2:27" hidden="1" x14ac:dyDescent="0.25">
      <c r="B79" s="27">
        <f t="shared" si="5"/>
        <v>65</v>
      </c>
      <c r="C79" s="27" t="str">
        <f>IF(AND('Lap ED'!G70='Peta Risiko'!$D$4,'Lap ED'!H70='Peta Risiko'!$E$9),'Lap ED'!A70,"")</f>
        <v/>
      </c>
      <c r="D79" s="27" t="str">
        <f>IF(AND('Lap ED'!G70='Peta Risiko'!$D$4,'Lap ED'!H70='Peta Risiko'!$F$9),'Lap ED'!A70,"")</f>
        <v/>
      </c>
      <c r="E79" s="27" t="str">
        <f>IF(AND('Lap ED'!G70='Peta Risiko'!$D$4,'Lap ED'!H70='Peta Risiko'!$G$9),'Lap ED'!A70,"")</f>
        <v/>
      </c>
      <c r="F79" s="27" t="str">
        <f>IF(AND('Lap ED'!G70='Peta Risiko'!$D$4,'Lap ED'!H70='Peta Risiko'!$H$9),'Lap ED'!A70,"")</f>
        <v/>
      </c>
      <c r="G79" s="27" t="str">
        <f>IF(AND('Lap ED'!G70='Peta Risiko'!$D$4,'Lap ED'!H70='Peta Risiko'!$I$9),'Lap ED'!A70,"")</f>
        <v/>
      </c>
      <c r="H79" s="27" t="str">
        <f>IF(AND('Lap ED'!G70='Peta Risiko'!$D$5,'Lap ED'!H70='Peta Risiko'!$E$9),'Lap ED'!A70,"")</f>
        <v/>
      </c>
      <c r="I79" s="27" t="str">
        <f>IF(AND('Lap ED'!G70='Peta Risiko'!$D$5,'Lap ED'!H70='Peta Risiko'!$F$9),'Lap ED'!A70,"")</f>
        <v/>
      </c>
      <c r="J79" s="27" t="str">
        <f>IF(AND('Lap ED'!G70='Peta Risiko'!$D$5,'Lap ED'!H70='Peta Risiko'!$G$9),'Lap ED'!A70,"")</f>
        <v/>
      </c>
      <c r="K79" s="27" t="str">
        <f>IF(AND('Lap ED'!G70='Peta Risiko'!$D$5,'Lap ED'!H70='Peta Risiko'!$H$9),'Lap ED'!A70,"")</f>
        <v/>
      </c>
      <c r="L79" s="27" t="str">
        <f>IF(AND('Lap ED'!G70='Peta Risiko'!$D$5,'Lap ED'!H70='Peta Risiko'!$I$9),'Lap ED'!A70,"")</f>
        <v/>
      </c>
      <c r="M79" s="27" t="str">
        <f>IF(AND('Lap ED'!G70='Peta Risiko'!$D$6,'Lap ED'!H70='Peta Risiko'!$E$9),'Lap ED'!A70,"")</f>
        <v/>
      </c>
      <c r="N79" s="27" t="str">
        <f>IF(AND('Lap ED'!G70='Peta Risiko'!$D$6,'Lap ED'!H70='Peta Risiko'!$F$9),'Lap ED'!A70,"")</f>
        <v/>
      </c>
      <c r="O79" s="27" t="str">
        <f>IF(AND('Lap ED'!G70='Peta Risiko'!$D$6,'Lap ED'!H70='Peta Risiko'!$G$9),'Lap ED'!A70,"")</f>
        <v/>
      </c>
      <c r="P79" s="27" t="str">
        <f>IF(AND('Lap ED'!G70='Peta Risiko'!$D$6,'Lap ED'!H70='Peta Risiko'!$H$9),'Lap ED'!A70,"")</f>
        <v/>
      </c>
      <c r="Q79" s="27" t="str">
        <f>IF(AND('Lap ED'!G70='Peta Risiko'!$D$6,'Lap ED'!H70='Peta Risiko'!$I$9),'Lap ED'!A70,"")</f>
        <v/>
      </c>
      <c r="R79" s="27" t="str">
        <f>IF(AND('Lap ED'!G70='Peta Risiko'!$D$7,'Lap ED'!H70='Peta Risiko'!$E$9),'Lap ED'!A70,"")</f>
        <v/>
      </c>
      <c r="S79" s="27" t="str">
        <f>IF(AND('Lap ED'!G70='Peta Risiko'!$D$7,'Lap ED'!H70='Peta Risiko'!$F$9),'Lap ED'!A70,"")</f>
        <v/>
      </c>
      <c r="T79" s="27" t="str">
        <f>IF(AND('Lap ED'!G70='Peta Risiko'!$D$7,'Lap ED'!H70='Peta Risiko'!$G$9),'Lap ED'!A70,"")</f>
        <v/>
      </c>
      <c r="U79" s="27" t="str">
        <f>IF(AND('Lap ED'!G70='Peta Risiko'!$D$7,'Lap ED'!H70='Peta Risiko'!$H$9),'Lap ED'!A70,"")</f>
        <v/>
      </c>
      <c r="V79" s="27" t="str">
        <f>IF(AND('Lap ED'!G70='Peta Risiko'!$D$7,'Lap ED'!H70='Peta Risiko'!$I$9),'Lap ED'!A70,"")</f>
        <v/>
      </c>
      <c r="W79" s="27">
        <f>IF(AND('Lap ED'!G70='Peta Risiko'!$D$8,'Lap ED'!H70='Peta Risiko'!$E$9),'Lap ED'!A70,"")</f>
        <v>56</v>
      </c>
      <c r="X79" s="27" t="str">
        <f>IF(AND('Lap ED'!G70='Peta Risiko'!$D$8,'Lap ED'!H70='Peta Risiko'!$F$9),'Lap ED'!A70,"")</f>
        <v/>
      </c>
      <c r="Y79" s="27" t="str">
        <f>IF(AND('Lap ED'!G70='Peta Risiko'!$D$8,'Lap ED'!H70='Peta Risiko'!$G$9),'Lap ED'!A70,"")</f>
        <v/>
      </c>
      <c r="Z79" s="27" t="str">
        <f>IF(AND('Lap ED'!G70='Peta Risiko'!$D$8,'Lap ED'!H70='Peta Risiko'!$H$9),'Lap ED'!A70,"")</f>
        <v/>
      </c>
      <c r="AA79" s="27" t="str">
        <f>IF(AND('Lap ED'!G70='Peta Risiko'!$D$8,'Lap ED'!H70='Peta Risiko'!$I$9),'Lap ED'!A70,"")</f>
        <v/>
      </c>
    </row>
    <row r="80" spans="2:27" hidden="1" x14ac:dyDescent="0.25">
      <c r="B80" s="27">
        <f t="shared" si="5"/>
        <v>66</v>
      </c>
      <c r="C80" s="27" t="str">
        <f>IF(AND('Lap ED'!G71='Peta Risiko'!$D$4,'Lap ED'!H71='Peta Risiko'!$E$9),'Lap ED'!A71,"")</f>
        <v/>
      </c>
      <c r="D80" s="27" t="str">
        <f>IF(AND('Lap ED'!G71='Peta Risiko'!$D$4,'Lap ED'!H71='Peta Risiko'!$F$9),'Lap ED'!A71,"")</f>
        <v/>
      </c>
      <c r="E80" s="27" t="str">
        <f>IF(AND('Lap ED'!G71='Peta Risiko'!$D$4,'Lap ED'!H71='Peta Risiko'!$G$9),'Lap ED'!A71,"")</f>
        <v/>
      </c>
      <c r="F80" s="27" t="str">
        <f>IF(AND('Lap ED'!G71='Peta Risiko'!$D$4,'Lap ED'!H71='Peta Risiko'!$H$9),'Lap ED'!A71,"")</f>
        <v/>
      </c>
      <c r="G80" s="27" t="str">
        <f>IF(AND('Lap ED'!G71='Peta Risiko'!$D$4,'Lap ED'!H71='Peta Risiko'!$I$9),'Lap ED'!A71,"")</f>
        <v/>
      </c>
      <c r="H80" s="27" t="str">
        <f>IF(AND('Lap ED'!G71='Peta Risiko'!$D$5,'Lap ED'!H71='Peta Risiko'!$E$9),'Lap ED'!A71,"")</f>
        <v/>
      </c>
      <c r="I80" s="27" t="str">
        <f>IF(AND('Lap ED'!G71='Peta Risiko'!$D$5,'Lap ED'!H71='Peta Risiko'!$F$9),'Lap ED'!A71,"")</f>
        <v/>
      </c>
      <c r="J80" s="27" t="str">
        <f>IF(AND('Lap ED'!G71='Peta Risiko'!$D$5,'Lap ED'!H71='Peta Risiko'!$G$9),'Lap ED'!A71,"")</f>
        <v/>
      </c>
      <c r="K80" s="27" t="str">
        <f>IF(AND('Lap ED'!G71='Peta Risiko'!$D$5,'Lap ED'!H71='Peta Risiko'!$H$9),'Lap ED'!A71,"")</f>
        <v/>
      </c>
      <c r="L80" s="27" t="str">
        <f>IF(AND('Lap ED'!G71='Peta Risiko'!$D$5,'Lap ED'!H71='Peta Risiko'!$I$9),'Lap ED'!A71,"")</f>
        <v/>
      </c>
      <c r="M80" s="27" t="str">
        <f>IF(AND('Lap ED'!G71='Peta Risiko'!$D$6,'Lap ED'!H71='Peta Risiko'!$E$9),'Lap ED'!A71,"")</f>
        <v/>
      </c>
      <c r="N80" s="27" t="str">
        <f>IF(AND('Lap ED'!G71='Peta Risiko'!$D$6,'Lap ED'!H71='Peta Risiko'!$F$9),'Lap ED'!A71,"")</f>
        <v/>
      </c>
      <c r="O80" s="27" t="str">
        <f>IF(AND('Lap ED'!G71='Peta Risiko'!$D$6,'Lap ED'!H71='Peta Risiko'!$G$9),'Lap ED'!A71,"")</f>
        <v/>
      </c>
      <c r="P80" s="27" t="str">
        <f>IF(AND('Lap ED'!G71='Peta Risiko'!$D$6,'Lap ED'!H71='Peta Risiko'!$H$9),'Lap ED'!A71,"")</f>
        <v/>
      </c>
      <c r="Q80" s="27" t="str">
        <f>IF(AND('Lap ED'!G71='Peta Risiko'!$D$6,'Lap ED'!H71='Peta Risiko'!$I$9),'Lap ED'!A71,"")</f>
        <v/>
      </c>
      <c r="R80" s="27" t="str">
        <f>IF(AND('Lap ED'!G71='Peta Risiko'!$D$7,'Lap ED'!H71='Peta Risiko'!$E$9),'Lap ED'!A71,"")</f>
        <v/>
      </c>
      <c r="S80" s="27" t="str">
        <f>IF(AND('Lap ED'!G71='Peta Risiko'!$D$7,'Lap ED'!H71='Peta Risiko'!$F$9),'Lap ED'!A71,"")</f>
        <v/>
      </c>
      <c r="T80" s="27" t="str">
        <f>IF(AND('Lap ED'!G71='Peta Risiko'!$D$7,'Lap ED'!H71='Peta Risiko'!$G$9),'Lap ED'!A71,"")</f>
        <v/>
      </c>
      <c r="U80" s="27" t="str">
        <f>IF(AND('Lap ED'!G71='Peta Risiko'!$D$7,'Lap ED'!H71='Peta Risiko'!$H$9),'Lap ED'!A71,"")</f>
        <v/>
      </c>
      <c r="V80" s="27" t="str">
        <f>IF(AND('Lap ED'!G71='Peta Risiko'!$D$7,'Lap ED'!H71='Peta Risiko'!$I$9),'Lap ED'!A71,"")</f>
        <v/>
      </c>
      <c r="W80" s="27" t="str">
        <f>IF(AND('Lap ED'!G71='Peta Risiko'!$D$8,'Lap ED'!H71='Peta Risiko'!$E$9),'Lap ED'!A71,"")</f>
        <v/>
      </c>
      <c r="X80" s="27" t="str">
        <f>IF(AND('Lap ED'!G71='Peta Risiko'!$D$8,'Lap ED'!H71='Peta Risiko'!$F$9),'Lap ED'!A71,"")</f>
        <v/>
      </c>
      <c r="Y80" s="27" t="str">
        <f>IF(AND('Lap ED'!G71='Peta Risiko'!$D$8,'Lap ED'!H71='Peta Risiko'!$G$9),'Lap ED'!A71,"")</f>
        <v/>
      </c>
      <c r="Z80" s="27" t="str">
        <f>IF(AND('Lap ED'!G71='Peta Risiko'!$D$8,'Lap ED'!H71='Peta Risiko'!$H$9),'Lap ED'!A71,"")</f>
        <v/>
      </c>
      <c r="AA80" s="27" t="str">
        <f>IF(AND('Lap ED'!G71='Peta Risiko'!$D$8,'Lap ED'!H71='Peta Risiko'!$I$9),'Lap ED'!A71,"")</f>
        <v/>
      </c>
    </row>
    <row r="81" spans="2:27" hidden="1" x14ac:dyDescent="0.25">
      <c r="B81" s="27">
        <f t="shared" si="5"/>
        <v>67</v>
      </c>
      <c r="C81" s="27" t="str">
        <f>IF(AND('Lap ED'!G72='Peta Risiko'!$D$4,'Lap ED'!H72='Peta Risiko'!$E$9),'Lap ED'!A72,"")</f>
        <v/>
      </c>
      <c r="D81" s="27" t="str">
        <f>IF(AND('Lap ED'!G72='Peta Risiko'!$D$4,'Lap ED'!H72='Peta Risiko'!$F$9),'Lap ED'!A72,"")</f>
        <v/>
      </c>
      <c r="E81" s="27" t="str">
        <f>IF(AND('Lap ED'!G72='Peta Risiko'!$D$4,'Lap ED'!H72='Peta Risiko'!$G$9),'Lap ED'!A72,"")</f>
        <v/>
      </c>
      <c r="F81" s="27" t="str">
        <f>IF(AND('Lap ED'!G72='Peta Risiko'!$D$4,'Lap ED'!H72='Peta Risiko'!$H$9),'Lap ED'!A72,"")</f>
        <v/>
      </c>
      <c r="G81" s="27" t="str">
        <f>IF(AND('Lap ED'!G72='Peta Risiko'!$D$4,'Lap ED'!H72='Peta Risiko'!$I$9),'Lap ED'!A72,"")</f>
        <v/>
      </c>
      <c r="H81" s="27" t="str">
        <f>IF(AND('Lap ED'!G72='Peta Risiko'!$D$5,'Lap ED'!H72='Peta Risiko'!$E$9),'Lap ED'!A72,"")</f>
        <v/>
      </c>
      <c r="I81" s="27" t="str">
        <f>IF(AND('Lap ED'!G72='Peta Risiko'!$D$5,'Lap ED'!H72='Peta Risiko'!$F$9),'Lap ED'!A72,"")</f>
        <v/>
      </c>
      <c r="J81" s="27" t="str">
        <f>IF(AND('Lap ED'!G72='Peta Risiko'!$D$5,'Lap ED'!H72='Peta Risiko'!$G$9),'Lap ED'!A72,"")</f>
        <v/>
      </c>
      <c r="K81" s="27" t="str">
        <f>IF(AND('Lap ED'!G72='Peta Risiko'!$D$5,'Lap ED'!H72='Peta Risiko'!$H$9),'Lap ED'!A72,"")</f>
        <v/>
      </c>
      <c r="L81" s="27" t="str">
        <f>IF(AND('Lap ED'!G72='Peta Risiko'!$D$5,'Lap ED'!H72='Peta Risiko'!$I$9),'Lap ED'!A72,"")</f>
        <v/>
      </c>
      <c r="M81" s="27" t="str">
        <f>IF(AND('Lap ED'!G72='Peta Risiko'!$D$6,'Lap ED'!H72='Peta Risiko'!$E$9),'Lap ED'!A72,"")</f>
        <v/>
      </c>
      <c r="N81" s="27" t="str">
        <f>IF(AND('Lap ED'!G72='Peta Risiko'!$D$6,'Lap ED'!H72='Peta Risiko'!$F$9),'Lap ED'!A72,"")</f>
        <v/>
      </c>
      <c r="O81" s="27" t="str">
        <f>IF(AND('Lap ED'!G72='Peta Risiko'!$D$6,'Lap ED'!H72='Peta Risiko'!$G$9),'Lap ED'!A72,"")</f>
        <v/>
      </c>
      <c r="P81" s="27" t="str">
        <f>IF(AND('Lap ED'!G72='Peta Risiko'!$D$6,'Lap ED'!H72='Peta Risiko'!$H$9),'Lap ED'!A72,"")</f>
        <v/>
      </c>
      <c r="Q81" s="27" t="str">
        <f>IF(AND('Lap ED'!G72='Peta Risiko'!$D$6,'Lap ED'!H72='Peta Risiko'!$I$9),'Lap ED'!A72,"")</f>
        <v/>
      </c>
      <c r="R81" s="27" t="str">
        <f>IF(AND('Lap ED'!G72='Peta Risiko'!$D$7,'Lap ED'!H72='Peta Risiko'!$E$9),'Lap ED'!A72,"")</f>
        <v/>
      </c>
      <c r="S81" s="27" t="str">
        <f>IF(AND('Lap ED'!G72='Peta Risiko'!$D$7,'Lap ED'!H72='Peta Risiko'!$F$9),'Lap ED'!A72,"")</f>
        <v/>
      </c>
      <c r="T81" s="27" t="str">
        <f>IF(AND('Lap ED'!G72='Peta Risiko'!$D$7,'Lap ED'!H72='Peta Risiko'!$G$9),'Lap ED'!A72,"")</f>
        <v/>
      </c>
      <c r="U81" s="27" t="str">
        <f>IF(AND('Lap ED'!G72='Peta Risiko'!$D$7,'Lap ED'!H72='Peta Risiko'!$H$9),'Lap ED'!A72,"")</f>
        <v/>
      </c>
      <c r="V81" s="27" t="str">
        <f>IF(AND('Lap ED'!G72='Peta Risiko'!$D$7,'Lap ED'!H72='Peta Risiko'!$I$9),'Lap ED'!A72,"")</f>
        <v/>
      </c>
      <c r="W81" s="27">
        <f>IF(AND('Lap ED'!G72='Peta Risiko'!$D$8,'Lap ED'!H72='Peta Risiko'!$E$9),'Lap ED'!A72,"")</f>
        <v>57</v>
      </c>
      <c r="X81" s="27" t="str">
        <f>IF(AND('Lap ED'!G72='Peta Risiko'!$D$8,'Lap ED'!H72='Peta Risiko'!$F$9),'Lap ED'!A72,"")</f>
        <v/>
      </c>
      <c r="Y81" s="27" t="str">
        <f>IF(AND('Lap ED'!G72='Peta Risiko'!$D$8,'Lap ED'!H72='Peta Risiko'!$G$9),'Lap ED'!A72,"")</f>
        <v/>
      </c>
      <c r="Z81" s="27" t="str">
        <f>IF(AND('Lap ED'!G72='Peta Risiko'!$D$8,'Lap ED'!H72='Peta Risiko'!$H$9),'Lap ED'!A72,"")</f>
        <v/>
      </c>
      <c r="AA81" s="27" t="str">
        <f>IF(AND('Lap ED'!G72='Peta Risiko'!$D$8,'Lap ED'!H72='Peta Risiko'!$I$9),'Lap ED'!A72,"")</f>
        <v/>
      </c>
    </row>
    <row r="82" spans="2:27" hidden="1" x14ac:dyDescent="0.25">
      <c r="B82" s="27">
        <f t="shared" si="5"/>
        <v>68</v>
      </c>
      <c r="C82" s="27" t="str">
        <f>IF(AND('Lap ED'!G73='Peta Risiko'!$D$4,'Lap ED'!H73='Peta Risiko'!$E$9),'Lap ED'!A73,"")</f>
        <v/>
      </c>
      <c r="D82" s="27" t="str">
        <f>IF(AND('Lap ED'!G73='Peta Risiko'!$D$4,'Lap ED'!H73='Peta Risiko'!$F$9),'Lap ED'!A73,"")</f>
        <v/>
      </c>
      <c r="E82" s="27" t="str">
        <f>IF(AND('Lap ED'!G73='Peta Risiko'!$D$4,'Lap ED'!H73='Peta Risiko'!$G$9),'Lap ED'!A73,"")</f>
        <v/>
      </c>
      <c r="F82" s="27" t="str">
        <f>IF(AND('Lap ED'!G73='Peta Risiko'!$D$4,'Lap ED'!H73='Peta Risiko'!$H$9),'Lap ED'!A73,"")</f>
        <v/>
      </c>
      <c r="G82" s="27" t="str">
        <f>IF(AND('Lap ED'!G73='Peta Risiko'!$D$4,'Lap ED'!H73='Peta Risiko'!$I$9),'Lap ED'!A73,"")</f>
        <v/>
      </c>
      <c r="H82" s="27" t="str">
        <f>IF(AND('Lap ED'!G73='Peta Risiko'!$D$5,'Lap ED'!H73='Peta Risiko'!$E$9),'Lap ED'!A73,"")</f>
        <v/>
      </c>
      <c r="I82" s="27" t="str">
        <f>IF(AND('Lap ED'!G73='Peta Risiko'!$D$5,'Lap ED'!H73='Peta Risiko'!$F$9),'Lap ED'!A73,"")</f>
        <v/>
      </c>
      <c r="J82" s="27" t="str">
        <f>IF(AND('Lap ED'!G73='Peta Risiko'!$D$5,'Lap ED'!H73='Peta Risiko'!$G$9),'Lap ED'!A73,"")</f>
        <v/>
      </c>
      <c r="K82" s="27" t="str">
        <f>IF(AND('Lap ED'!G73='Peta Risiko'!$D$5,'Lap ED'!H73='Peta Risiko'!$H$9),'Lap ED'!A73,"")</f>
        <v/>
      </c>
      <c r="L82" s="27" t="str">
        <f>IF(AND('Lap ED'!G73='Peta Risiko'!$D$5,'Lap ED'!H73='Peta Risiko'!$I$9),'Lap ED'!A73,"")</f>
        <v/>
      </c>
      <c r="M82" s="27" t="str">
        <f>IF(AND('Lap ED'!G73='Peta Risiko'!$D$6,'Lap ED'!H73='Peta Risiko'!$E$9),'Lap ED'!A73,"")</f>
        <v/>
      </c>
      <c r="N82" s="27" t="str">
        <f>IF(AND('Lap ED'!G73='Peta Risiko'!$D$6,'Lap ED'!H73='Peta Risiko'!$F$9),'Lap ED'!A73,"")</f>
        <v/>
      </c>
      <c r="O82" s="27" t="str">
        <f>IF(AND('Lap ED'!G73='Peta Risiko'!$D$6,'Lap ED'!H73='Peta Risiko'!$G$9),'Lap ED'!A73,"")</f>
        <v/>
      </c>
      <c r="P82" s="27" t="str">
        <f>IF(AND('Lap ED'!G73='Peta Risiko'!$D$6,'Lap ED'!H73='Peta Risiko'!$H$9),'Lap ED'!A73,"")</f>
        <v/>
      </c>
      <c r="Q82" s="27" t="str">
        <f>IF(AND('Lap ED'!G73='Peta Risiko'!$D$6,'Lap ED'!H73='Peta Risiko'!$I$9),'Lap ED'!A73,"")</f>
        <v/>
      </c>
      <c r="R82" s="27" t="str">
        <f>IF(AND('Lap ED'!G73='Peta Risiko'!$D$7,'Lap ED'!H73='Peta Risiko'!$E$9),'Lap ED'!A73,"")</f>
        <v/>
      </c>
      <c r="S82" s="27" t="str">
        <f>IF(AND('Lap ED'!G73='Peta Risiko'!$D$7,'Lap ED'!H73='Peta Risiko'!$F$9),'Lap ED'!A73,"")</f>
        <v/>
      </c>
      <c r="T82" s="27" t="str">
        <f>IF(AND('Lap ED'!G73='Peta Risiko'!$D$7,'Lap ED'!H73='Peta Risiko'!$G$9),'Lap ED'!A73,"")</f>
        <v/>
      </c>
      <c r="U82" s="27" t="str">
        <f>IF(AND('Lap ED'!G73='Peta Risiko'!$D$7,'Lap ED'!H73='Peta Risiko'!$H$9),'Lap ED'!A73,"")</f>
        <v/>
      </c>
      <c r="V82" s="27" t="str">
        <f>IF(AND('Lap ED'!G73='Peta Risiko'!$D$7,'Lap ED'!H73='Peta Risiko'!$I$9),'Lap ED'!A73,"")</f>
        <v/>
      </c>
      <c r="W82" s="27">
        <f>IF(AND('Lap ED'!G73='Peta Risiko'!$D$8,'Lap ED'!H73='Peta Risiko'!$E$9),'Lap ED'!A73,"")</f>
        <v>58</v>
      </c>
      <c r="X82" s="27" t="str">
        <f>IF(AND('Lap ED'!G73='Peta Risiko'!$D$8,'Lap ED'!H73='Peta Risiko'!$F$9),'Lap ED'!A73,"")</f>
        <v/>
      </c>
      <c r="Y82" s="27" t="str">
        <f>IF(AND('Lap ED'!G73='Peta Risiko'!$D$8,'Lap ED'!H73='Peta Risiko'!$G$9),'Lap ED'!A73,"")</f>
        <v/>
      </c>
      <c r="Z82" s="27" t="str">
        <f>IF(AND('Lap ED'!G73='Peta Risiko'!$D$8,'Lap ED'!H73='Peta Risiko'!$H$9),'Lap ED'!A73,"")</f>
        <v/>
      </c>
      <c r="AA82" s="27" t="str">
        <f>IF(AND('Lap ED'!G73='Peta Risiko'!$D$8,'Lap ED'!H73='Peta Risiko'!$I$9),'Lap ED'!A73,"")</f>
        <v/>
      </c>
    </row>
    <row r="83" spans="2:27" hidden="1" x14ac:dyDescent="0.25">
      <c r="B83" s="27">
        <f t="shared" si="5"/>
        <v>69</v>
      </c>
      <c r="C83" s="27" t="str">
        <f>IF(AND('Lap ED'!G74='Peta Risiko'!$D$4,'Lap ED'!H74='Peta Risiko'!$E$9),'Lap ED'!A74,"")</f>
        <v/>
      </c>
      <c r="D83" s="27" t="str">
        <f>IF(AND('Lap ED'!G74='Peta Risiko'!$D$4,'Lap ED'!H74='Peta Risiko'!$F$9),'Lap ED'!A74,"")</f>
        <v/>
      </c>
      <c r="E83" s="27" t="str">
        <f>IF(AND('Lap ED'!G74='Peta Risiko'!$D$4,'Lap ED'!H74='Peta Risiko'!$G$9),'Lap ED'!A74,"")</f>
        <v/>
      </c>
      <c r="F83" s="27" t="str">
        <f>IF(AND('Lap ED'!G74='Peta Risiko'!$D$4,'Lap ED'!H74='Peta Risiko'!$H$9),'Lap ED'!A74,"")</f>
        <v/>
      </c>
      <c r="G83" s="27" t="str">
        <f>IF(AND('Lap ED'!G74='Peta Risiko'!$D$4,'Lap ED'!H74='Peta Risiko'!$I$9),'Lap ED'!A74,"")</f>
        <v/>
      </c>
      <c r="H83" s="27" t="str">
        <f>IF(AND('Lap ED'!G74='Peta Risiko'!$D$5,'Lap ED'!H74='Peta Risiko'!$E$9),'Lap ED'!A74,"")</f>
        <v/>
      </c>
      <c r="I83" s="27" t="str">
        <f>IF(AND('Lap ED'!G74='Peta Risiko'!$D$5,'Lap ED'!H74='Peta Risiko'!$F$9),'Lap ED'!A74,"")</f>
        <v/>
      </c>
      <c r="J83" s="27" t="str">
        <f>IF(AND('Lap ED'!G74='Peta Risiko'!$D$5,'Lap ED'!H74='Peta Risiko'!$G$9),'Lap ED'!A74,"")</f>
        <v/>
      </c>
      <c r="K83" s="27" t="str">
        <f>IF(AND('Lap ED'!G74='Peta Risiko'!$D$5,'Lap ED'!H74='Peta Risiko'!$H$9),'Lap ED'!A74,"")</f>
        <v/>
      </c>
      <c r="L83" s="27" t="str">
        <f>IF(AND('Lap ED'!G74='Peta Risiko'!$D$5,'Lap ED'!H74='Peta Risiko'!$I$9),'Lap ED'!A74,"")</f>
        <v/>
      </c>
      <c r="M83" s="27" t="str">
        <f>IF(AND('Lap ED'!G74='Peta Risiko'!$D$6,'Lap ED'!H74='Peta Risiko'!$E$9),'Lap ED'!A74,"")</f>
        <v/>
      </c>
      <c r="N83" s="27" t="str">
        <f>IF(AND('Lap ED'!G74='Peta Risiko'!$D$6,'Lap ED'!H74='Peta Risiko'!$F$9),'Lap ED'!A74,"")</f>
        <v/>
      </c>
      <c r="O83" s="27" t="str">
        <f>IF(AND('Lap ED'!G74='Peta Risiko'!$D$6,'Lap ED'!H74='Peta Risiko'!$G$9),'Lap ED'!A74,"")</f>
        <v/>
      </c>
      <c r="P83" s="27" t="str">
        <f>IF(AND('Lap ED'!G74='Peta Risiko'!$D$6,'Lap ED'!H74='Peta Risiko'!$H$9),'Lap ED'!A74,"")</f>
        <v/>
      </c>
      <c r="Q83" s="27" t="str">
        <f>IF(AND('Lap ED'!G74='Peta Risiko'!$D$6,'Lap ED'!H74='Peta Risiko'!$I$9),'Lap ED'!A74,"")</f>
        <v/>
      </c>
      <c r="R83" s="27" t="str">
        <f>IF(AND('Lap ED'!G74='Peta Risiko'!$D$7,'Lap ED'!H74='Peta Risiko'!$E$9),'Lap ED'!A74,"")</f>
        <v/>
      </c>
      <c r="S83" s="27" t="str">
        <f>IF(AND('Lap ED'!G74='Peta Risiko'!$D$7,'Lap ED'!H74='Peta Risiko'!$F$9),'Lap ED'!A74,"")</f>
        <v/>
      </c>
      <c r="T83" s="27" t="str">
        <f>IF(AND('Lap ED'!G74='Peta Risiko'!$D$7,'Lap ED'!H74='Peta Risiko'!$G$9),'Lap ED'!A74,"")</f>
        <v/>
      </c>
      <c r="U83" s="27" t="str">
        <f>IF(AND('Lap ED'!G74='Peta Risiko'!$D$7,'Lap ED'!H74='Peta Risiko'!$H$9),'Lap ED'!A74,"")</f>
        <v/>
      </c>
      <c r="V83" s="27" t="str">
        <f>IF(AND('Lap ED'!G74='Peta Risiko'!$D$7,'Lap ED'!H74='Peta Risiko'!$I$9),'Lap ED'!A74,"")</f>
        <v/>
      </c>
      <c r="W83" s="27">
        <f>IF(AND('Lap ED'!G74='Peta Risiko'!$D$8,'Lap ED'!H74='Peta Risiko'!$E$9),'Lap ED'!A74,"")</f>
        <v>59</v>
      </c>
      <c r="X83" s="27" t="str">
        <f>IF(AND('Lap ED'!G74='Peta Risiko'!$D$8,'Lap ED'!H74='Peta Risiko'!$F$9),'Lap ED'!A74,"")</f>
        <v/>
      </c>
      <c r="Y83" s="27" t="str">
        <f>IF(AND('Lap ED'!G74='Peta Risiko'!$D$8,'Lap ED'!H74='Peta Risiko'!$G$9),'Lap ED'!A74,"")</f>
        <v/>
      </c>
      <c r="Z83" s="27" t="str">
        <f>IF(AND('Lap ED'!G74='Peta Risiko'!$D$8,'Lap ED'!H74='Peta Risiko'!$H$9),'Lap ED'!A74,"")</f>
        <v/>
      </c>
      <c r="AA83" s="27" t="str">
        <f>IF(AND('Lap ED'!G74='Peta Risiko'!$D$8,'Lap ED'!H74='Peta Risiko'!$I$9),'Lap ED'!A74,"")</f>
        <v/>
      </c>
    </row>
    <row r="84" spans="2:27" hidden="1" x14ac:dyDescent="0.25">
      <c r="B84" s="27">
        <f t="shared" si="5"/>
        <v>70</v>
      </c>
      <c r="C84" s="27" t="str">
        <f>IF(AND('Lap ED'!G75='Peta Risiko'!$D$4,'Lap ED'!H75='Peta Risiko'!$E$9),'Lap ED'!A75,"")</f>
        <v/>
      </c>
      <c r="D84" s="27" t="str">
        <f>IF(AND('Lap ED'!G75='Peta Risiko'!$D$4,'Lap ED'!H75='Peta Risiko'!$F$9),'Lap ED'!A75,"")</f>
        <v/>
      </c>
      <c r="E84" s="27" t="str">
        <f>IF(AND('Lap ED'!G75='Peta Risiko'!$D$4,'Lap ED'!H75='Peta Risiko'!$G$9),'Lap ED'!A75,"")</f>
        <v/>
      </c>
      <c r="F84" s="27" t="str">
        <f>IF(AND('Lap ED'!G75='Peta Risiko'!$D$4,'Lap ED'!H75='Peta Risiko'!$H$9),'Lap ED'!A75,"")</f>
        <v/>
      </c>
      <c r="G84" s="27" t="str">
        <f>IF(AND('Lap ED'!G75='Peta Risiko'!$D$4,'Lap ED'!H75='Peta Risiko'!$I$9),'Lap ED'!A75,"")</f>
        <v/>
      </c>
      <c r="H84" s="27" t="str">
        <f>IF(AND('Lap ED'!G75='Peta Risiko'!$D$5,'Lap ED'!H75='Peta Risiko'!$E$9),'Lap ED'!A75,"")</f>
        <v/>
      </c>
      <c r="I84" s="27" t="str">
        <f>IF(AND('Lap ED'!G75='Peta Risiko'!$D$5,'Lap ED'!H75='Peta Risiko'!$F$9),'Lap ED'!A75,"")</f>
        <v/>
      </c>
      <c r="J84" s="27" t="str">
        <f>IF(AND('Lap ED'!G75='Peta Risiko'!$D$5,'Lap ED'!H75='Peta Risiko'!$G$9),'Lap ED'!A75,"")</f>
        <v/>
      </c>
      <c r="K84" s="27" t="str">
        <f>IF(AND('Lap ED'!G75='Peta Risiko'!$D$5,'Lap ED'!H75='Peta Risiko'!$H$9),'Lap ED'!A75,"")</f>
        <v/>
      </c>
      <c r="L84" s="27" t="str">
        <f>IF(AND('Lap ED'!G75='Peta Risiko'!$D$5,'Lap ED'!H75='Peta Risiko'!$I$9),'Lap ED'!A75,"")</f>
        <v/>
      </c>
      <c r="M84" s="27" t="str">
        <f>IF(AND('Lap ED'!G75='Peta Risiko'!$D$6,'Lap ED'!H75='Peta Risiko'!$E$9),'Lap ED'!A75,"")</f>
        <v/>
      </c>
      <c r="N84" s="27" t="str">
        <f>IF(AND('Lap ED'!G75='Peta Risiko'!$D$6,'Lap ED'!H75='Peta Risiko'!$F$9),'Lap ED'!A75,"")</f>
        <v/>
      </c>
      <c r="O84" s="27" t="str">
        <f>IF(AND('Lap ED'!G75='Peta Risiko'!$D$6,'Lap ED'!H75='Peta Risiko'!$G$9),'Lap ED'!A75,"")</f>
        <v/>
      </c>
      <c r="P84" s="27" t="str">
        <f>IF(AND('Lap ED'!G75='Peta Risiko'!$D$6,'Lap ED'!H75='Peta Risiko'!$H$9),'Lap ED'!A75,"")</f>
        <v/>
      </c>
      <c r="Q84" s="27" t="str">
        <f>IF(AND('Lap ED'!G75='Peta Risiko'!$D$6,'Lap ED'!H75='Peta Risiko'!$I$9),'Lap ED'!A75,"")</f>
        <v/>
      </c>
      <c r="R84" s="27" t="str">
        <f>IF(AND('Lap ED'!G75='Peta Risiko'!$D$7,'Lap ED'!H75='Peta Risiko'!$E$9),'Lap ED'!A75,"")</f>
        <v/>
      </c>
      <c r="S84" s="27" t="str">
        <f>IF(AND('Lap ED'!G75='Peta Risiko'!$D$7,'Lap ED'!H75='Peta Risiko'!$F$9),'Lap ED'!A75,"")</f>
        <v/>
      </c>
      <c r="T84" s="27" t="str">
        <f>IF(AND('Lap ED'!G75='Peta Risiko'!$D$7,'Lap ED'!H75='Peta Risiko'!$G$9),'Lap ED'!A75,"")</f>
        <v/>
      </c>
      <c r="U84" s="27" t="str">
        <f>IF(AND('Lap ED'!G75='Peta Risiko'!$D$7,'Lap ED'!H75='Peta Risiko'!$H$9),'Lap ED'!A75,"")</f>
        <v/>
      </c>
      <c r="V84" s="27" t="str">
        <f>IF(AND('Lap ED'!G75='Peta Risiko'!$D$7,'Lap ED'!H75='Peta Risiko'!$I$9),'Lap ED'!A75,"")</f>
        <v/>
      </c>
      <c r="W84" s="27" t="str">
        <f>IF(AND('Lap ED'!G75='Peta Risiko'!$D$8,'Lap ED'!H75='Peta Risiko'!$E$9),'Lap ED'!A75,"")</f>
        <v/>
      </c>
      <c r="X84" s="27" t="str">
        <f>IF(AND('Lap ED'!G75='Peta Risiko'!$D$8,'Lap ED'!H75='Peta Risiko'!$F$9),'Lap ED'!A75,"")</f>
        <v/>
      </c>
      <c r="Y84" s="27" t="str">
        <f>IF(AND('Lap ED'!G75='Peta Risiko'!$D$8,'Lap ED'!H75='Peta Risiko'!$G$9),'Lap ED'!A75,"")</f>
        <v/>
      </c>
      <c r="Z84" s="27" t="str">
        <f>IF(AND('Lap ED'!G75='Peta Risiko'!$D$8,'Lap ED'!H75='Peta Risiko'!$H$9),'Lap ED'!A75,"")</f>
        <v/>
      </c>
      <c r="AA84" s="27" t="str">
        <f>IF(AND('Lap ED'!G75='Peta Risiko'!$D$8,'Lap ED'!H75='Peta Risiko'!$I$9),'Lap ED'!A75,"")</f>
        <v/>
      </c>
    </row>
    <row r="85" spans="2:27" hidden="1" x14ac:dyDescent="0.25">
      <c r="B85" s="27">
        <f t="shared" ref="B85:B89" si="6">B84+1</f>
        <v>71</v>
      </c>
      <c r="C85" s="27" t="str">
        <f>IF(AND('Lap ED'!G76='Peta Risiko'!$D$4,'Lap ED'!H76='Peta Risiko'!$E$9),'Lap ED'!A76,"")</f>
        <v/>
      </c>
      <c r="D85" s="27" t="str">
        <f>IF(AND('Lap ED'!G76='Peta Risiko'!$D$4,'Lap ED'!H76='Peta Risiko'!$F$9),'Lap ED'!A76,"")</f>
        <v/>
      </c>
      <c r="E85" s="27" t="str">
        <f>IF(AND('Lap ED'!G76='Peta Risiko'!$D$4,'Lap ED'!H76='Peta Risiko'!$G$9),'Lap ED'!A76,"")</f>
        <v/>
      </c>
      <c r="F85" s="27" t="str">
        <f>IF(AND('Lap ED'!G76='Peta Risiko'!$D$4,'Lap ED'!H76='Peta Risiko'!$H$9),'Lap ED'!A76,"")</f>
        <v/>
      </c>
      <c r="G85" s="27" t="str">
        <f>IF(AND('Lap ED'!G76='Peta Risiko'!$D$4,'Lap ED'!H76='Peta Risiko'!$I$9),'Lap ED'!A76,"")</f>
        <v/>
      </c>
      <c r="H85" s="27" t="str">
        <f>IF(AND('Lap ED'!G76='Peta Risiko'!$D$5,'Lap ED'!H76='Peta Risiko'!$E$9),'Lap ED'!A76,"")</f>
        <v/>
      </c>
      <c r="I85" s="27" t="str">
        <f>IF(AND('Lap ED'!G76='Peta Risiko'!$D$5,'Lap ED'!H76='Peta Risiko'!$F$9),'Lap ED'!A76,"")</f>
        <v/>
      </c>
      <c r="J85" s="27" t="str">
        <f>IF(AND('Lap ED'!G76='Peta Risiko'!$D$5,'Lap ED'!H76='Peta Risiko'!$G$9),'Lap ED'!A76,"")</f>
        <v/>
      </c>
      <c r="K85" s="27" t="str">
        <f>IF(AND('Lap ED'!G76='Peta Risiko'!$D$5,'Lap ED'!H76='Peta Risiko'!$H$9),'Lap ED'!A76,"")</f>
        <v/>
      </c>
      <c r="L85" s="27" t="str">
        <f>IF(AND('Lap ED'!G76='Peta Risiko'!$D$5,'Lap ED'!H76='Peta Risiko'!$I$9),'Lap ED'!A76,"")</f>
        <v/>
      </c>
      <c r="M85" s="27" t="str">
        <f>IF(AND('Lap ED'!G76='Peta Risiko'!$D$6,'Lap ED'!H76='Peta Risiko'!$E$9),'Lap ED'!A76,"")</f>
        <v/>
      </c>
      <c r="N85" s="27" t="str">
        <f>IF(AND('Lap ED'!G76='Peta Risiko'!$D$6,'Lap ED'!H76='Peta Risiko'!$F$9),'Lap ED'!A76,"")</f>
        <v/>
      </c>
      <c r="O85" s="27" t="str">
        <f>IF(AND('Lap ED'!G76='Peta Risiko'!$D$6,'Lap ED'!H76='Peta Risiko'!$G$9),'Lap ED'!A76,"")</f>
        <v/>
      </c>
      <c r="P85" s="27" t="str">
        <f>IF(AND('Lap ED'!G76='Peta Risiko'!$D$6,'Lap ED'!H76='Peta Risiko'!$H$9),'Lap ED'!A76,"")</f>
        <v/>
      </c>
      <c r="Q85" s="27" t="str">
        <f>IF(AND('Lap ED'!G76='Peta Risiko'!$D$6,'Lap ED'!H76='Peta Risiko'!$I$9),'Lap ED'!A76,"")</f>
        <v/>
      </c>
      <c r="R85" s="27" t="str">
        <f>IF(AND('Lap ED'!G76='Peta Risiko'!$D$7,'Lap ED'!H76='Peta Risiko'!$E$9),'Lap ED'!A76,"")</f>
        <v/>
      </c>
      <c r="S85" s="27" t="str">
        <f>IF(AND('Lap ED'!G76='Peta Risiko'!$D$7,'Lap ED'!H76='Peta Risiko'!$F$9),'Lap ED'!A76,"")</f>
        <v/>
      </c>
      <c r="T85" s="27" t="str">
        <f>IF(AND('Lap ED'!G76='Peta Risiko'!$D$7,'Lap ED'!H76='Peta Risiko'!$G$9),'Lap ED'!A76,"")</f>
        <v/>
      </c>
      <c r="U85" s="27" t="str">
        <f>IF(AND('Lap ED'!G76='Peta Risiko'!$D$7,'Lap ED'!H76='Peta Risiko'!$H$9),'Lap ED'!A76,"")</f>
        <v/>
      </c>
      <c r="V85" s="27" t="str">
        <f>IF(AND('Lap ED'!G76='Peta Risiko'!$D$7,'Lap ED'!H76='Peta Risiko'!$I$9),'Lap ED'!A76,"")</f>
        <v/>
      </c>
      <c r="W85" s="27">
        <f>IF(AND('Lap ED'!G76='Peta Risiko'!$D$8,'Lap ED'!H76='Peta Risiko'!$E$9),'Lap ED'!A76,"")</f>
        <v>60</v>
      </c>
      <c r="X85" s="27" t="str">
        <f>IF(AND('Lap ED'!G76='Peta Risiko'!$D$8,'Lap ED'!H76='Peta Risiko'!$F$9),'Lap ED'!A76,"")</f>
        <v/>
      </c>
      <c r="Y85" s="27" t="str">
        <f>IF(AND('Lap ED'!G76='Peta Risiko'!$D$8,'Lap ED'!H76='Peta Risiko'!$G$9),'Lap ED'!A76,"")</f>
        <v/>
      </c>
      <c r="Z85" s="27" t="str">
        <f>IF(AND('Lap ED'!G76='Peta Risiko'!$D$8,'Lap ED'!H76='Peta Risiko'!$H$9),'Lap ED'!A76,"")</f>
        <v/>
      </c>
      <c r="AA85" s="27" t="str">
        <f>IF(AND('Lap ED'!G76='Peta Risiko'!$D$8,'Lap ED'!H76='Peta Risiko'!$I$9),'Lap ED'!A76,"")</f>
        <v/>
      </c>
    </row>
    <row r="86" spans="2:27" hidden="1" x14ac:dyDescent="0.25">
      <c r="B86" s="27">
        <f t="shared" si="6"/>
        <v>72</v>
      </c>
      <c r="C86" s="27" t="str">
        <f>IF(AND('Lap ED'!G77='Peta Risiko'!$D$4,'Lap ED'!H77='Peta Risiko'!$E$9),'Lap ED'!A77,"")</f>
        <v/>
      </c>
      <c r="D86" s="27" t="str">
        <f>IF(AND('Lap ED'!G77='Peta Risiko'!$D$4,'Lap ED'!H77='Peta Risiko'!$F$9),'Lap ED'!A77,"")</f>
        <v/>
      </c>
      <c r="E86" s="27" t="str">
        <f>IF(AND('Lap ED'!G77='Peta Risiko'!$D$4,'Lap ED'!H77='Peta Risiko'!$G$9),'Lap ED'!A77,"")</f>
        <v/>
      </c>
      <c r="F86" s="27" t="str">
        <f>IF(AND('Lap ED'!G77='Peta Risiko'!$D$4,'Lap ED'!H77='Peta Risiko'!$H$9),'Lap ED'!A77,"")</f>
        <v/>
      </c>
      <c r="G86" s="27" t="str">
        <f>IF(AND('Lap ED'!G77='Peta Risiko'!$D$4,'Lap ED'!H77='Peta Risiko'!$I$9),'Lap ED'!A77,"")</f>
        <v/>
      </c>
      <c r="H86" s="27" t="str">
        <f>IF(AND('Lap ED'!G77='Peta Risiko'!$D$5,'Lap ED'!H77='Peta Risiko'!$E$9),'Lap ED'!A77,"")</f>
        <v/>
      </c>
      <c r="I86" s="27" t="str">
        <f>IF(AND('Lap ED'!G77='Peta Risiko'!$D$5,'Lap ED'!H77='Peta Risiko'!$F$9),'Lap ED'!A77,"")</f>
        <v/>
      </c>
      <c r="J86" s="27" t="str">
        <f>IF(AND('Lap ED'!G77='Peta Risiko'!$D$5,'Lap ED'!H77='Peta Risiko'!$G$9),'Lap ED'!A77,"")</f>
        <v/>
      </c>
      <c r="K86" s="27" t="str">
        <f>IF(AND('Lap ED'!G77='Peta Risiko'!$D$5,'Lap ED'!H77='Peta Risiko'!$H$9),'Lap ED'!A77,"")</f>
        <v/>
      </c>
      <c r="L86" s="27" t="str">
        <f>IF(AND('Lap ED'!G77='Peta Risiko'!$D$5,'Lap ED'!H77='Peta Risiko'!$I$9),'Lap ED'!A77,"")</f>
        <v/>
      </c>
      <c r="M86" s="27" t="str">
        <f>IF(AND('Lap ED'!G77='Peta Risiko'!$D$6,'Lap ED'!H77='Peta Risiko'!$E$9),'Lap ED'!A77,"")</f>
        <v/>
      </c>
      <c r="N86" s="27" t="str">
        <f>IF(AND('Lap ED'!G77='Peta Risiko'!$D$6,'Lap ED'!H77='Peta Risiko'!$F$9),'Lap ED'!A77,"")</f>
        <v/>
      </c>
      <c r="O86" s="27" t="str">
        <f>IF(AND('Lap ED'!G77='Peta Risiko'!$D$6,'Lap ED'!H77='Peta Risiko'!$G$9),'Lap ED'!A77,"")</f>
        <v/>
      </c>
      <c r="P86" s="27" t="str">
        <f>IF(AND('Lap ED'!G77='Peta Risiko'!$D$6,'Lap ED'!H77='Peta Risiko'!$H$9),'Lap ED'!A77,"")</f>
        <v/>
      </c>
      <c r="Q86" s="27" t="str">
        <f>IF(AND('Lap ED'!G77='Peta Risiko'!$D$6,'Lap ED'!H77='Peta Risiko'!$I$9),'Lap ED'!A77,"")</f>
        <v/>
      </c>
      <c r="R86" s="27" t="str">
        <f>IF(AND('Lap ED'!G77='Peta Risiko'!$D$7,'Lap ED'!H77='Peta Risiko'!$E$9),'Lap ED'!A77,"")</f>
        <v/>
      </c>
      <c r="S86" s="27" t="str">
        <f>IF(AND('Lap ED'!G77='Peta Risiko'!$D$7,'Lap ED'!H77='Peta Risiko'!$F$9),'Lap ED'!A77,"")</f>
        <v/>
      </c>
      <c r="T86" s="27" t="str">
        <f>IF(AND('Lap ED'!G77='Peta Risiko'!$D$7,'Lap ED'!H77='Peta Risiko'!$G$9),'Lap ED'!A77,"")</f>
        <v/>
      </c>
      <c r="U86" s="27" t="str">
        <f>IF(AND('Lap ED'!G77='Peta Risiko'!$D$7,'Lap ED'!H77='Peta Risiko'!$H$9),'Lap ED'!A77,"")</f>
        <v/>
      </c>
      <c r="V86" s="27" t="str">
        <f>IF(AND('Lap ED'!G77='Peta Risiko'!$D$7,'Lap ED'!H77='Peta Risiko'!$I$9),'Lap ED'!A77,"")</f>
        <v/>
      </c>
      <c r="W86" s="27">
        <f>IF(AND('Lap ED'!G77='Peta Risiko'!$D$8,'Lap ED'!H77='Peta Risiko'!$E$9),'Lap ED'!A77,"")</f>
        <v>61</v>
      </c>
      <c r="X86" s="27" t="str">
        <f>IF(AND('Lap ED'!G77='Peta Risiko'!$D$8,'Lap ED'!H77='Peta Risiko'!$F$9),'Lap ED'!A77,"")</f>
        <v/>
      </c>
      <c r="Y86" s="27" t="str">
        <f>IF(AND('Lap ED'!G77='Peta Risiko'!$D$8,'Lap ED'!H77='Peta Risiko'!$G$9),'Lap ED'!A77,"")</f>
        <v/>
      </c>
      <c r="Z86" s="27" t="str">
        <f>IF(AND('Lap ED'!G77='Peta Risiko'!$D$8,'Lap ED'!H77='Peta Risiko'!$H$9),'Lap ED'!A77,"")</f>
        <v/>
      </c>
      <c r="AA86" s="27" t="str">
        <f>IF(AND('Lap ED'!G77='Peta Risiko'!$D$8,'Lap ED'!H77='Peta Risiko'!$I$9),'Lap ED'!A77,"")</f>
        <v/>
      </c>
    </row>
    <row r="87" spans="2:27" hidden="1" x14ac:dyDescent="0.25">
      <c r="B87" s="27">
        <f t="shared" si="6"/>
        <v>73</v>
      </c>
      <c r="C87" s="27" t="str">
        <f>IF(AND('Lap ED'!G78='Peta Risiko'!$D$4,'Lap ED'!H78='Peta Risiko'!$E$9),'Lap ED'!A78,"")</f>
        <v/>
      </c>
      <c r="D87" s="27" t="str">
        <f>IF(AND('Lap ED'!G78='Peta Risiko'!$D$4,'Lap ED'!H78='Peta Risiko'!$F$9),'Lap ED'!A78,"")</f>
        <v/>
      </c>
      <c r="E87" s="27" t="str">
        <f>IF(AND('Lap ED'!G78='Peta Risiko'!$D$4,'Lap ED'!H78='Peta Risiko'!$G$9),'Lap ED'!A78,"")</f>
        <v/>
      </c>
      <c r="F87" s="27" t="str">
        <f>IF(AND('Lap ED'!G78='Peta Risiko'!$D$4,'Lap ED'!H78='Peta Risiko'!$H$9),'Lap ED'!A78,"")</f>
        <v/>
      </c>
      <c r="G87" s="27" t="str">
        <f>IF(AND('Lap ED'!G78='Peta Risiko'!$D$4,'Lap ED'!H78='Peta Risiko'!$I$9),'Lap ED'!A78,"")</f>
        <v/>
      </c>
      <c r="H87" s="27" t="str">
        <f>IF(AND('Lap ED'!G78='Peta Risiko'!$D$5,'Lap ED'!H78='Peta Risiko'!$E$9),'Lap ED'!A78,"")</f>
        <v/>
      </c>
      <c r="I87" s="27" t="str">
        <f>IF(AND('Lap ED'!G78='Peta Risiko'!$D$5,'Lap ED'!H78='Peta Risiko'!$F$9),'Lap ED'!A78,"")</f>
        <v/>
      </c>
      <c r="J87" s="27" t="str">
        <f>IF(AND('Lap ED'!G78='Peta Risiko'!$D$5,'Lap ED'!H78='Peta Risiko'!$G$9),'Lap ED'!A78,"")</f>
        <v/>
      </c>
      <c r="K87" s="27" t="str">
        <f>IF(AND('Lap ED'!G78='Peta Risiko'!$D$5,'Lap ED'!H78='Peta Risiko'!$H$9),'Lap ED'!A78,"")</f>
        <v/>
      </c>
      <c r="L87" s="27" t="str">
        <f>IF(AND('Lap ED'!G78='Peta Risiko'!$D$5,'Lap ED'!H78='Peta Risiko'!$I$9),'Lap ED'!A78,"")</f>
        <v/>
      </c>
      <c r="M87" s="27" t="str">
        <f>IF(AND('Lap ED'!G78='Peta Risiko'!$D$6,'Lap ED'!H78='Peta Risiko'!$E$9),'Lap ED'!A78,"")</f>
        <v/>
      </c>
      <c r="N87" s="27" t="str">
        <f>IF(AND('Lap ED'!G78='Peta Risiko'!$D$6,'Lap ED'!H78='Peta Risiko'!$F$9),'Lap ED'!A78,"")</f>
        <v/>
      </c>
      <c r="O87" s="27" t="str">
        <f>IF(AND('Lap ED'!G78='Peta Risiko'!$D$6,'Lap ED'!H78='Peta Risiko'!$G$9),'Lap ED'!A78,"")</f>
        <v/>
      </c>
      <c r="P87" s="27" t="str">
        <f>IF(AND('Lap ED'!G78='Peta Risiko'!$D$6,'Lap ED'!H78='Peta Risiko'!$H$9),'Lap ED'!A78,"")</f>
        <v/>
      </c>
      <c r="Q87" s="27" t="str">
        <f>IF(AND('Lap ED'!G78='Peta Risiko'!$D$6,'Lap ED'!H78='Peta Risiko'!$I$9),'Lap ED'!A78,"")</f>
        <v/>
      </c>
      <c r="R87" s="27" t="str">
        <f>IF(AND('Lap ED'!G78='Peta Risiko'!$D$7,'Lap ED'!H78='Peta Risiko'!$E$9),'Lap ED'!A78,"")</f>
        <v/>
      </c>
      <c r="S87" s="27" t="str">
        <f>IF(AND('Lap ED'!G78='Peta Risiko'!$D$7,'Lap ED'!H78='Peta Risiko'!$F$9),'Lap ED'!A78,"")</f>
        <v/>
      </c>
      <c r="T87" s="27" t="str">
        <f>IF(AND('Lap ED'!G78='Peta Risiko'!$D$7,'Lap ED'!H78='Peta Risiko'!$G$9),'Lap ED'!A78,"")</f>
        <v/>
      </c>
      <c r="U87" s="27" t="str">
        <f>IF(AND('Lap ED'!G78='Peta Risiko'!$D$7,'Lap ED'!H78='Peta Risiko'!$H$9),'Lap ED'!A78,"")</f>
        <v/>
      </c>
      <c r="V87" s="27" t="str">
        <f>IF(AND('Lap ED'!G78='Peta Risiko'!$D$7,'Lap ED'!H78='Peta Risiko'!$I$9),'Lap ED'!A78,"")</f>
        <v/>
      </c>
      <c r="W87" s="27">
        <f>IF(AND('Lap ED'!G78='Peta Risiko'!$D$8,'Lap ED'!H78='Peta Risiko'!$E$9),'Lap ED'!A78,"")</f>
        <v>62</v>
      </c>
      <c r="X87" s="27" t="str">
        <f>IF(AND('Lap ED'!G78='Peta Risiko'!$D$8,'Lap ED'!H78='Peta Risiko'!$F$9),'Lap ED'!A78,"")</f>
        <v/>
      </c>
      <c r="Y87" s="27" t="str">
        <f>IF(AND('Lap ED'!G78='Peta Risiko'!$D$8,'Lap ED'!H78='Peta Risiko'!$G$9),'Lap ED'!A78,"")</f>
        <v/>
      </c>
      <c r="Z87" s="27" t="str">
        <f>IF(AND('Lap ED'!G78='Peta Risiko'!$D$8,'Lap ED'!H78='Peta Risiko'!$H$9),'Lap ED'!A78,"")</f>
        <v/>
      </c>
      <c r="AA87" s="27" t="str">
        <f>IF(AND('Lap ED'!G78='Peta Risiko'!$D$8,'Lap ED'!H78='Peta Risiko'!$I$9),'Lap ED'!A78,"")</f>
        <v/>
      </c>
    </row>
    <row r="88" spans="2:27" hidden="1" x14ac:dyDescent="0.25">
      <c r="B88" s="27">
        <f t="shared" si="6"/>
        <v>74</v>
      </c>
      <c r="C88" s="27" t="str">
        <f>IF(AND('Lap ED'!G79='Peta Risiko'!$D$4,'Lap ED'!H79='Peta Risiko'!$E$9),'Lap ED'!A79,"")</f>
        <v/>
      </c>
      <c r="D88" s="27" t="str">
        <f>IF(AND('Lap ED'!G79='Peta Risiko'!$D$4,'Lap ED'!H79='Peta Risiko'!$F$9),'Lap ED'!A79,"")</f>
        <v/>
      </c>
      <c r="E88" s="27" t="str">
        <f>IF(AND('Lap ED'!G79='Peta Risiko'!$D$4,'Lap ED'!H79='Peta Risiko'!$G$9),'Lap ED'!A79,"")</f>
        <v/>
      </c>
      <c r="F88" s="27" t="str">
        <f>IF(AND('Lap ED'!G79='Peta Risiko'!$D$4,'Lap ED'!H79='Peta Risiko'!$H$9),'Lap ED'!A79,"")</f>
        <v/>
      </c>
      <c r="G88" s="27" t="str">
        <f>IF(AND('Lap ED'!G79='Peta Risiko'!$D$4,'Lap ED'!H79='Peta Risiko'!$I$9),'Lap ED'!A79,"")</f>
        <v/>
      </c>
      <c r="H88" s="27" t="str">
        <f>IF(AND('Lap ED'!G79='Peta Risiko'!$D$5,'Lap ED'!H79='Peta Risiko'!$E$9),'Lap ED'!A79,"")</f>
        <v/>
      </c>
      <c r="I88" s="27" t="str">
        <f>IF(AND('Lap ED'!G79='Peta Risiko'!$D$5,'Lap ED'!H79='Peta Risiko'!$F$9),'Lap ED'!A79,"")</f>
        <v/>
      </c>
      <c r="J88" s="27" t="str">
        <f>IF(AND('Lap ED'!G79='Peta Risiko'!$D$5,'Lap ED'!H79='Peta Risiko'!$G$9),'Lap ED'!A79,"")</f>
        <v/>
      </c>
      <c r="K88" s="27" t="str">
        <f>IF(AND('Lap ED'!G79='Peta Risiko'!$D$5,'Lap ED'!H79='Peta Risiko'!$H$9),'Lap ED'!A79,"")</f>
        <v/>
      </c>
      <c r="L88" s="27" t="str">
        <f>IF(AND('Lap ED'!G79='Peta Risiko'!$D$5,'Lap ED'!H79='Peta Risiko'!$I$9),'Lap ED'!A79,"")</f>
        <v/>
      </c>
      <c r="M88" s="27" t="str">
        <f>IF(AND('Lap ED'!G79='Peta Risiko'!$D$6,'Lap ED'!H79='Peta Risiko'!$E$9),'Lap ED'!A79,"")</f>
        <v/>
      </c>
      <c r="N88" s="27" t="str">
        <f>IF(AND('Lap ED'!G79='Peta Risiko'!$D$6,'Lap ED'!H79='Peta Risiko'!$F$9),'Lap ED'!A79,"")</f>
        <v/>
      </c>
      <c r="O88" s="27" t="str">
        <f>IF(AND('Lap ED'!G79='Peta Risiko'!$D$6,'Lap ED'!H79='Peta Risiko'!$G$9),'Lap ED'!A79,"")</f>
        <v/>
      </c>
      <c r="P88" s="27" t="str">
        <f>IF(AND('Lap ED'!G79='Peta Risiko'!$D$6,'Lap ED'!H79='Peta Risiko'!$H$9),'Lap ED'!A79,"")</f>
        <v/>
      </c>
      <c r="Q88" s="27" t="str">
        <f>IF(AND('Lap ED'!G79='Peta Risiko'!$D$6,'Lap ED'!H79='Peta Risiko'!$I$9),'Lap ED'!A79,"")</f>
        <v/>
      </c>
      <c r="R88" s="27" t="str">
        <f>IF(AND('Lap ED'!G79='Peta Risiko'!$D$7,'Lap ED'!H79='Peta Risiko'!$E$9),'Lap ED'!A79,"")</f>
        <v/>
      </c>
      <c r="S88" s="27" t="str">
        <f>IF(AND('Lap ED'!G79='Peta Risiko'!$D$7,'Lap ED'!H79='Peta Risiko'!$F$9),'Lap ED'!A79,"")</f>
        <v/>
      </c>
      <c r="T88" s="27" t="str">
        <f>IF(AND('Lap ED'!G79='Peta Risiko'!$D$7,'Lap ED'!H79='Peta Risiko'!$G$9),'Lap ED'!A79,"")</f>
        <v/>
      </c>
      <c r="U88" s="27" t="str">
        <f>IF(AND('Lap ED'!G79='Peta Risiko'!$D$7,'Lap ED'!H79='Peta Risiko'!$H$9),'Lap ED'!A79,"")</f>
        <v/>
      </c>
      <c r="V88" s="27" t="str">
        <f>IF(AND('Lap ED'!G79='Peta Risiko'!$D$7,'Lap ED'!H79='Peta Risiko'!$I$9),'Lap ED'!A79,"")</f>
        <v/>
      </c>
      <c r="W88" s="27">
        <f>IF(AND('Lap ED'!G79='Peta Risiko'!$D$8,'Lap ED'!H79='Peta Risiko'!$E$9),'Lap ED'!A79,"")</f>
        <v>63</v>
      </c>
      <c r="X88" s="27" t="str">
        <f>IF(AND('Lap ED'!G79='Peta Risiko'!$D$8,'Lap ED'!H79='Peta Risiko'!$F$9),'Lap ED'!A79,"")</f>
        <v/>
      </c>
      <c r="Y88" s="27" t="str">
        <f>IF(AND('Lap ED'!G79='Peta Risiko'!$D$8,'Lap ED'!H79='Peta Risiko'!$G$9),'Lap ED'!A79,"")</f>
        <v/>
      </c>
      <c r="Z88" s="27" t="str">
        <f>IF(AND('Lap ED'!G79='Peta Risiko'!$D$8,'Lap ED'!H79='Peta Risiko'!$H$9),'Lap ED'!A79,"")</f>
        <v/>
      </c>
      <c r="AA88" s="27" t="str">
        <f>IF(AND('Lap ED'!G79='Peta Risiko'!$D$8,'Lap ED'!H79='Peta Risiko'!$I$9),'Lap ED'!A79,"")</f>
        <v/>
      </c>
    </row>
    <row r="89" spans="2:27" hidden="1" x14ac:dyDescent="0.25">
      <c r="B89" s="27">
        <f t="shared" si="6"/>
        <v>75</v>
      </c>
      <c r="C89" s="27" t="str">
        <f>IF(AND('Lap ED'!G80='Peta Risiko'!$D$4,'Lap ED'!H80='Peta Risiko'!$E$9),'Lap ED'!A80,"")</f>
        <v/>
      </c>
      <c r="D89" s="27" t="str">
        <f>IF(AND('Lap ED'!G80='Peta Risiko'!$D$4,'Lap ED'!H80='Peta Risiko'!$F$9),'Lap ED'!A80,"")</f>
        <v/>
      </c>
      <c r="E89" s="27" t="str">
        <f>IF(AND('Lap ED'!G80='Peta Risiko'!$D$4,'Lap ED'!H80='Peta Risiko'!$G$9),'Lap ED'!A80,"")</f>
        <v/>
      </c>
      <c r="F89" s="27" t="str">
        <f>IF(AND('Lap ED'!G80='Peta Risiko'!$D$4,'Lap ED'!H80='Peta Risiko'!$H$9),'Lap ED'!A80,"")</f>
        <v/>
      </c>
      <c r="G89" s="27" t="str">
        <f>IF(AND('Lap ED'!G80='Peta Risiko'!$D$4,'Lap ED'!H80='Peta Risiko'!$I$9),'Lap ED'!A80,"")</f>
        <v/>
      </c>
      <c r="H89" s="27" t="str">
        <f>IF(AND('Lap ED'!G80='Peta Risiko'!$D$5,'Lap ED'!H80='Peta Risiko'!$E$9),'Lap ED'!A80,"")</f>
        <v/>
      </c>
      <c r="I89" s="27" t="str">
        <f>IF(AND('Lap ED'!G80='Peta Risiko'!$D$5,'Lap ED'!H80='Peta Risiko'!$F$9),'Lap ED'!A80,"")</f>
        <v/>
      </c>
      <c r="J89" s="27" t="str">
        <f>IF(AND('Lap ED'!G80='Peta Risiko'!$D$5,'Lap ED'!H80='Peta Risiko'!$G$9),'Lap ED'!A80,"")</f>
        <v/>
      </c>
      <c r="K89" s="27" t="str">
        <f>IF(AND('Lap ED'!G80='Peta Risiko'!$D$5,'Lap ED'!H80='Peta Risiko'!$H$9),'Lap ED'!A80,"")</f>
        <v/>
      </c>
      <c r="L89" s="27" t="str">
        <f>IF(AND('Lap ED'!G80='Peta Risiko'!$D$5,'Lap ED'!H80='Peta Risiko'!$I$9),'Lap ED'!A80,"")</f>
        <v/>
      </c>
      <c r="M89" s="27" t="str">
        <f>IF(AND('Lap ED'!G80='Peta Risiko'!$D$6,'Lap ED'!H80='Peta Risiko'!$E$9),'Lap ED'!A80,"")</f>
        <v/>
      </c>
      <c r="N89" s="27" t="str">
        <f>IF(AND('Lap ED'!G80='Peta Risiko'!$D$6,'Lap ED'!H80='Peta Risiko'!$F$9),'Lap ED'!A80,"")</f>
        <v/>
      </c>
      <c r="O89" s="27" t="str">
        <f>IF(AND('Lap ED'!G80='Peta Risiko'!$D$6,'Lap ED'!H80='Peta Risiko'!$G$9),'Lap ED'!A80,"")</f>
        <v/>
      </c>
      <c r="P89" s="27" t="str">
        <f>IF(AND('Lap ED'!G80='Peta Risiko'!$D$6,'Lap ED'!H80='Peta Risiko'!$H$9),'Lap ED'!A80,"")</f>
        <v/>
      </c>
      <c r="Q89" s="27" t="str">
        <f>IF(AND('Lap ED'!G80='Peta Risiko'!$D$6,'Lap ED'!H80='Peta Risiko'!$I$9),'Lap ED'!A80,"")</f>
        <v/>
      </c>
      <c r="R89" s="27" t="str">
        <f>IF(AND('Lap ED'!G80='Peta Risiko'!$D$7,'Lap ED'!H80='Peta Risiko'!$E$9),'Lap ED'!A80,"")</f>
        <v/>
      </c>
      <c r="S89" s="27" t="str">
        <f>IF(AND('Lap ED'!G80='Peta Risiko'!$D$7,'Lap ED'!H80='Peta Risiko'!$F$9),'Lap ED'!A80,"")</f>
        <v/>
      </c>
      <c r="T89" s="27" t="str">
        <f>IF(AND('Lap ED'!G80='Peta Risiko'!$D$7,'Lap ED'!H80='Peta Risiko'!$G$9),'Lap ED'!A80,"")</f>
        <v/>
      </c>
      <c r="U89" s="27" t="str">
        <f>IF(AND('Lap ED'!G80='Peta Risiko'!$D$7,'Lap ED'!H80='Peta Risiko'!$H$9),'Lap ED'!A80,"")</f>
        <v/>
      </c>
      <c r="V89" s="27" t="str">
        <f>IF(AND('Lap ED'!G80='Peta Risiko'!$D$7,'Lap ED'!H80='Peta Risiko'!$I$9),'Lap ED'!A80,"")</f>
        <v/>
      </c>
      <c r="W89" s="27">
        <f>IF(AND('Lap ED'!G80='Peta Risiko'!$D$8,'Lap ED'!H80='Peta Risiko'!$E$9),'Lap ED'!A80,"")</f>
        <v>64</v>
      </c>
      <c r="X89" s="27" t="str">
        <f>IF(AND('Lap ED'!G80='Peta Risiko'!$D$8,'Lap ED'!H80='Peta Risiko'!$F$9),'Lap ED'!A80,"")</f>
        <v/>
      </c>
      <c r="Y89" s="27" t="str">
        <f>IF(AND('Lap ED'!G80='Peta Risiko'!$D$8,'Lap ED'!H80='Peta Risiko'!$G$9),'Lap ED'!A80,"")</f>
        <v/>
      </c>
      <c r="Z89" s="27" t="str">
        <f>IF(AND('Lap ED'!G80='Peta Risiko'!$D$8,'Lap ED'!H80='Peta Risiko'!$H$9),'Lap ED'!A80,"")</f>
        <v/>
      </c>
      <c r="AA89" s="27" t="str">
        <f>IF(AND('Lap ED'!G80='Peta Risiko'!$D$8,'Lap ED'!H80='Peta Risiko'!$I$9),'Lap ED'!A80,"")</f>
        <v/>
      </c>
    </row>
  </sheetData>
  <sheetProtection algorithmName="SHA-512" hashValue="1fSOc66KgU+LqQJ6CEg4rvYyLrtmDqYMs1pa81ToaQSh5B6xqC7za1wmENzi4WiSNObPe188lPpJIyLayPOuZA==" saltValue="Jgdc/icgRmSDJM8vYDh+Lg==" spinCount="100000" sheet="1" objects="1" scenarios="1" formatCells="0"/>
  <mergeCells count="4">
    <mergeCell ref="B4:B8"/>
    <mergeCell ref="E11:I11"/>
    <mergeCell ref="A2:I2"/>
    <mergeCell ref="A1:I1"/>
  </mergeCells>
  <pageMargins left="0.7" right="0.7" top="0.75" bottom="0.75" header="0.3" footer="0.3"/>
  <pageSetup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L32"/>
  <sheetViews>
    <sheetView zoomScale="110" zoomScaleNormal="110" zoomScalePageLayoutView="80" workbookViewId="0">
      <pane xSplit="2" ySplit="12" topLeftCell="C13" activePane="bottomRight" state="frozen"/>
      <selection activeCell="A7" sqref="A7:C7"/>
      <selection pane="topRight" activeCell="A7" sqref="A7:C7"/>
      <selection pane="bottomLeft" activeCell="A7" sqref="A7:C7"/>
      <selection pane="bottomRight" activeCell="H13" sqref="H13"/>
    </sheetView>
  </sheetViews>
  <sheetFormatPr defaultColWidth="8.42578125" defaultRowHeight="15.75" x14ac:dyDescent="0.25"/>
  <cols>
    <col min="1" max="1" width="5.85546875" style="217" hidden="1" customWidth="1"/>
    <col min="2" max="2" width="5.85546875" style="218" customWidth="1"/>
    <col min="3" max="3" width="28" style="219" customWidth="1"/>
    <col min="4" max="4" width="8.42578125" style="220"/>
    <col min="5" max="5" width="9" style="217" customWidth="1"/>
    <col min="6" max="6" width="8.85546875" style="217" customWidth="1"/>
    <col min="7" max="10" width="8.42578125" style="219"/>
    <col min="11" max="11" width="10.85546875" style="217" customWidth="1"/>
    <col min="12" max="12" width="8.42578125" style="217"/>
    <col min="13" max="16384" width="8.42578125" style="199"/>
  </cols>
  <sheetData>
    <row r="1" spans="1:12" x14ac:dyDescent="0.25">
      <c r="A1" s="199"/>
      <c r="B1" s="540" t="s">
        <v>1096</v>
      </c>
      <c r="C1" s="540"/>
      <c r="D1" s="540"/>
      <c r="E1" s="540"/>
      <c r="F1" s="540"/>
      <c r="G1" s="540"/>
      <c r="H1" s="540"/>
      <c r="I1" s="540"/>
      <c r="J1" s="540"/>
      <c r="K1" s="200"/>
      <c r="L1" s="199"/>
    </row>
    <row r="2" spans="1:12" x14ac:dyDescent="0.25">
      <c r="A2" s="199"/>
      <c r="B2" s="540" t="s">
        <v>1097</v>
      </c>
      <c r="C2" s="540"/>
      <c r="D2" s="540"/>
      <c r="E2" s="540"/>
      <c r="F2" s="540"/>
      <c r="G2" s="540"/>
      <c r="H2" s="540"/>
      <c r="I2" s="540"/>
      <c r="J2" s="540"/>
      <c r="K2" s="200"/>
      <c r="L2" s="199"/>
    </row>
    <row r="3" spans="1:12" x14ac:dyDescent="0.25">
      <c r="A3" s="199"/>
      <c r="B3" s="540" t="str">
        <f>'Kertas Kerja'!A2</f>
        <v>PROGRAM MAGISTER</v>
      </c>
      <c r="C3" s="540"/>
      <c r="D3" s="540"/>
      <c r="E3" s="540"/>
      <c r="F3" s="540"/>
      <c r="G3" s="540"/>
      <c r="H3" s="540"/>
      <c r="I3" s="540"/>
      <c r="J3" s="540"/>
      <c r="K3" s="200"/>
      <c r="L3" s="199"/>
    </row>
    <row r="4" spans="1:12" ht="15" x14ac:dyDescent="0.25">
      <c r="A4" s="199"/>
      <c r="B4" s="541" t="str">
        <f>"PROGRAM STUDI "&amp;UPPER('Isian Prodi'!C5)</f>
        <v>PROGRAM STUDI PRODI S2</v>
      </c>
      <c r="C4" s="541"/>
      <c r="D4" s="541"/>
      <c r="E4" s="541"/>
      <c r="F4" s="541"/>
      <c r="G4" s="541"/>
      <c r="H4" s="541"/>
      <c r="I4" s="541"/>
      <c r="J4" s="541"/>
      <c r="K4" s="22"/>
      <c r="L4" s="22"/>
    </row>
    <row r="5" spans="1:12" ht="15" x14ac:dyDescent="0.25">
      <c r="A5" s="199"/>
      <c r="B5" s="201"/>
      <c r="C5" s="201"/>
      <c r="D5" s="201"/>
      <c r="E5" s="201"/>
      <c r="F5" s="201"/>
      <c r="G5" s="201"/>
      <c r="H5" s="201"/>
      <c r="I5" s="201"/>
      <c r="J5" s="201"/>
      <c r="K5" s="22"/>
      <c r="L5" s="22"/>
    </row>
    <row r="6" spans="1:12" ht="15" x14ac:dyDescent="0.25">
      <c r="A6" s="199"/>
      <c r="B6" s="20"/>
      <c r="C6" s="22"/>
      <c r="D6" s="20"/>
      <c r="E6" s="202" t="s">
        <v>1098</v>
      </c>
      <c r="F6" s="202"/>
      <c r="G6" s="203"/>
      <c r="H6" s="203"/>
      <c r="I6" s="203"/>
      <c r="J6" s="204" t="str">
        <f>'Isian Prodi'!C7</f>
        <v>C</v>
      </c>
      <c r="K6" s="199"/>
      <c r="L6" s="199"/>
    </row>
    <row r="7" spans="1:12" ht="15" x14ac:dyDescent="0.25">
      <c r="A7" s="199"/>
      <c r="B7" s="20"/>
      <c r="C7" s="22"/>
      <c r="D7" s="20"/>
      <c r="E7" s="205" t="s">
        <v>1099</v>
      </c>
      <c r="F7" s="205"/>
      <c r="G7" s="199"/>
      <c r="H7" s="199"/>
      <c r="I7" s="199"/>
      <c r="J7" s="199"/>
      <c r="K7" s="199"/>
      <c r="L7" s="199"/>
    </row>
    <row r="8" spans="1:12" ht="15" x14ac:dyDescent="0.25">
      <c r="A8" s="199"/>
      <c r="B8" s="20"/>
      <c r="C8" s="22"/>
      <c r="D8" s="20"/>
      <c r="E8" s="542" t="str">
        <f>IF(AND(J6="C",H23=9),"Peringkat terakreditasi C dapat dikonversi ke peringkat akreditasi BAIK",IF(AND(J6="B",I23=9),"Peringkat terakreditasi B dapat dikonversi ke peringkat akreditasi BAIK SEKALI",IF(AND(J6="A",J23=9),"Peringkat terakreditasi A dapat dikonversi ke peringkat akreditasi UNGGUL","Syarat konversi tidak terpenuhi")))</f>
        <v>Syarat konversi tidak terpenuhi</v>
      </c>
      <c r="F8" s="542"/>
      <c r="G8" s="542"/>
      <c r="H8" s="542"/>
      <c r="I8" s="542"/>
      <c r="J8" s="542"/>
      <c r="K8" s="199"/>
      <c r="L8" s="199"/>
    </row>
    <row r="9" spans="1:12" ht="15" x14ac:dyDescent="0.25">
      <c r="A9" s="199"/>
      <c r="B9" s="20"/>
      <c r="C9" s="22"/>
      <c r="D9" s="20"/>
      <c r="E9" s="542"/>
      <c r="F9" s="542"/>
      <c r="G9" s="542"/>
      <c r="H9" s="542"/>
      <c r="I9" s="542"/>
      <c r="J9" s="542"/>
      <c r="K9" s="199"/>
      <c r="L9" s="199"/>
    </row>
    <row r="10" spans="1:12" ht="15" x14ac:dyDescent="0.25">
      <c r="A10" s="199"/>
      <c r="B10" s="21"/>
      <c r="C10" s="22"/>
      <c r="D10" s="23"/>
      <c r="E10" s="199"/>
      <c r="F10" s="199"/>
      <c r="G10" s="199"/>
      <c r="H10" s="199"/>
      <c r="I10" s="199"/>
      <c r="J10" s="199"/>
      <c r="K10" s="199"/>
      <c r="L10" s="199"/>
    </row>
    <row r="11" spans="1:12" s="207" customFormat="1" ht="12.75" x14ac:dyDescent="0.2">
      <c r="A11" s="206" t="s">
        <v>19</v>
      </c>
      <c r="B11" s="543" t="s">
        <v>19</v>
      </c>
      <c r="C11" s="543" t="s">
        <v>1100</v>
      </c>
      <c r="D11" s="545" t="s">
        <v>21</v>
      </c>
      <c r="E11" s="547" t="s">
        <v>1101</v>
      </c>
      <c r="F11" s="547"/>
      <c r="G11" s="547"/>
      <c r="H11" s="548" t="s">
        <v>1102</v>
      </c>
      <c r="I11" s="548"/>
      <c r="J11" s="548"/>
    </row>
    <row r="12" spans="1:12" s="207" customFormat="1" ht="25.5" x14ac:dyDescent="0.2">
      <c r="A12" s="206" t="s">
        <v>19</v>
      </c>
      <c r="B12" s="544"/>
      <c r="C12" s="544"/>
      <c r="D12" s="546"/>
      <c r="E12" s="208" t="s">
        <v>1103</v>
      </c>
      <c r="F12" s="208" t="s">
        <v>1104</v>
      </c>
      <c r="G12" s="208" t="s">
        <v>1105</v>
      </c>
      <c r="H12" s="223" t="s">
        <v>1103</v>
      </c>
      <c r="I12" s="223" t="s">
        <v>1104</v>
      </c>
      <c r="J12" s="223" t="s">
        <v>1105</v>
      </c>
    </row>
    <row r="13" spans="1:12" s="207" customFormat="1" ht="38.25" x14ac:dyDescent="0.2">
      <c r="A13" s="209">
        <v>17</v>
      </c>
      <c r="B13" s="209">
        <v>1</v>
      </c>
      <c r="C13" s="210" t="s">
        <v>1106</v>
      </c>
      <c r="D13" s="221">
        <f>'Lap AK'!F29</f>
        <v>0</v>
      </c>
      <c r="E13" s="211">
        <v>2</v>
      </c>
      <c r="F13" s="211">
        <v>2</v>
      </c>
      <c r="G13" s="211">
        <v>2</v>
      </c>
      <c r="H13" s="224" t="str">
        <f t="shared" ref="H13:H22" si="0">IF(D13&gt;=E13,"V","X")</f>
        <v>X</v>
      </c>
      <c r="I13" s="225" t="str">
        <f t="shared" ref="I13:I22" si="1">IF(D13&gt;=F13,"V","X")</f>
        <v>X</v>
      </c>
      <c r="J13" s="225" t="str">
        <f t="shared" ref="J13:J22" si="2">IF(D13&gt;=G13,"V","X")</f>
        <v>X</v>
      </c>
    </row>
    <row r="14" spans="1:12" s="207" customFormat="1" ht="26.25" hidden="1" x14ac:dyDescent="0.2">
      <c r="A14" s="209"/>
      <c r="B14" s="212"/>
      <c r="C14" s="213"/>
      <c r="D14" s="222"/>
      <c r="E14" s="214"/>
      <c r="F14" s="214"/>
      <c r="G14" s="214"/>
      <c r="H14" s="224"/>
      <c r="I14" s="225"/>
      <c r="J14" s="225"/>
    </row>
    <row r="15" spans="1:12" s="207" customFormat="1" ht="26.25" x14ac:dyDescent="0.2">
      <c r="A15" s="209">
        <v>20</v>
      </c>
      <c r="B15" s="209">
        <v>2</v>
      </c>
      <c r="C15" s="210" t="s">
        <v>1107</v>
      </c>
      <c r="D15" s="221">
        <f>'Lap AK'!F32</f>
        <v>2</v>
      </c>
      <c r="E15" s="211">
        <v>2</v>
      </c>
      <c r="F15" s="211">
        <v>3</v>
      </c>
      <c r="G15" s="211">
        <v>3.5</v>
      </c>
      <c r="H15" s="224" t="str">
        <f t="shared" si="0"/>
        <v>V</v>
      </c>
      <c r="I15" s="225" t="str">
        <f t="shared" si="1"/>
        <v>X</v>
      </c>
      <c r="J15" s="225" t="str">
        <f t="shared" si="2"/>
        <v>X</v>
      </c>
    </row>
    <row r="16" spans="1:12" s="207" customFormat="1" ht="140.25" x14ac:dyDescent="0.2">
      <c r="A16" s="209">
        <v>41</v>
      </c>
      <c r="B16" s="209">
        <v>3</v>
      </c>
      <c r="C16" s="210" t="s">
        <v>1108</v>
      </c>
      <c r="D16" s="221">
        <f>'Lap AK'!F53</f>
        <v>0</v>
      </c>
      <c r="E16" s="211">
        <v>2</v>
      </c>
      <c r="F16" s="211">
        <v>2</v>
      </c>
      <c r="G16" s="211">
        <v>2</v>
      </c>
      <c r="H16" s="224" t="str">
        <f t="shared" si="0"/>
        <v>X</v>
      </c>
      <c r="I16" s="225" t="str">
        <f t="shared" si="1"/>
        <v>X</v>
      </c>
      <c r="J16" s="225" t="str">
        <f t="shared" si="2"/>
        <v>X</v>
      </c>
    </row>
    <row r="17" spans="1:12" s="207" customFormat="1" ht="255" x14ac:dyDescent="0.2">
      <c r="A17" s="209"/>
      <c r="B17" s="209">
        <v>4</v>
      </c>
      <c r="C17" s="210" t="s">
        <v>1109</v>
      </c>
      <c r="D17" s="221">
        <f>'Lap AK'!F24</f>
        <v>0</v>
      </c>
      <c r="E17" s="211">
        <v>2</v>
      </c>
      <c r="F17" s="211">
        <v>2</v>
      </c>
      <c r="G17" s="211">
        <v>2</v>
      </c>
      <c r="H17" s="224" t="str">
        <f t="shared" si="0"/>
        <v>X</v>
      </c>
      <c r="I17" s="225" t="str">
        <f t="shared" si="1"/>
        <v>X</v>
      </c>
      <c r="J17" s="225" t="str">
        <f t="shared" si="2"/>
        <v>X</v>
      </c>
    </row>
    <row r="18" spans="1:12" s="207" customFormat="1" ht="38.25" x14ac:dyDescent="0.2">
      <c r="A18" s="209"/>
      <c r="B18" s="209">
        <v>5</v>
      </c>
      <c r="C18" s="210" t="s">
        <v>1110</v>
      </c>
      <c r="D18" s="221">
        <f>'Lap AK'!F22</f>
        <v>0</v>
      </c>
      <c r="E18" s="211">
        <v>2</v>
      </c>
      <c r="F18" s="211">
        <v>2</v>
      </c>
      <c r="G18" s="211">
        <v>2</v>
      </c>
      <c r="H18" s="224" t="str">
        <f t="shared" si="0"/>
        <v>X</v>
      </c>
      <c r="I18" s="225" t="str">
        <f t="shared" si="1"/>
        <v>X</v>
      </c>
      <c r="J18" s="225" t="str">
        <f t="shared" si="2"/>
        <v>X</v>
      </c>
    </row>
    <row r="19" spans="1:12" s="207" customFormat="1" ht="216.75" x14ac:dyDescent="0.2">
      <c r="A19" s="209">
        <v>63</v>
      </c>
      <c r="B19" s="209">
        <v>6</v>
      </c>
      <c r="C19" s="210" t="s">
        <v>1111</v>
      </c>
      <c r="D19" s="221">
        <f>'Lap AK'!F75</f>
        <v>0</v>
      </c>
      <c r="E19" s="211">
        <v>2</v>
      </c>
      <c r="F19" s="211">
        <v>2</v>
      </c>
      <c r="G19" s="211">
        <v>2</v>
      </c>
      <c r="H19" s="224" t="str">
        <f t="shared" si="0"/>
        <v>X</v>
      </c>
      <c r="I19" s="225" t="str">
        <f t="shared" si="1"/>
        <v>X</v>
      </c>
      <c r="J19" s="225" t="str">
        <f t="shared" si="2"/>
        <v>X</v>
      </c>
    </row>
    <row r="20" spans="1:12" s="207" customFormat="1" ht="76.5" x14ac:dyDescent="0.2">
      <c r="A20" s="209">
        <v>64</v>
      </c>
      <c r="B20" s="209">
        <v>7</v>
      </c>
      <c r="C20" s="210" t="s">
        <v>1112</v>
      </c>
      <c r="D20" s="221">
        <f>'Lap AK'!F77</f>
        <v>0</v>
      </c>
      <c r="E20" s="211">
        <v>2</v>
      </c>
      <c r="F20" s="211">
        <v>2</v>
      </c>
      <c r="G20" s="211">
        <v>2</v>
      </c>
      <c r="H20" s="224" t="str">
        <f t="shared" si="0"/>
        <v>X</v>
      </c>
      <c r="I20" s="225" t="str">
        <f t="shared" si="1"/>
        <v>X</v>
      </c>
      <c r="J20" s="225" t="str">
        <f t="shared" si="2"/>
        <v>X</v>
      </c>
    </row>
    <row r="21" spans="1:12" s="207" customFormat="1" ht="89.25" x14ac:dyDescent="0.2">
      <c r="A21" s="209">
        <v>65</v>
      </c>
      <c r="B21" s="209">
        <v>8</v>
      </c>
      <c r="C21" s="210" t="s">
        <v>1113</v>
      </c>
      <c r="D21" s="221">
        <f>'Lap AK'!F79</f>
        <v>0</v>
      </c>
      <c r="E21" s="211">
        <v>2</v>
      </c>
      <c r="F21" s="211">
        <v>2</v>
      </c>
      <c r="G21" s="211">
        <v>2</v>
      </c>
      <c r="H21" s="224" t="str">
        <f t="shared" si="0"/>
        <v>X</v>
      </c>
      <c r="I21" s="225" t="str">
        <f t="shared" si="1"/>
        <v>X</v>
      </c>
      <c r="J21" s="225" t="str">
        <f t="shared" si="2"/>
        <v>X</v>
      </c>
    </row>
    <row r="22" spans="1:12" s="207" customFormat="1" ht="114.75" x14ac:dyDescent="0.2">
      <c r="A22" s="209">
        <v>67</v>
      </c>
      <c r="B22" s="209">
        <v>9</v>
      </c>
      <c r="C22" s="210" t="s">
        <v>1127</v>
      </c>
      <c r="D22" s="221">
        <f>'Lap AK'!F80</f>
        <v>0</v>
      </c>
      <c r="E22" s="211">
        <v>2</v>
      </c>
      <c r="F22" s="211">
        <v>2.5</v>
      </c>
      <c r="G22" s="211">
        <v>3</v>
      </c>
      <c r="H22" s="224" t="str">
        <f t="shared" si="0"/>
        <v>X</v>
      </c>
      <c r="I22" s="225" t="str">
        <f t="shared" si="1"/>
        <v>X</v>
      </c>
      <c r="J22" s="225" t="str">
        <f t="shared" si="2"/>
        <v>X</v>
      </c>
    </row>
    <row r="23" spans="1:12" ht="15" x14ac:dyDescent="0.25">
      <c r="A23" s="21"/>
      <c r="B23" s="539" t="s">
        <v>1114</v>
      </c>
      <c r="C23" s="539"/>
      <c r="D23" s="539"/>
      <c r="E23" s="539"/>
      <c r="F23" s="539"/>
      <c r="G23" s="539"/>
      <c r="H23" s="226">
        <f>COUNTIF(H13:H22,"V")</f>
        <v>1</v>
      </c>
      <c r="I23" s="226">
        <f>COUNTIF(I13:I22,"V")</f>
        <v>0</v>
      </c>
      <c r="J23" s="226">
        <f>COUNTIF(J13:J22,"V")</f>
        <v>0</v>
      </c>
      <c r="K23" s="199"/>
      <c r="L23" s="199"/>
    </row>
    <row r="24" spans="1:12" ht="15" x14ac:dyDescent="0.25">
      <c r="A24" s="21"/>
      <c r="B24" s="215"/>
      <c r="C24" s="215"/>
      <c r="D24" s="215"/>
      <c r="E24" s="215"/>
      <c r="F24" s="215"/>
      <c r="G24" s="215"/>
      <c r="H24" s="216"/>
      <c r="I24" s="216"/>
      <c r="J24" s="216"/>
      <c r="K24" s="199"/>
      <c r="L24" s="199"/>
    </row>
    <row r="25" spans="1:12" ht="15" x14ac:dyDescent="0.25">
      <c r="A25" s="21"/>
      <c r="B25" s="21"/>
      <c r="C25" s="24"/>
      <c r="D25" s="23"/>
      <c r="E25" s="199"/>
      <c r="F25" s="199"/>
      <c r="G25" s="22"/>
      <c r="H25" s="22"/>
      <c r="I25" s="22"/>
      <c r="J25" s="22"/>
      <c r="K25" s="199"/>
      <c r="L25" s="199"/>
    </row>
    <row r="26" spans="1:12" ht="15" x14ac:dyDescent="0.25">
      <c r="A26" s="21"/>
      <c r="B26" s="21"/>
      <c r="C26" s="24"/>
      <c r="D26" s="23"/>
      <c r="E26" s="199"/>
      <c r="F26" s="199"/>
      <c r="G26" s="22"/>
      <c r="H26" s="22"/>
      <c r="I26" s="22"/>
      <c r="J26" s="22"/>
      <c r="K26" s="199"/>
      <c r="L26" s="199"/>
    </row>
    <row r="27" spans="1:12" ht="15" x14ac:dyDescent="0.25">
      <c r="A27" s="21"/>
      <c r="B27" s="21"/>
      <c r="C27" s="24"/>
      <c r="D27" s="23"/>
      <c r="E27" s="199"/>
      <c r="F27" s="199"/>
      <c r="G27" s="22"/>
      <c r="H27" s="22"/>
      <c r="I27" s="22"/>
      <c r="J27" s="22"/>
      <c r="K27" s="199"/>
      <c r="L27" s="199"/>
    </row>
    <row r="28" spans="1:12" ht="15" x14ac:dyDescent="0.25">
      <c r="A28" s="21"/>
      <c r="B28" s="21"/>
      <c r="C28" s="24"/>
      <c r="D28" s="23"/>
      <c r="E28" s="199"/>
      <c r="F28" s="199"/>
      <c r="G28" s="22"/>
      <c r="H28" s="22"/>
      <c r="I28" s="22"/>
      <c r="J28" s="22"/>
      <c r="K28" s="199"/>
      <c r="L28" s="199"/>
    </row>
    <row r="29" spans="1:12" ht="15" x14ac:dyDescent="0.25">
      <c r="A29" s="21"/>
      <c r="B29" s="21"/>
      <c r="C29" s="25"/>
      <c r="D29" s="23"/>
      <c r="E29" s="199"/>
      <c r="F29" s="199"/>
      <c r="G29" s="22"/>
      <c r="H29" s="22"/>
      <c r="I29" s="22"/>
      <c r="J29" s="22"/>
      <c r="K29" s="199"/>
      <c r="L29" s="199"/>
    </row>
    <row r="30" spans="1:12" ht="15" x14ac:dyDescent="0.25">
      <c r="A30" s="21"/>
      <c r="B30" s="21"/>
      <c r="C30" s="25"/>
      <c r="D30" s="23"/>
      <c r="E30" s="199"/>
      <c r="F30" s="199"/>
      <c r="G30" s="22"/>
      <c r="H30" s="22"/>
      <c r="I30" s="22"/>
      <c r="J30" s="22"/>
      <c r="K30" s="199"/>
      <c r="L30" s="199"/>
    </row>
    <row r="31" spans="1:12" ht="15" x14ac:dyDescent="0.25">
      <c r="A31" s="21"/>
      <c r="B31" s="21"/>
      <c r="C31" s="25"/>
      <c r="D31" s="23"/>
      <c r="E31" s="199"/>
      <c r="F31" s="199"/>
      <c r="G31" s="22"/>
      <c r="H31" s="22"/>
      <c r="I31" s="22"/>
      <c r="J31" s="22"/>
      <c r="K31" s="199"/>
      <c r="L31" s="199"/>
    </row>
    <row r="32" spans="1:12" ht="15" x14ac:dyDescent="0.25">
      <c r="A32" s="21"/>
      <c r="B32" s="21"/>
      <c r="C32" s="25"/>
      <c r="D32" s="23"/>
      <c r="E32" s="199"/>
      <c r="F32" s="199"/>
      <c r="G32" s="22"/>
      <c r="H32" s="22"/>
      <c r="I32" s="22"/>
      <c r="J32" s="22"/>
      <c r="K32" s="199"/>
      <c r="L32" s="199"/>
    </row>
  </sheetData>
  <sheetProtection algorithmName="SHA-512" hashValue="rFkyPo7BeQ5aoQWXdalbb3H244P9MI7oGcfa5SpoMi0cJgqwJj56yzbXbUOVSxtdmvl3aEld/ZGhRc4CBjYCjg==" saltValue="VMiPCIIShcftfNvEnZfGQA==" spinCount="100000" sheet="1" objects="1" scenarios="1" formatCells="0" formatColumns="0" formatRows="0"/>
  <mergeCells count="11">
    <mergeCell ref="B23:G23"/>
    <mergeCell ref="B1:J1"/>
    <mergeCell ref="B2:J2"/>
    <mergeCell ref="B3:J3"/>
    <mergeCell ref="B4:J4"/>
    <mergeCell ref="E8:J9"/>
    <mergeCell ref="B11:B12"/>
    <mergeCell ref="C11:C12"/>
    <mergeCell ref="D11:D12"/>
    <mergeCell ref="E11:G11"/>
    <mergeCell ref="H11:J11"/>
  </mergeCells>
  <conditionalFormatting sqref="B13">
    <cfRule type="cellIs" dxfId="44" priority="2" operator="equal">
      <formula>0</formula>
    </cfRule>
  </conditionalFormatting>
  <conditionalFormatting sqref="B15:B22">
    <cfRule type="cellIs" dxfId="43" priority="3" operator="equal">
      <formula>0</formula>
    </cfRule>
  </conditionalFormatting>
  <conditionalFormatting sqref="C13">
    <cfRule type="cellIs" dxfId="42" priority="4" operator="equal">
      <formula>"Tidak dinilai"</formula>
    </cfRule>
  </conditionalFormatting>
  <conditionalFormatting sqref="C15:C21">
    <cfRule type="cellIs" dxfId="41" priority="5" operator="equal">
      <formula>"Tidak dinilai"</formula>
    </cfRule>
  </conditionalFormatting>
  <conditionalFormatting sqref="C22">
    <cfRule type="cellIs" dxfId="40" priority="6" operator="equal">
      <formula>"Tidak dinilai"</formula>
    </cfRule>
  </conditionalFormatting>
  <conditionalFormatting sqref="G6">
    <cfRule type="containsText" dxfId="39" priority="7" operator="containsText" text="TIDAK TERPENUHI">
      <formula>NOT(ISERROR(SEARCH("TIDAK TERPENUHI",G6)))</formula>
    </cfRule>
  </conditionalFormatting>
  <conditionalFormatting sqref="G6">
    <cfRule type="containsText" dxfId="38" priority="8" operator="containsText" text="TERPENUHI">
      <formula>NOT(ISERROR(SEARCH("TERPENUHI",G6)))</formula>
    </cfRule>
  </conditionalFormatting>
  <conditionalFormatting sqref="H13:J22">
    <cfRule type="cellIs" dxfId="37" priority="9" operator="equal">
      <formula>"X"</formula>
    </cfRule>
  </conditionalFormatting>
  <conditionalFormatting sqref="H13:J22">
    <cfRule type="cellIs" dxfId="36" priority="10" operator="equal">
      <formula>"V"</formula>
    </cfRule>
  </conditionalFormatting>
  <conditionalFormatting sqref="E8:J9">
    <cfRule type="cellIs" dxfId="35" priority="11" operator="equal">
      <formula>"Syarat konversi tidak terpenuhi"</formula>
    </cfRule>
  </conditionalFormatting>
  <conditionalFormatting sqref="C14">
    <cfRule type="cellIs" dxfId="34" priority="12" operator="equal">
      <formula>"Tidak dinilai"</formula>
    </cfRule>
  </conditionalFormatting>
  <conditionalFormatting sqref="B14">
    <cfRule type="cellIs" dxfId="33" priority="13" operator="equal">
      <formula>0</formula>
    </cfRule>
  </conditionalFormatting>
  <conditionalFormatting sqref="C21">
    <cfRule type="cellIs" dxfId="32" priority="1" operator="equal">
      <formula>"Tidak dinilai"</formula>
    </cfRule>
  </conditionalFormatting>
  <printOptions horizontalCentered="1"/>
  <pageMargins left="0.78740157480314998" right="0.59055118110236005" top="0.78740157480314998" bottom="0.78740157480314998" header="0.31496062992126" footer="0.31496062992126"/>
  <pageSetup paperSize="9" scale="68" fitToHeight="0" orientation="portrait" r:id="rId1"/>
  <headerFooter>
    <oddFooter>&amp;LForm AK - &amp;D@&amp;T&amp;CISKPA - APS 4.0&amp;R&amp;P/&amp;N</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31"/>
  <sheetViews>
    <sheetView zoomScaleNormal="100" workbookViewId="0">
      <selection activeCell="G20" sqref="G20"/>
    </sheetView>
  </sheetViews>
  <sheetFormatPr defaultColWidth="9.140625" defaultRowHeight="12.75" x14ac:dyDescent="0.25"/>
  <cols>
    <col min="1" max="1" width="4.7109375" style="227" customWidth="1"/>
    <col min="2" max="2" width="26.42578125" style="227" customWidth="1"/>
    <col min="3" max="3" width="59.28515625" style="227" customWidth="1"/>
    <col min="4" max="4" width="10.28515625" style="227" customWidth="1"/>
    <col min="5" max="5" width="9.5703125" style="227" customWidth="1"/>
    <col min="6" max="16384" width="9.140625" style="227"/>
  </cols>
  <sheetData>
    <row r="1" spans="1:5" ht="14.25" customHeight="1" x14ac:dyDescent="0.25">
      <c r="A1" s="557" t="s">
        <v>1094</v>
      </c>
      <c r="B1" s="558"/>
      <c r="C1" s="558"/>
      <c r="D1" s="558"/>
      <c r="E1" s="558"/>
    </row>
    <row r="2" spans="1:5" ht="14.25" customHeight="1" x14ac:dyDescent="0.25">
      <c r="A2" s="557" t="s">
        <v>1095</v>
      </c>
      <c r="B2" s="558"/>
      <c r="C2" s="558"/>
      <c r="D2" s="558"/>
      <c r="E2" s="558"/>
    </row>
    <row r="3" spans="1:5" ht="14.25" customHeight="1" x14ac:dyDescent="0.25">
      <c r="A3" s="559" t="s">
        <v>1061</v>
      </c>
      <c r="B3" s="559"/>
      <c r="C3" s="559"/>
    </row>
    <row r="4" spans="1:5" ht="12.75" customHeight="1" x14ac:dyDescent="0.25">
      <c r="A4" s="228">
        <v>1</v>
      </c>
      <c r="B4" s="229" t="s">
        <v>1062</v>
      </c>
      <c r="C4" s="230">
        <f>'Lap AK'!L5</f>
        <v>41.312959419542111</v>
      </c>
    </row>
    <row r="5" spans="1:5" ht="12.75" customHeight="1" x14ac:dyDescent="0.25">
      <c r="A5" s="228">
        <v>2</v>
      </c>
      <c r="B5" s="229" t="s">
        <v>1063</v>
      </c>
      <c r="C5" s="236" t="str">
        <f>IF(AND(D10="Terpenuhi",D16="Terpenuhi",D18="Terpenuhi",D26="Terpenuhi"),"TERPENUHI","TIDAK TERPENUHI")</f>
        <v>TIDAK TERPENUHI</v>
      </c>
    </row>
    <row r="6" spans="1:5" ht="12.75" customHeight="1" x14ac:dyDescent="0.25">
      <c r="A6" s="549">
        <v>3</v>
      </c>
      <c r="B6" s="229" t="s">
        <v>1064</v>
      </c>
      <c r="C6" s="236" t="str">
        <f>'Lap AK'!L9</f>
        <v>TIDAK TERPENUHI</v>
      </c>
    </row>
    <row r="7" spans="1:5" ht="12.75" customHeight="1" x14ac:dyDescent="0.25">
      <c r="A7" s="551"/>
      <c r="B7" s="229" t="s">
        <v>1065</v>
      </c>
      <c r="C7" s="236" t="str">
        <f>'Lap AK'!L10</f>
        <v>TIDAK TERPENUHI</v>
      </c>
    </row>
    <row r="8" spans="1:5" ht="14.25" customHeight="1" x14ac:dyDescent="0.25">
      <c r="A8" s="559" t="s">
        <v>1066</v>
      </c>
      <c r="B8" s="559"/>
      <c r="C8" s="559"/>
      <c r="D8" s="559"/>
    </row>
    <row r="9" spans="1:5" ht="12.75" customHeight="1" x14ac:dyDescent="0.25">
      <c r="A9" s="231" t="s">
        <v>1067</v>
      </c>
      <c r="B9" s="232" t="s">
        <v>1068</v>
      </c>
      <c r="C9" s="232" t="s">
        <v>1069</v>
      </c>
      <c r="D9" s="232" t="s">
        <v>1070</v>
      </c>
    </row>
    <row r="10" spans="1:5" ht="25.5" customHeight="1" x14ac:dyDescent="0.25">
      <c r="A10" s="549">
        <v>1</v>
      </c>
      <c r="B10" s="552" t="s">
        <v>1071</v>
      </c>
      <c r="C10" s="233" t="s">
        <v>1072</v>
      </c>
      <c r="D10" s="237" t="str">
        <f>IF(D14&lt;=10%,"Terpenuhi","Tidak Terpenuhi")</f>
        <v>Terpenuhi</v>
      </c>
    </row>
    <row r="11" spans="1:5" ht="13.5" customHeight="1" x14ac:dyDescent="0.25">
      <c r="A11" s="550"/>
      <c r="B11" s="553"/>
      <c r="C11" s="234" t="s">
        <v>1073</v>
      </c>
      <c r="D11" s="238">
        <f>'Kertas Kerja'!K166</f>
        <v>0</v>
      </c>
    </row>
    <row r="12" spans="1:5" ht="13.5" customHeight="1" x14ac:dyDescent="0.25">
      <c r="A12" s="550"/>
      <c r="B12" s="553"/>
      <c r="C12" s="234" t="s">
        <v>1074</v>
      </c>
      <c r="D12" s="238">
        <f>'Kertas Kerja'!K165</f>
        <v>0</v>
      </c>
    </row>
    <row r="13" spans="1:5" ht="13.5" customHeight="1" x14ac:dyDescent="0.25">
      <c r="A13" s="550"/>
      <c r="B13" s="553"/>
      <c r="C13" s="234" t="s">
        <v>1075</v>
      </c>
      <c r="D13" s="238">
        <f>'Kertas Kerja'!K164</f>
        <v>0</v>
      </c>
    </row>
    <row r="14" spans="1:5" ht="13.5" customHeight="1" x14ac:dyDescent="0.25">
      <c r="A14" s="550"/>
      <c r="B14" s="553"/>
      <c r="C14" s="234" t="s">
        <v>1076</v>
      </c>
      <c r="D14" s="239">
        <f>IF(AND(D11=0,D12=0,D13=0),0,(((D11-D12)/D11)+((D12-D13)/D12))/2)</f>
        <v>0</v>
      </c>
    </row>
    <row r="15" spans="1:5" ht="13.5" customHeight="1" x14ac:dyDescent="0.25">
      <c r="A15" s="551"/>
      <c r="B15" s="554"/>
      <c r="C15" s="235" t="s">
        <v>1077</v>
      </c>
      <c r="D15" s="238">
        <v>3</v>
      </c>
    </row>
    <row r="16" spans="1:5" ht="34.700000000000003" customHeight="1" x14ac:dyDescent="0.25">
      <c r="A16" s="549">
        <v>2</v>
      </c>
      <c r="B16" s="552" t="s">
        <v>1078</v>
      </c>
      <c r="C16" s="233" t="s">
        <v>1079</v>
      </c>
      <c r="D16" s="240" t="str">
        <f>IF(D17&gt;=5,"Terpenuhi","Tidak Terpenuhi")</f>
        <v>Tidak Terpenuhi</v>
      </c>
    </row>
    <row r="17" spans="1:4" ht="25.35" customHeight="1" x14ac:dyDescent="0.25">
      <c r="A17" s="551"/>
      <c r="B17" s="554"/>
      <c r="C17" s="235" t="s">
        <v>1080</v>
      </c>
      <c r="D17" s="238">
        <f>'Kertas Kerja'!K244</f>
        <v>0</v>
      </c>
    </row>
    <row r="18" spans="1:4" ht="34.5" customHeight="1" x14ac:dyDescent="0.25">
      <c r="A18" s="549">
        <v>3</v>
      </c>
      <c r="B18" s="552" t="s">
        <v>1078</v>
      </c>
      <c r="C18" s="233" t="s">
        <v>1081</v>
      </c>
      <c r="D18" s="240" t="str">
        <f>IF(D21&lt;=40%,"Terpenuhi","Tidak Terpenuhi")</f>
        <v>Terpenuhi</v>
      </c>
    </row>
    <row r="19" spans="1:4" ht="25.35" customHeight="1" x14ac:dyDescent="0.25">
      <c r="A19" s="550"/>
      <c r="B19" s="553"/>
      <c r="C19" s="234" t="s">
        <v>1082</v>
      </c>
      <c r="D19" s="238">
        <f>'Kertas Kerja'!K245</f>
        <v>0</v>
      </c>
    </row>
    <row r="20" spans="1:4" ht="25.35" customHeight="1" x14ac:dyDescent="0.25">
      <c r="A20" s="550"/>
      <c r="B20" s="553"/>
      <c r="C20" s="234" t="s">
        <v>1080</v>
      </c>
      <c r="D20" s="238">
        <f>'Kertas Kerja'!K244</f>
        <v>0</v>
      </c>
    </row>
    <row r="21" spans="1:4" ht="13.5" customHeight="1" x14ac:dyDescent="0.25">
      <c r="A21" s="551"/>
      <c r="B21" s="554"/>
      <c r="C21" s="235" t="s">
        <v>1083</v>
      </c>
      <c r="D21" s="239">
        <f>IF(D20&gt;0,D19/(D19+D20),0)</f>
        <v>0</v>
      </c>
    </row>
    <row r="22" spans="1:4" ht="25.5" hidden="1" customHeight="1" x14ac:dyDescent="0.25">
      <c r="A22" s="549">
        <v>4</v>
      </c>
      <c r="B22" s="552" t="s">
        <v>1078</v>
      </c>
      <c r="C22" s="233" t="s">
        <v>1084</v>
      </c>
      <c r="D22" s="241"/>
    </row>
    <row r="23" spans="1:4" ht="13.5" hidden="1" customHeight="1" x14ac:dyDescent="0.25">
      <c r="A23" s="550"/>
      <c r="B23" s="553"/>
      <c r="C23" s="234" t="s">
        <v>1085</v>
      </c>
      <c r="D23" s="242">
        <f>'Kertas Kerja'!K221</f>
        <v>0</v>
      </c>
    </row>
    <row r="24" spans="1:4" ht="25.35" hidden="1" customHeight="1" x14ac:dyDescent="0.25">
      <c r="A24" s="550"/>
      <c r="B24" s="553"/>
      <c r="C24" s="234" t="s">
        <v>1080</v>
      </c>
      <c r="D24" s="242">
        <f>'Kertas Kerja'!K195</f>
        <v>0</v>
      </c>
    </row>
    <row r="25" spans="1:4" ht="13.5" hidden="1" customHeight="1" x14ac:dyDescent="0.25">
      <c r="A25" s="551"/>
      <c r="B25" s="554"/>
      <c r="C25" s="235" t="s">
        <v>1086</v>
      </c>
      <c r="D25" s="243">
        <f>IF(D24&gt;0,D23/D24,0)</f>
        <v>0</v>
      </c>
    </row>
    <row r="26" spans="1:4" ht="25.5" customHeight="1" x14ac:dyDescent="0.25">
      <c r="A26" s="549">
        <v>4</v>
      </c>
      <c r="B26" s="552" t="s">
        <v>1087</v>
      </c>
      <c r="C26" s="233" t="s">
        <v>1088</v>
      </c>
      <c r="D26" s="237" t="str">
        <f>IF(D30&lt;=10%,"Terpenuhi","Tidak Terpenuhi")</f>
        <v>Terpenuhi</v>
      </c>
    </row>
    <row r="27" spans="1:4" ht="13.5" customHeight="1" x14ac:dyDescent="0.25">
      <c r="A27" s="550"/>
      <c r="B27" s="553"/>
      <c r="C27" s="234" t="s">
        <v>1089</v>
      </c>
      <c r="D27" s="238">
        <f>'Kertas Kerja'!K675</f>
        <v>0</v>
      </c>
    </row>
    <row r="28" spans="1:4" ht="13.5" customHeight="1" x14ac:dyDescent="0.25">
      <c r="A28" s="550"/>
      <c r="B28" s="553"/>
      <c r="C28" s="234" t="s">
        <v>1090</v>
      </c>
      <c r="D28" s="238">
        <f>'Kertas Kerja'!K676</f>
        <v>0</v>
      </c>
    </row>
    <row r="29" spans="1:4" ht="13.5" customHeight="1" x14ac:dyDescent="0.25">
      <c r="A29" s="550"/>
      <c r="B29" s="553"/>
      <c r="C29" s="234" t="s">
        <v>1091</v>
      </c>
      <c r="D29" s="238">
        <f>'Kertas Kerja'!K677</f>
        <v>0</v>
      </c>
    </row>
    <row r="30" spans="1:4" ht="13.5" customHeight="1" x14ac:dyDescent="0.25">
      <c r="A30" s="555"/>
      <c r="B30" s="555"/>
      <c r="C30" s="234" t="s">
        <v>1092</v>
      </c>
      <c r="D30" s="244">
        <f>IF(AND(D27&gt;0,D28&gt;0),(((D27-D28)/D27)+((D28-D29)/D28))/2,0)</f>
        <v>0</v>
      </c>
    </row>
    <row r="31" spans="1:4" ht="13.5" customHeight="1" x14ac:dyDescent="0.25">
      <c r="A31" s="556"/>
      <c r="B31" s="556"/>
      <c r="C31" s="235" t="s">
        <v>1093</v>
      </c>
      <c r="D31" s="238">
        <v>3</v>
      </c>
    </row>
  </sheetData>
  <sheetProtection algorithmName="SHA-512" hashValue="pbPll00ZFjK3BGpOjjNFGeBW9X6rfD1n6Rlfwt/BTvqQbTRHLoEWVMO3gyu5PsQggtGEV9eA2PF6TAT8F4Fzcg==" saltValue="1kK9VhtErTCsyO+Vn8u/+A==" spinCount="100000" sheet="1" objects="1" scenarios="1" formatCells="0" formatColumns="0" formatRows="0"/>
  <mergeCells count="17">
    <mergeCell ref="A1:E1"/>
    <mergeCell ref="A2:E2"/>
    <mergeCell ref="A3:C3"/>
    <mergeCell ref="A6:A7"/>
    <mergeCell ref="A8:D8"/>
    <mergeCell ref="A10:A15"/>
    <mergeCell ref="B10:B15"/>
    <mergeCell ref="A16:A17"/>
    <mergeCell ref="B16:B17"/>
    <mergeCell ref="A18:A21"/>
    <mergeCell ref="B18:B21"/>
    <mergeCell ref="A22:A25"/>
    <mergeCell ref="B22:B25"/>
    <mergeCell ref="A26:A29"/>
    <mergeCell ref="B26:B29"/>
    <mergeCell ref="A30:A31"/>
    <mergeCell ref="B30:B31"/>
  </mergeCells>
  <pageMargins left="0.7" right="0.7" top="0.75" bottom="0.75" header="0.3" footer="0.3"/>
  <pageSetup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N98"/>
  <sheetViews>
    <sheetView workbookViewId="0">
      <selection activeCell="A3" sqref="A3"/>
    </sheetView>
  </sheetViews>
  <sheetFormatPr defaultColWidth="9.140625" defaultRowHeight="15" x14ac:dyDescent="0.25"/>
  <cols>
    <col min="1" max="1" width="6.7109375" style="27" customWidth="1"/>
    <col min="2" max="2" width="70.7109375" style="27" customWidth="1"/>
    <col min="3" max="5" width="14.7109375" style="27" customWidth="1"/>
    <col min="6" max="14" width="21.7109375" style="27" customWidth="1"/>
    <col min="15" max="16384" width="9.140625" style="27"/>
  </cols>
  <sheetData>
    <row r="1" spans="1:5" x14ac:dyDescent="0.25">
      <c r="A1" s="535" t="s">
        <v>1128</v>
      </c>
      <c r="B1" s="535"/>
      <c r="C1" s="535"/>
      <c r="D1" s="535"/>
      <c r="E1" s="535"/>
    </row>
    <row r="2" spans="1:5" x14ac:dyDescent="0.25">
      <c r="A2" s="535" t="str">
        <f>"PROGRAM STUDI "&amp;UPPER('Isian Prodi'!C5)</f>
        <v>PROGRAM STUDI PRODI S2</v>
      </c>
      <c r="B2" s="535"/>
      <c r="C2" s="535"/>
      <c r="D2" s="535"/>
      <c r="E2" s="535"/>
    </row>
    <row r="4" spans="1:5" x14ac:dyDescent="0.25">
      <c r="A4" s="562" t="s">
        <v>1115</v>
      </c>
      <c r="B4" s="562"/>
      <c r="C4" s="562"/>
      <c r="D4" s="562"/>
      <c r="E4" s="562"/>
    </row>
    <row r="5" spans="1:5" x14ac:dyDescent="0.25">
      <c r="A5" s="245" t="s">
        <v>1116</v>
      </c>
      <c r="B5" s="246" t="s">
        <v>1117</v>
      </c>
      <c r="C5" s="246" t="s">
        <v>22</v>
      </c>
      <c r="D5" s="247" t="s">
        <v>21</v>
      </c>
      <c r="E5" s="248" t="s">
        <v>1118</v>
      </c>
    </row>
    <row r="6" spans="1:5" x14ac:dyDescent="0.25">
      <c r="A6" s="249">
        <v>1</v>
      </c>
      <c r="B6" s="250"/>
      <c r="C6" s="251"/>
      <c r="D6" s="250"/>
      <c r="E6" s="270">
        <f t="shared" ref="E6:E10" si="0">C6*D6</f>
        <v>0</v>
      </c>
    </row>
    <row r="7" spans="1:5" x14ac:dyDescent="0.25">
      <c r="A7" s="249">
        <v>2</v>
      </c>
      <c r="B7" s="250"/>
      <c r="C7" s="251"/>
      <c r="D7" s="250"/>
      <c r="E7" s="270">
        <f t="shared" si="0"/>
        <v>0</v>
      </c>
    </row>
    <row r="8" spans="1:5" x14ac:dyDescent="0.25">
      <c r="A8" s="249">
        <v>3</v>
      </c>
      <c r="B8" s="250"/>
      <c r="C8" s="251"/>
      <c r="D8" s="250"/>
      <c r="E8" s="270">
        <f t="shared" si="0"/>
        <v>0</v>
      </c>
    </row>
    <row r="9" spans="1:5" x14ac:dyDescent="0.25">
      <c r="A9" s="249">
        <v>4</v>
      </c>
      <c r="B9" s="250"/>
      <c r="C9" s="251"/>
      <c r="D9" s="250"/>
      <c r="E9" s="270">
        <f t="shared" si="0"/>
        <v>0</v>
      </c>
    </row>
    <row r="10" spans="1:5" x14ac:dyDescent="0.25">
      <c r="A10" s="249">
        <v>5</v>
      </c>
      <c r="B10" s="250"/>
      <c r="C10" s="251"/>
      <c r="D10" s="250"/>
      <c r="E10" s="270">
        <f t="shared" si="0"/>
        <v>0</v>
      </c>
    </row>
    <row r="11" spans="1:5" x14ac:dyDescent="0.25">
      <c r="A11" s="252">
        <v>6</v>
      </c>
      <c r="B11" s="253"/>
      <c r="C11" s="251"/>
      <c r="D11" s="250"/>
      <c r="E11" s="270">
        <f>C11*D11</f>
        <v>0</v>
      </c>
    </row>
    <row r="12" spans="1:5" x14ac:dyDescent="0.25">
      <c r="A12" s="252">
        <v>7</v>
      </c>
      <c r="B12" s="253"/>
      <c r="C12" s="251"/>
      <c r="D12" s="250"/>
      <c r="E12" s="270">
        <f>C12*D12</f>
        <v>0</v>
      </c>
    </row>
    <row r="13" spans="1:5" x14ac:dyDescent="0.25">
      <c r="A13" s="252">
        <v>8</v>
      </c>
      <c r="B13" s="253"/>
      <c r="C13" s="251"/>
      <c r="D13" s="250"/>
      <c r="E13" s="270">
        <f>C13*D13</f>
        <v>0</v>
      </c>
    </row>
    <row r="14" spans="1:5" x14ac:dyDescent="0.25">
      <c r="A14" s="252">
        <v>9</v>
      </c>
      <c r="B14" s="253"/>
      <c r="C14" s="251"/>
      <c r="D14" s="250"/>
      <c r="E14" s="270">
        <f>C14*D14</f>
        <v>0</v>
      </c>
    </row>
    <row r="15" spans="1:5" x14ac:dyDescent="0.25">
      <c r="A15" s="254">
        <v>10</v>
      </c>
      <c r="B15" s="255"/>
      <c r="C15" s="251"/>
      <c r="D15" s="250"/>
      <c r="E15" s="271">
        <f>C15*D15</f>
        <v>0</v>
      </c>
    </row>
    <row r="16" spans="1:5" x14ac:dyDescent="0.25">
      <c r="A16" s="560" t="s">
        <v>1119</v>
      </c>
      <c r="B16" s="561"/>
      <c r="C16" s="272">
        <f>SUM(Table310[BOBOT])</f>
        <v>0</v>
      </c>
      <c r="D16" s="272"/>
      <c r="E16" s="272">
        <f>SUM(Table310[TOTAL SKOR])</f>
        <v>0</v>
      </c>
    </row>
    <row r="17" spans="1:5" x14ac:dyDescent="0.25">
      <c r="B17" s="256"/>
      <c r="C17" s="257"/>
      <c r="D17" s="30"/>
      <c r="E17" s="258"/>
    </row>
    <row r="18" spans="1:5" x14ac:dyDescent="0.25">
      <c r="A18" s="562" t="s">
        <v>1120</v>
      </c>
      <c r="B18" s="562"/>
      <c r="C18" s="562"/>
      <c r="D18" s="562"/>
      <c r="E18" s="562"/>
    </row>
    <row r="19" spans="1:5" x14ac:dyDescent="0.25">
      <c r="A19" s="245" t="s">
        <v>1116</v>
      </c>
      <c r="B19" s="246" t="s">
        <v>1117</v>
      </c>
      <c r="C19" s="246" t="s">
        <v>22</v>
      </c>
      <c r="D19" s="247" t="s">
        <v>21</v>
      </c>
      <c r="E19" s="248" t="s">
        <v>1118</v>
      </c>
    </row>
    <row r="20" spans="1:5" x14ac:dyDescent="0.25">
      <c r="A20" s="252">
        <v>1</v>
      </c>
      <c r="B20" s="259"/>
      <c r="C20" s="260"/>
      <c r="D20" s="259"/>
      <c r="E20" s="270">
        <f>C20*D20</f>
        <v>0</v>
      </c>
    </row>
    <row r="21" spans="1:5" x14ac:dyDescent="0.25">
      <c r="A21" s="252">
        <v>2</v>
      </c>
      <c r="B21" s="259"/>
      <c r="C21" s="260"/>
      <c r="D21" s="259"/>
      <c r="E21" s="270">
        <f>C21*D21</f>
        <v>0</v>
      </c>
    </row>
    <row r="22" spans="1:5" x14ac:dyDescent="0.25">
      <c r="A22" s="252">
        <v>3</v>
      </c>
      <c r="B22" s="259"/>
      <c r="C22" s="260"/>
      <c r="D22" s="259"/>
      <c r="E22" s="270">
        <f t="shared" ref="E22:E29" si="1">C22*D22</f>
        <v>0</v>
      </c>
    </row>
    <row r="23" spans="1:5" x14ac:dyDescent="0.25">
      <c r="A23" s="252">
        <v>4</v>
      </c>
      <c r="B23" s="259"/>
      <c r="C23" s="260"/>
      <c r="D23" s="259"/>
      <c r="E23" s="270">
        <f t="shared" si="1"/>
        <v>0</v>
      </c>
    </row>
    <row r="24" spans="1:5" x14ac:dyDescent="0.25">
      <c r="A24" s="252">
        <v>5</v>
      </c>
      <c r="B24" s="259"/>
      <c r="C24" s="260"/>
      <c r="D24" s="259"/>
      <c r="E24" s="270">
        <f t="shared" si="1"/>
        <v>0</v>
      </c>
    </row>
    <row r="25" spans="1:5" x14ac:dyDescent="0.25">
      <c r="A25" s="261">
        <v>6</v>
      </c>
      <c r="B25" s="253"/>
      <c r="C25" s="260"/>
      <c r="D25" s="259"/>
      <c r="E25" s="270">
        <f t="shared" si="1"/>
        <v>0</v>
      </c>
    </row>
    <row r="26" spans="1:5" x14ac:dyDescent="0.25">
      <c r="A26" s="261">
        <v>7</v>
      </c>
      <c r="B26" s="253"/>
      <c r="C26" s="260"/>
      <c r="D26" s="259"/>
      <c r="E26" s="270">
        <f t="shared" si="1"/>
        <v>0</v>
      </c>
    </row>
    <row r="27" spans="1:5" x14ac:dyDescent="0.25">
      <c r="A27" s="261">
        <v>8</v>
      </c>
      <c r="B27" s="253"/>
      <c r="C27" s="260"/>
      <c r="D27" s="259"/>
      <c r="E27" s="270">
        <f t="shared" si="1"/>
        <v>0</v>
      </c>
    </row>
    <row r="28" spans="1:5" x14ac:dyDescent="0.25">
      <c r="A28" s="261">
        <v>9</v>
      </c>
      <c r="B28" s="253"/>
      <c r="C28" s="260"/>
      <c r="D28" s="259"/>
      <c r="E28" s="270">
        <f t="shared" si="1"/>
        <v>0</v>
      </c>
    </row>
    <row r="29" spans="1:5" x14ac:dyDescent="0.25">
      <c r="A29" s="262">
        <v>10</v>
      </c>
      <c r="B29" s="255"/>
      <c r="C29" s="260"/>
      <c r="D29" s="259"/>
      <c r="E29" s="271">
        <f t="shared" si="1"/>
        <v>0</v>
      </c>
    </row>
    <row r="30" spans="1:5" x14ac:dyDescent="0.25">
      <c r="A30" s="560" t="s">
        <v>1119</v>
      </c>
      <c r="B30" s="561"/>
      <c r="C30" s="272">
        <f>SUM(Table411[BOBOT])</f>
        <v>0</v>
      </c>
      <c r="D30" s="273"/>
      <c r="E30" s="272">
        <f>SUM(Table411[TOTAL SKOR])</f>
        <v>0</v>
      </c>
    </row>
    <row r="32" spans="1:5" x14ac:dyDescent="0.25">
      <c r="B32" s="263" t="s">
        <v>1121</v>
      </c>
      <c r="C32" s="264">
        <f>E16-E30</f>
        <v>0</v>
      </c>
    </row>
    <row r="34" spans="1:5" x14ac:dyDescent="0.25">
      <c r="A34" s="562" t="s">
        <v>1122</v>
      </c>
      <c r="B34" s="562"/>
      <c r="C34" s="562"/>
      <c r="D34" s="562"/>
      <c r="E34" s="562"/>
    </row>
    <row r="35" spans="1:5" x14ac:dyDescent="0.25">
      <c r="A35" s="245" t="s">
        <v>1116</v>
      </c>
      <c r="B35" s="246" t="s">
        <v>1117</v>
      </c>
      <c r="C35" s="246" t="s">
        <v>22</v>
      </c>
      <c r="D35" s="247" t="s">
        <v>21</v>
      </c>
      <c r="E35" s="248" t="s">
        <v>1118</v>
      </c>
    </row>
    <row r="36" spans="1:5" x14ac:dyDescent="0.25">
      <c r="A36" s="249">
        <v>1</v>
      </c>
      <c r="B36" s="250"/>
      <c r="C36" s="251"/>
      <c r="D36" s="250"/>
      <c r="E36" s="270">
        <f t="shared" ref="E36:E40" si="2">C36*D36</f>
        <v>0</v>
      </c>
    </row>
    <row r="37" spans="1:5" x14ac:dyDescent="0.25">
      <c r="A37" s="249">
        <v>2</v>
      </c>
      <c r="B37" s="250"/>
      <c r="C37" s="251"/>
      <c r="D37" s="250"/>
      <c r="E37" s="270">
        <f t="shared" si="2"/>
        <v>0</v>
      </c>
    </row>
    <row r="38" spans="1:5" x14ac:dyDescent="0.25">
      <c r="A38" s="249">
        <v>3</v>
      </c>
      <c r="B38" s="250"/>
      <c r="C38" s="251"/>
      <c r="D38" s="250"/>
      <c r="E38" s="270">
        <f t="shared" si="2"/>
        <v>0</v>
      </c>
    </row>
    <row r="39" spans="1:5" x14ac:dyDescent="0.25">
      <c r="A39" s="249">
        <v>4</v>
      </c>
      <c r="B39" s="250"/>
      <c r="C39" s="251"/>
      <c r="D39" s="250"/>
      <c r="E39" s="270">
        <f t="shared" si="2"/>
        <v>0</v>
      </c>
    </row>
    <row r="40" spans="1:5" x14ac:dyDescent="0.25">
      <c r="A40" s="249">
        <v>5</v>
      </c>
      <c r="B40" s="250"/>
      <c r="C40" s="251"/>
      <c r="D40" s="250"/>
      <c r="E40" s="270">
        <f t="shared" si="2"/>
        <v>0</v>
      </c>
    </row>
    <row r="41" spans="1:5" x14ac:dyDescent="0.25">
      <c r="A41" s="252">
        <v>6</v>
      </c>
      <c r="B41" s="253"/>
      <c r="C41" s="251"/>
      <c r="D41" s="250"/>
      <c r="E41" s="270">
        <f>C41*D41</f>
        <v>0</v>
      </c>
    </row>
    <row r="42" spans="1:5" x14ac:dyDescent="0.25">
      <c r="A42" s="252">
        <v>7</v>
      </c>
      <c r="B42" s="253"/>
      <c r="C42" s="251"/>
      <c r="D42" s="250"/>
      <c r="E42" s="270">
        <f>C42*D42</f>
        <v>0</v>
      </c>
    </row>
    <row r="43" spans="1:5" x14ac:dyDescent="0.25">
      <c r="A43" s="252">
        <v>8</v>
      </c>
      <c r="B43" s="253"/>
      <c r="C43" s="251"/>
      <c r="D43" s="250"/>
      <c r="E43" s="270">
        <f>C43*D43</f>
        <v>0</v>
      </c>
    </row>
    <row r="44" spans="1:5" x14ac:dyDescent="0.25">
      <c r="A44" s="252">
        <v>9</v>
      </c>
      <c r="B44" s="253"/>
      <c r="C44" s="251"/>
      <c r="D44" s="250"/>
      <c r="E44" s="270">
        <f>C44*D44</f>
        <v>0</v>
      </c>
    </row>
    <row r="45" spans="1:5" x14ac:dyDescent="0.25">
      <c r="A45" s="254">
        <v>10</v>
      </c>
      <c r="B45" s="255"/>
      <c r="C45" s="251"/>
      <c r="D45" s="250"/>
      <c r="E45" s="271">
        <f>C45*D45</f>
        <v>0</v>
      </c>
    </row>
    <row r="46" spans="1:5" x14ac:dyDescent="0.25">
      <c r="A46" s="560" t="s">
        <v>1119</v>
      </c>
      <c r="B46" s="561"/>
      <c r="C46" s="272">
        <f>SUM(Table3612[BOBOT])</f>
        <v>0</v>
      </c>
      <c r="D46" s="272"/>
      <c r="E46" s="272">
        <f>SUM(Table3612[TOTAL SKOR])</f>
        <v>0</v>
      </c>
    </row>
    <row r="47" spans="1:5" x14ac:dyDescent="0.25">
      <c r="B47" s="256"/>
      <c r="C47" s="257"/>
      <c r="D47" s="30"/>
      <c r="E47" s="258"/>
    </row>
    <row r="48" spans="1:5" x14ac:dyDescent="0.25">
      <c r="A48" s="562" t="s">
        <v>1123</v>
      </c>
      <c r="B48" s="562"/>
      <c r="C48" s="562"/>
      <c r="D48" s="562"/>
      <c r="E48" s="562"/>
    </row>
    <row r="49" spans="1:5" x14ac:dyDescent="0.25">
      <c r="A49" s="245" t="s">
        <v>1116</v>
      </c>
      <c r="B49" s="246" t="s">
        <v>1117</v>
      </c>
      <c r="C49" s="246" t="s">
        <v>22</v>
      </c>
      <c r="D49" s="247" t="s">
        <v>21</v>
      </c>
      <c r="E49" s="248" t="s">
        <v>1118</v>
      </c>
    </row>
    <row r="50" spans="1:5" x14ac:dyDescent="0.25">
      <c r="A50" s="252">
        <v>1</v>
      </c>
      <c r="B50" s="259"/>
      <c r="C50" s="260"/>
      <c r="D50" s="265"/>
      <c r="E50" s="270">
        <f>C50*D50</f>
        <v>0</v>
      </c>
    </row>
    <row r="51" spans="1:5" x14ac:dyDescent="0.25">
      <c r="A51" s="252">
        <v>2</v>
      </c>
      <c r="B51" s="259"/>
      <c r="C51" s="260"/>
      <c r="D51" s="265"/>
      <c r="E51" s="270">
        <f>C51*D51</f>
        <v>0</v>
      </c>
    </row>
    <row r="52" spans="1:5" x14ac:dyDescent="0.25">
      <c r="A52" s="252">
        <v>3</v>
      </c>
      <c r="B52" s="259"/>
      <c r="C52" s="260"/>
      <c r="D52" s="265"/>
      <c r="E52" s="270">
        <f t="shared" ref="E52:E59" si="3">C52*D52</f>
        <v>0</v>
      </c>
    </row>
    <row r="53" spans="1:5" x14ac:dyDescent="0.25">
      <c r="A53" s="252">
        <v>4</v>
      </c>
      <c r="B53" s="259"/>
      <c r="C53" s="260"/>
      <c r="D53" s="265"/>
      <c r="E53" s="270">
        <f t="shared" si="3"/>
        <v>0</v>
      </c>
    </row>
    <row r="54" spans="1:5" x14ac:dyDescent="0.25">
      <c r="A54" s="252">
        <v>5</v>
      </c>
      <c r="B54" s="259"/>
      <c r="C54" s="260"/>
      <c r="D54" s="265"/>
      <c r="E54" s="270">
        <f t="shared" si="3"/>
        <v>0</v>
      </c>
    </row>
    <row r="55" spans="1:5" x14ac:dyDescent="0.25">
      <c r="A55" s="261">
        <v>6</v>
      </c>
      <c r="B55" s="253"/>
      <c r="C55" s="260"/>
      <c r="D55" s="265"/>
      <c r="E55" s="270">
        <f t="shared" si="3"/>
        <v>0</v>
      </c>
    </row>
    <row r="56" spans="1:5" x14ac:dyDescent="0.25">
      <c r="A56" s="261">
        <v>7</v>
      </c>
      <c r="B56" s="253"/>
      <c r="C56" s="260"/>
      <c r="D56" s="265"/>
      <c r="E56" s="270">
        <f t="shared" si="3"/>
        <v>0</v>
      </c>
    </row>
    <row r="57" spans="1:5" x14ac:dyDescent="0.25">
      <c r="A57" s="261">
        <v>8</v>
      </c>
      <c r="B57" s="253"/>
      <c r="C57" s="260"/>
      <c r="D57" s="265"/>
      <c r="E57" s="270">
        <f t="shared" si="3"/>
        <v>0</v>
      </c>
    </row>
    <row r="58" spans="1:5" x14ac:dyDescent="0.25">
      <c r="A58" s="261">
        <v>9</v>
      </c>
      <c r="B58" s="253"/>
      <c r="C58" s="260"/>
      <c r="D58" s="265"/>
      <c r="E58" s="270">
        <f t="shared" si="3"/>
        <v>0</v>
      </c>
    </row>
    <row r="59" spans="1:5" x14ac:dyDescent="0.25">
      <c r="A59" s="262">
        <v>10</v>
      </c>
      <c r="B59" s="255"/>
      <c r="C59" s="260"/>
      <c r="D59" s="265"/>
      <c r="E59" s="271">
        <f t="shared" si="3"/>
        <v>0</v>
      </c>
    </row>
    <row r="60" spans="1:5" x14ac:dyDescent="0.25">
      <c r="A60" s="560" t="s">
        <v>1119</v>
      </c>
      <c r="B60" s="561"/>
      <c r="C60" s="272">
        <f>SUM(Table4713[BOBOT])</f>
        <v>0</v>
      </c>
      <c r="D60" s="273"/>
      <c r="E60" s="272">
        <f>SUM(Table4713[TOTAL SKOR])</f>
        <v>0</v>
      </c>
    </row>
    <row r="62" spans="1:5" x14ac:dyDescent="0.25">
      <c r="B62" s="263" t="s">
        <v>1124</v>
      </c>
      <c r="C62" s="274">
        <f>E46-E60</f>
        <v>0</v>
      </c>
    </row>
    <row r="91" spans="1:14" x14ac:dyDescent="0.25">
      <c r="A91" s="2"/>
      <c r="B91" s="2"/>
      <c r="C91" s="2"/>
      <c r="D91" s="2"/>
      <c r="E91" s="2"/>
      <c r="F91" s="2"/>
      <c r="G91" s="2"/>
      <c r="H91" s="2"/>
      <c r="I91" s="2"/>
      <c r="J91" s="2"/>
      <c r="K91" s="2"/>
      <c r="L91" s="2"/>
      <c r="M91" s="2"/>
      <c r="N91" s="2"/>
    </row>
    <row r="92" spans="1:14" x14ac:dyDescent="0.25">
      <c r="A92" s="266"/>
      <c r="B92" s="266"/>
      <c r="C92" s="266"/>
      <c r="D92" s="266"/>
      <c r="E92" s="266"/>
      <c r="F92" s="266"/>
      <c r="G92" s="266"/>
      <c r="H92" s="266"/>
      <c r="I92" s="266"/>
      <c r="J92" s="266"/>
      <c r="K92" s="266"/>
      <c r="L92" s="266"/>
      <c r="M92" s="266"/>
      <c r="N92" s="266"/>
    </row>
    <row r="93" spans="1:14" x14ac:dyDescent="0.25">
      <c r="A93" s="267"/>
      <c r="B93" s="267"/>
      <c r="C93" s="267"/>
      <c r="D93" s="267"/>
      <c r="E93" s="267"/>
      <c r="F93" s="267"/>
      <c r="G93" s="267"/>
      <c r="H93" s="267"/>
      <c r="I93" s="267"/>
      <c r="J93" s="267"/>
      <c r="K93" s="267"/>
      <c r="L93" s="267"/>
      <c r="M93" s="267"/>
      <c r="N93" s="267"/>
    </row>
    <row r="95" spans="1:14" x14ac:dyDescent="0.25">
      <c r="A95" s="268"/>
      <c r="B95" s="268"/>
      <c r="C95" s="268"/>
      <c r="D95" s="268"/>
      <c r="E95" s="268"/>
      <c r="F95" s="268"/>
      <c r="G95" s="268"/>
      <c r="H95" s="268"/>
      <c r="I95" s="268"/>
      <c r="J95" s="268"/>
      <c r="K95" s="268"/>
      <c r="L95" s="268"/>
      <c r="M95" s="268"/>
      <c r="N95" s="269"/>
    </row>
    <row r="96" spans="1:14" x14ac:dyDescent="0.25">
      <c r="A96" s="268"/>
      <c r="B96" s="268"/>
      <c r="C96" s="268"/>
      <c r="D96" s="268"/>
      <c r="E96" s="268"/>
      <c r="F96" s="268"/>
      <c r="G96" s="268"/>
      <c r="H96" s="268"/>
      <c r="I96" s="268"/>
      <c r="J96" s="268"/>
      <c r="K96" s="268"/>
      <c r="L96" s="268"/>
      <c r="M96" s="268"/>
      <c r="N96" s="269"/>
    </row>
    <row r="97" spans="1:14" x14ac:dyDescent="0.25">
      <c r="A97" s="268"/>
      <c r="B97" s="268"/>
      <c r="C97" s="268"/>
      <c r="D97" s="268"/>
      <c r="E97" s="268"/>
      <c r="F97" s="268"/>
      <c r="G97" s="268"/>
      <c r="H97" s="268"/>
      <c r="I97" s="268"/>
      <c r="J97" s="268"/>
      <c r="K97" s="268"/>
      <c r="L97" s="268"/>
      <c r="M97" s="268"/>
      <c r="N97" s="268"/>
    </row>
    <row r="98" spans="1:14" x14ac:dyDescent="0.25">
      <c r="A98" s="268"/>
      <c r="B98" s="268"/>
      <c r="C98" s="268"/>
      <c r="D98" s="268"/>
      <c r="E98" s="268"/>
      <c r="F98" s="268"/>
      <c r="G98" s="268"/>
      <c r="H98" s="268"/>
      <c r="I98" s="268"/>
      <c r="J98" s="268"/>
      <c r="K98" s="268"/>
      <c r="L98" s="268"/>
      <c r="M98" s="268"/>
      <c r="N98" s="269"/>
    </row>
  </sheetData>
  <sheetProtection algorithmName="SHA-512" hashValue="8mitmUugWujXnPO4wdhAkCjwGTce8FqNAnNizhhher3fI1U1axLc2DnH8uAcvCouS3thhQDq1GxJ8WeToHruPw==" saltValue="oCzjyRbM6wU5IzXu0qmRIg==" spinCount="100000" sheet="1" objects="1" scenarios="1" formatCells="0" formatColumns="0"/>
  <mergeCells count="10">
    <mergeCell ref="A1:E1"/>
    <mergeCell ref="A2:E2"/>
    <mergeCell ref="A4:E4"/>
    <mergeCell ref="A16:B16"/>
    <mergeCell ref="A18:E18"/>
    <mergeCell ref="A30:B30"/>
    <mergeCell ref="A34:E34"/>
    <mergeCell ref="A46:B46"/>
    <mergeCell ref="A48:E48"/>
    <mergeCell ref="A60:B60"/>
  </mergeCells>
  <dataValidations count="6">
    <dataValidation type="custom" operator="lessThanOrEqual" allowBlank="1" showInputMessage="1" showErrorMessage="1" errorTitle="Total Bobot" error="Total bobot tidak boleh melebihi 1,00" promptTitle="Total Bobot" prompt="Total bobot tidak boleh melebihi 1,00" sqref="C16" xr:uid="{DD827F4A-C91F-4CEB-AAAE-29767CC87978}">
      <formula1>SUM(C6:C15)&lt;=1</formula1>
    </dataValidation>
    <dataValidation allowBlank="1" showInputMessage="1" showErrorMessage="1" promptTitle="Total Bobot" prompt="Total bobot tidak boleh melebihi 1,00" sqref="C30 C46 C60" xr:uid="{DC73F661-8D91-4158-A382-23D303F5B893}"/>
    <dataValidation type="custom" allowBlank="1" showInputMessage="1" showErrorMessage="1" errorTitle="Total Bobot" error="Total Bobot tidak boleh melebihi 1,00" sqref="C20:C29" xr:uid="{C2F8822F-64F1-4108-BB7E-221C7163FB9E}">
      <formula1>SUM($C$17:$C$26)&lt;=1</formula1>
    </dataValidation>
    <dataValidation type="custom" allowBlank="1" showInputMessage="1" showErrorMessage="1" errorTitle="Total Bobot" error="Total Bobot tidak boleh lebih dari 1" sqref="C6:C15" xr:uid="{D375A49B-21B2-4529-9E20-408A5A8F9725}">
      <formula1>SUM($C$3:$C$12)&lt;=1</formula1>
    </dataValidation>
    <dataValidation type="custom" allowBlank="1" showInputMessage="1" showErrorMessage="1" errorTitle="Total bobot" error="Total bobot tidak boleh melebihi 1,00" sqref="C50:C59" xr:uid="{BBCB5900-7A79-4775-B612-489A2004DBF2}">
      <formula1>SUM($C$17:$C$25)&lt;=1</formula1>
    </dataValidation>
    <dataValidation type="custom" allowBlank="1" showInputMessage="1" showErrorMessage="1" errorTitle="Total bobot" error="Total bobot tidak boleh melebihi 1,00" sqref="C36:C45" xr:uid="{D18EDCDD-E054-4BC1-8B75-A517669E7C19}">
      <formula1>SUM($C$3:$C$12)&lt;=1</formula1>
    </dataValidation>
  </dataValidations>
  <pageMargins left="0.7" right="0.7" top="0.75" bottom="0.75" header="0.3" footer="0.3"/>
  <pageSetup orientation="portrait" r:id="rId1"/>
  <drawing r:id="rId2"/>
  <tableParts count="4">
    <tablePart r:id="rId3"/>
    <tablePart r:id="rId4"/>
    <tablePart r:id="rId5"/>
    <tablePart r:id="rId6"/>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4</vt:i4>
      </vt:variant>
    </vt:vector>
  </HeadingPairs>
  <TitlesOfParts>
    <vt:vector size="30" baseType="lpstr">
      <vt:lpstr>DAFTAR ISI</vt:lpstr>
      <vt:lpstr>Isian Prodi</vt:lpstr>
      <vt:lpstr>Kertas Kerja</vt:lpstr>
      <vt:lpstr>Form Monev PT</vt:lpstr>
      <vt:lpstr>Form Monev UPPS BAN-PT</vt:lpstr>
      <vt:lpstr>Form Monev UPPS LAM INFOKOM</vt:lpstr>
      <vt:lpstr>Form Monev UPPS LAM PTKES NERS</vt:lpstr>
      <vt:lpstr>Form Monev UPPS LAM PTKES GIZI</vt:lpstr>
      <vt:lpstr>Form Monev UPPS LAMDIK</vt:lpstr>
      <vt:lpstr>Form Monev UPPS LAMEMBA</vt:lpstr>
      <vt:lpstr>Form Monev UPPS LAMSAMA</vt:lpstr>
      <vt:lpstr>Form Monev UPPS LAMTEK</vt:lpstr>
      <vt:lpstr>Form Monev PS BAN-PT</vt:lpstr>
      <vt:lpstr>Form Monev PS LAM INFOKOM</vt:lpstr>
      <vt:lpstr>Form Monev PS LAM PTKES NERS</vt:lpstr>
      <vt:lpstr>Form Monev PS LAM PTKES GIZI</vt:lpstr>
      <vt:lpstr>Form Monev PS LAMDIK</vt:lpstr>
      <vt:lpstr>Form Monev PS LAMEMBA</vt:lpstr>
      <vt:lpstr>Form Monev PS LAMSAMA</vt:lpstr>
      <vt:lpstr>Form Monev PS LAMTEK</vt:lpstr>
      <vt:lpstr>Lap AK</vt:lpstr>
      <vt:lpstr>Lap ED</vt:lpstr>
      <vt:lpstr>Peta Risiko</vt:lpstr>
      <vt:lpstr>Lap ISK</vt:lpstr>
      <vt:lpstr>IPEPA 1</vt:lpstr>
      <vt:lpstr>Analisis SWOT</vt:lpstr>
      <vt:lpstr>'Lap AK'!Print_Area</vt:lpstr>
      <vt:lpstr>'Lap ISK'!Print_Area</vt:lpstr>
      <vt:lpstr>'Lap AK'!Print_Titles</vt:lpstr>
      <vt:lpstr>'Lap ISK'!Print_Titles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Adela Istanto</cp:lastModifiedBy>
  <cp:lastPrinted>2021-04-06T08:08:14Z</cp:lastPrinted>
  <dcterms:created xsi:type="dcterms:W3CDTF">2021-01-11T07:24:31Z</dcterms:created>
  <dcterms:modified xsi:type="dcterms:W3CDTF">2023-02-02T07:08:45Z</dcterms:modified>
</cp:coreProperties>
</file>